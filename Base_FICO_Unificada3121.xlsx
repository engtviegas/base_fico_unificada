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0698360\Downloads\"/>
    </mc:Choice>
  </mc:AlternateContent>
  <xr:revisionPtr revIDLastSave="0" documentId="8_{D1E4247C-AC83-46FD-AD29-38F9318B24BE}" xr6:coauthVersionLast="47" xr6:coauthVersionMax="47" xr10:uidLastSave="{00000000-0000-0000-0000-000000000000}"/>
  <bookViews>
    <workbookView xWindow="-110" yWindow="-110" windowWidth="19420" windowHeight="11500" firstSheet="1" activeTab="1" xr2:uid="{00000000-000D-0000-FFFF-FFFF00000000}"/>
  </bookViews>
  <sheets>
    <sheet name="📖 Instruções" sheetId="1" r:id="rId1"/>
    <sheet name="🎛️ Cabeçalho" sheetId="2" r:id="rId2"/>
    <sheet name="👷 Recursos" sheetId="3" r:id="rId3"/>
    <sheet name="📊 Plan-Escopo" sheetId="4" r:id="rId4"/>
    <sheet name="📋 Plan-Detalhado" sheetId="5" r:id="rId5"/>
    <sheet name="🚫 Fora+Entrega" sheetId="6" r:id="rId6"/>
    <sheet name="🔧 RNCs" sheetId="7" r:id="rId7"/>
    <sheet name="📚 DataBooks-Mensal" sheetId="8" r:id="rId8"/>
    <sheet name="📑 DataBooks-Ativos" sheetId="9" r:id="rId9"/>
    <sheet name="🏗️ AsBuilt+Críticos" sheetId="10" r:id="rId10"/>
    <sheet name="🗺️ Retig P1" sheetId="11" r:id="rId11"/>
    <sheet name="🗺️ Retig P2" sheetId="12" r:id="rId12"/>
    <sheet name="🗺️ Retig P3" sheetId="13" r:id="rId13"/>
    <sheet name="Banco de Dados" sheetId="14" r:id="rId22"/>
    <sheet name="PROGRAMAÇÃO" sheetId="15"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 l="1"/>
  <c r="H21" i="5"/>
  <c r="H22" i="5"/>
  <c r="H23" i="5"/>
  <c r="H24" i="5"/>
  <c r="H25" i="5"/>
  <c r="H26" i="5"/>
  <c r="H27" i="5"/>
  <c r="H28" i="5"/>
  <c r="H29" i="5"/>
  <c r="H30" i="5"/>
  <c r="H31" i="5"/>
  <c r="H32" i="5"/>
  <c r="H33" i="5"/>
  <c r="H19" i="5"/>
  <c r="F20" i="5"/>
  <c r="G19" i="5" l="1"/>
  <c r="D19" i="5"/>
  <c r="P39" i="6" l="1"/>
  <c r="P40" i="6"/>
  <c r="P41" i="6"/>
  <c r="N33" i="6"/>
  <c r="N34" i="6"/>
  <c r="N35" i="6"/>
  <c r="N36" i="6"/>
  <c r="N37" i="6"/>
  <c r="N38" i="6"/>
  <c r="N39" i="6"/>
  <c r="N40" i="6"/>
  <c r="N41" i="6"/>
  <c r="N32" i="6"/>
  <c r="O5" i="5"/>
  <c r="Q5" i="5" s="1"/>
  <c r="M33" i="6"/>
  <c r="P33" i="6" s="1"/>
  <c r="M34" i="6"/>
  <c r="O34" i="6" s="1"/>
  <c r="M35" i="6"/>
  <c r="O35" i="6" s="1"/>
  <c r="M36" i="6"/>
  <c r="P36" i="6" s="1"/>
  <c r="M37" i="6"/>
  <c r="O37" i="6" s="1"/>
  <c r="M38" i="6"/>
  <c r="P38" i="6" s="1"/>
  <c r="M39" i="6"/>
  <c r="O39" i="6" s="1"/>
  <c r="M40" i="6"/>
  <c r="O40" i="6" s="1"/>
  <c r="M41" i="6"/>
  <c r="O41" i="6" s="1"/>
  <c r="M32" i="6"/>
  <c r="P32" i="6" s="1"/>
  <c r="L33" i="6"/>
  <c r="L34" i="6"/>
  <c r="L35" i="6"/>
  <c r="L36" i="6"/>
  <c r="L37" i="6"/>
  <c r="L38" i="6"/>
  <c r="L39" i="6"/>
  <c r="L40" i="6"/>
  <c r="L41" i="6"/>
  <c r="L32" i="6"/>
  <c r="H33" i="6"/>
  <c r="H34" i="6"/>
  <c r="H35" i="6"/>
  <c r="H36" i="6"/>
  <c r="H37" i="6"/>
  <c r="H38" i="6"/>
  <c r="H39" i="6"/>
  <c r="H40" i="6"/>
  <c r="H41" i="6"/>
  <c r="H32" i="6"/>
  <c r="E33" i="6"/>
  <c r="E34" i="6"/>
  <c r="E35" i="6"/>
  <c r="E36" i="6"/>
  <c r="E37" i="6"/>
  <c r="E38" i="6"/>
  <c r="E39" i="6"/>
  <c r="E40" i="6"/>
  <c r="E41" i="6"/>
  <c r="E32" i="6"/>
  <c r="E20" i="6"/>
  <c r="E21" i="6"/>
  <c r="E22" i="6"/>
  <c r="E23" i="6"/>
  <c r="E24" i="6"/>
  <c r="E25" i="6"/>
  <c r="E26" i="6"/>
  <c r="E27" i="6"/>
  <c r="E19" i="6"/>
  <c r="N20" i="5"/>
  <c r="N21" i="5"/>
  <c r="N22" i="5"/>
  <c r="N23" i="5"/>
  <c r="N24" i="5"/>
  <c r="N25" i="5"/>
  <c r="N26" i="5"/>
  <c r="N27" i="5"/>
  <c r="N28" i="5"/>
  <c r="N29" i="5"/>
  <c r="N30" i="5"/>
  <c r="N31" i="5"/>
  <c r="N32" i="5"/>
  <c r="N33" i="5"/>
  <c r="M20" i="5"/>
  <c r="O20" i="5" s="1"/>
  <c r="M21" i="5"/>
  <c r="O21" i="5" s="1"/>
  <c r="M22" i="5"/>
  <c r="O22" i="5" s="1"/>
  <c r="M23" i="5"/>
  <c r="O23" i="5" s="1"/>
  <c r="M24" i="5"/>
  <c r="O24" i="5" s="1"/>
  <c r="M25" i="5"/>
  <c r="O25" i="5" s="1"/>
  <c r="M26" i="5"/>
  <c r="O26" i="5" s="1"/>
  <c r="M27" i="5"/>
  <c r="O27" i="5" s="1"/>
  <c r="M28" i="5"/>
  <c r="O28" i="5" s="1"/>
  <c r="M29" i="5"/>
  <c r="O29" i="5" s="1"/>
  <c r="M30" i="5"/>
  <c r="O30" i="5" s="1"/>
  <c r="M31" i="5"/>
  <c r="O31" i="5" s="1"/>
  <c r="M32" i="5"/>
  <c r="O32" i="5" s="1"/>
  <c r="M33" i="5"/>
  <c r="O33" i="5" s="1"/>
  <c r="N19" i="5"/>
  <c r="M19" i="5"/>
  <c r="O19" i="5" s="1"/>
  <c r="Q15" i="5"/>
  <c r="P15" i="5"/>
  <c r="O15" i="5"/>
  <c r="N15" i="5"/>
  <c r="M15" i="5"/>
  <c r="P6" i="5"/>
  <c r="P7" i="5"/>
  <c r="P8" i="5"/>
  <c r="P9" i="5"/>
  <c r="P10" i="5"/>
  <c r="P11" i="5"/>
  <c r="Q6" i="5"/>
  <c r="Q7" i="5"/>
  <c r="Q8" i="5"/>
  <c r="Q9" i="5"/>
  <c r="Q10" i="5"/>
  <c r="Q11" i="5"/>
  <c r="O6" i="5"/>
  <c r="O7" i="5"/>
  <c r="O8" i="5"/>
  <c r="O9" i="5"/>
  <c r="O10" i="5"/>
  <c r="O11" i="5"/>
  <c r="N6" i="5"/>
  <c r="N7" i="5"/>
  <c r="N8" i="5"/>
  <c r="N9" i="5"/>
  <c r="N10" i="5"/>
  <c r="N11" i="5"/>
  <c r="N5" i="5"/>
  <c r="Q30" i="5" l="1"/>
  <c r="P30" i="5"/>
  <c r="Q29" i="5"/>
  <c r="P29" i="5"/>
  <c r="Q28" i="5"/>
  <c r="P28" i="5"/>
  <c r="Q26" i="5"/>
  <c r="P26" i="5"/>
  <c r="Q25" i="5"/>
  <c r="P25" i="5"/>
  <c r="Q24" i="5"/>
  <c r="P24" i="5"/>
  <c r="Q23" i="5"/>
  <c r="P23" i="5"/>
  <c r="P22" i="5"/>
  <c r="Q22" i="5"/>
  <c r="P19" i="5"/>
  <c r="Q19" i="5"/>
  <c r="Q21" i="5"/>
  <c r="P21" i="5"/>
  <c r="P20" i="5"/>
  <c r="Q20" i="5"/>
  <c r="P33" i="5"/>
  <c r="Q33" i="5"/>
  <c r="Q32" i="5"/>
  <c r="P32" i="5"/>
  <c r="Q31" i="5"/>
  <c r="P31" i="5"/>
  <c r="Q27" i="5"/>
  <c r="P27" i="5"/>
  <c r="O32" i="6"/>
  <c r="O33" i="6"/>
  <c r="P35" i="6"/>
  <c r="O38" i="6"/>
  <c r="P34" i="6"/>
  <c r="O36" i="6"/>
  <c r="P37" i="6"/>
  <c r="P5" i="5"/>
  <c r="M6" i="5"/>
  <c r="M7" i="5"/>
  <c r="M8" i="5"/>
  <c r="M9" i="5"/>
  <c r="M10" i="5"/>
  <c r="M11" i="5"/>
  <c r="M5" i="5"/>
  <c r="H5" i="5"/>
  <c r="F20" i="4"/>
  <c r="F21" i="4"/>
  <c r="F22" i="4"/>
  <c r="F23" i="4"/>
  <c r="F24" i="4"/>
  <c r="F25" i="4"/>
  <c r="F26" i="4"/>
  <c r="F27" i="4"/>
  <c r="F28" i="4"/>
  <c r="F29" i="4"/>
  <c r="F30" i="4"/>
  <c r="F31" i="4"/>
  <c r="F32" i="4"/>
  <c r="F33" i="4"/>
  <c r="F19" i="4"/>
  <c r="F15" i="4"/>
  <c r="F6" i="4"/>
  <c r="F7" i="4"/>
  <c r="F8" i="4"/>
  <c r="F9" i="4"/>
  <c r="F10" i="4"/>
  <c r="F11" i="4"/>
  <c r="F5" i="4"/>
  <c r="E20" i="4"/>
  <c r="E21" i="4"/>
  <c r="E22" i="4"/>
  <c r="E23" i="4"/>
  <c r="E24" i="4"/>
  <c r="E25" i="4"/>
  <c r="E26" i="4"/>
  <c r="E27" i="4"/>
  <c r="E28" i="4"/>
  <c r="E29" i="4"/>
  <c r="E30" i="4"/>
  <c r="E31" i="4"/>
  <c r="E32" i="4"/>
  <c r="E33" i="4"/>
  <c r="E19" i="4"/>
  <c r="E15" i="4"/>
  <c r="E6" i="4"/>
  <c r="E7" i="4"/>
  <c r="E8" i="4"/>
  <c r="E9" i="4"/>
  <c r="E10" i="4"/>
  <c r="E11" i="4"/>
  <c r="E5" i="4"/>
  <c r="E20" i="5"/>
  <c r="E21" i="5"/>
  <c r="E22" i="5"/>
  <c r="E23" i="5"/>
  <c r="E24" i="5"/>
  <c r="E25" i="5"/>
  <c r="E26" i="5"/>
  <c r="I26" i="5" s="1"/>
  <c r="E27" i="5"/>
  <c r="E28" i="5"/>
  <c r="E29" i="5"/>
  <c r="E30" i="5"/>
  <c r="E31" i="5"/>
  <c r="I31" i="5" s="1"/>
  <c r="E32" i="5"/>
  <c r="E33" i="5"/>
  <c r="E19" i="5"/>
  <c r="E15" i="5"/>
  <c r="E6" i="5"/>
  <c r="E7" i="5"/>
  <c r="E8" i="5"/>
  <c r="E9" i="5"/>
  <c r="E10" i="5"/>
  <c r="E11" i="5"/>
  <c r="D6" i="10"/>
  <c r="D7" i="10"/>
  <c r="D5" i="10"/>
  <c r="E5" i="5"/>
  <c r="I20" i="5" l="1"/>
  <c r="I21" i="5"/>
  <c r="I22" i="5"/>
  <c r="I23" i="5"/>
  <c r="I24" i="5"/>
  <c r="I25" i="5"/>
  <c r="I27" i="5"/>
  <c r="I28" i="5"/>
  <c r="I29" i="5"/>
  <c r="I30" i="5"/>
  <c r="I32" i="5"/>
  <c r="I33" i="5"/>
  <c r="I6" i="5"/>
  <c r="I7" i="5"/>
  <c r="I8" i="5"/>
  <c r="I9" i="5"/>
  <c r="I10" i="5"/>
  <c r="I11" i="5"/>
  <c r="I5" i="5"/>
  <c r="I15" i="5"/>
  <c r="I19" i="5"/>
  <c r="E14" i="8"/>
  <c r="D14" i="8"/>
  <c r="C14" i="8"/>
  <c r="E13" i="8"/>
  <c r="E12" i="8"/>
  <c r="D10" i="8"/>
  <c r="C10" i="8"/>
  <c r="E9" i="8"/>
  <c r="E8" i="8"/>
  <c r="E6" i="8"/>
  <c r="D6" i="8"/>
  <c r="C6" i="8"/>
  <c r="E5" i="8"/>
  <c r="E4" i="8"/>
  <c r="E1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5" authorId="0" shapeId="0" xr:uid="{00000000-0006-0000-0600-000001000000}">
      <text>
        <r>
          <rPr>
            <sz val="11"/>
            <color theme="1"/>
            <rFont val="Calibri"/>
            <family val="2"/>
            <scheme val="minor"/>
          </rPr>
          <t>Barra menor 'em andamento' do gráfico de Evolução do mês (não confundir com a barra grande de fechado/cancelado).</t>
        </r>
      </text>
    </comment>
  </commentList>
</comments>
</file>

<file path=xl/sharedStrings.xml><?xml version="1.0" encoding="utf-8"?>
<sst xmlns="http://schemas.openxmlformats.org/spreadsheetml/2006/main" count="6361" uniqueCount="800">
  <si>
    <t>📖 INSTRUÇÕES — Planilha de Input do Painel FICO</t>
  </si>
  <si>
    <t>PROPÓSITO</t>
  </si>
  <si>
    <t>Esta planilha é a fonte de verdade para regerar o painel HTML/PDF Unifilar FICO Infra.</t>
  </si>
  <si>
    <t>Preencher aqui evita reabrir o PDF da Reunião Regional a cada rodada.</t>
  </si>
  <si>
    <t>FLUXO DE TRABALHO</t>
  </si>
  <si>
    <t>1.</t>
  </si>
  <si>
    <t>Preencha/atualize os campos em AMARELO CLARO nas demais abas.</t>
  </si>
  <si>
    <t>2.</t>
  </si>
  <si>
    <t>Campos CINZA são calculados ou de referência — não editar.</t>
  </si>
  <si>
    <t>3.</t>
  </si>
  <si>
    <t>Salve o arquivo como "Painel_FICO_INPUT_&lt;data&gt;.xlsx".</t>
  </si>
  <si>
    <t>4.</t>
  </si>
  <si>
    <t>Envie ao Claude com a instrução: "Atualizar painel FICO a partir desta planilha".</t>
  </si>
  <si>
    <t>5.</t>
  </si>
  <si>
    <t>Claude lerá a planilha, atualizará o const D do template e regerará HTML+PDF.</t>
  </si>
  <si>
    <t>LEGENDA DE CORES</t>
  </si>
  <si>
    <t>🟡 Amarelo</t>
  </si>
  <si>
    <t>Editável — preencher/atualizar normalmente.</t>
  </si>
  <si>
    <t>⬜ Cinza</t>
  </si>
  <si>
    <t>Não editar — calculado ou identificador fixo.</t>
  </si>
  <si>
    <t>🟦 Azul</t>
  </si>
  <si>
    <t>Cabeçalho da aba.</t>
  </si>
  <si>
    <t>🟩 Verde</t>
  </si>
  <si>
    <t>Sub-cabeçalho de bloco (ex: nome de pacote).</t>
  </si>
  <si>
    <t>CÓDIGOS DO RETIGRÁFICO (abas 11, 12, 13)</t>
  </si>
  <si>
    <t>c</t>
  </si>
  <si>
    <t>Concluído (verde)</t>
  </si>
  <si>
    <t>a</t>
  </si>
  <si>
    <t>Em andamento (amarelo)</t>
  </si>
  <si>
    <t>n</t>
  </si>
  <si>
    <t>Não aplicável / inexistente (cinza)</t>
  </si>
  <si>
    <t>p</t>
  </si>
  <si>
    <t>Pendente (branco)</t>
  </si>
  <si>
    <t>r</t>
  </si>
  <si>
    <t>Ponto crítico (linha RESTRIÇÕES — vermelho)</t>
  </si>
  <si>
    <t>CONVENÇÕES NUMÉRICAS</t>
  </si>
  <si>
    <t>• Números grandes: usar ponto como milhar (ex: 127.492 em vez de 127492).</t>
  </si>
  <si>
    <t>• Percentuais: digitar como texto com o símbolo (ex: "75%") OU como número (0,75).</t>
  </si>
  <si>
    <t>• Datas: formato DD/MM/AAAA (ex: 29/05/2026).</t>
  </si>
  <si>
    <t>• Campos vazios são permitidos — deixe em branco se não houver dado.</t>
  </si>
  <si>
    <t>ABAS DESTA PLANILHA</t>
  </si>
  <si>
    <t>📖 Instruções (esta aba)</t>
  </si>
  <si>
    <t>🎛️ Cabeçalho — refs, contratada, % avanço, KM, status</t>
  </si>
  <si>
    <t>👷 Recursos — Histogramas MOD e Equipamento (6 semanas × 3 pacotes)</t>
  </si>
  <si>
    <t>📊 Planejamento – Escopo — resumo (serviço × prev/real/saldo/ader/un)</t>
  </si>
  <si>
    <t>📋 Planejamento – Detalhamento — plan_det completo (21 colunas)</t>
  </si>
  <si>
    <t>6.</t>
  </si>
  <si>
    <t>🚫 Fora Escopo + Entrega — saldos e pendências (resumo + detalhamento)</t>
  </si>
  <si>
    <t>7.</t>
  </si>
  <si>
    <t>🔧 RNCs — aderência, evolução do mês, tempo em aberto, em andamento</t>
  </si>
  <si>
    <t>8.</t>
  </si>
  <si>
    <t>📚 DataBooks – Mensais — BK|OIA e RNC mês a mês</t>
  </si>
  <si>
    <t>9.</t>
  </si>
  <si>
    <t>📑 DataBooks – Ativos — por ativo (data envio, nota, observação)</t>
  </si>
  <si>
    <t>10.</t>
  </si>
  <si>
    <t>🏗️ As Built + Pontos Críticos</t>
  </si>
  <si>
    <t>11.</t>
  </si>
  <si>
    <t>🗺️ Retigráfico P1 — matriz status (16 atividades × 94 ativos)</t>
  </si>
  <si>
    <t>12.</t>
  </si>
  <si>
    <t>🗺️ Retigráfico P2 — matriz status (16 atividades × 64 ativos)</t>
  </si>
  <si>
    <t>13.</t>
  </si>
  <si>
    <t>🗺️ Retigráfico P3 — matriz status (19 atividades × 68 ativos)</t>
  </si>
  <si>
    <t>OBSERVAÇÃO IMPORTANTE</t>
  </si>
  <si>
    <t>O Retigráfico pode ser preenchido aqui OU detectado automaticamente do PDF.</t>
  </si>
  <si>
    <t>Se preencher aqui, terá precisão 100% — ideal quando o detector visual erra.</t>
  </si>
  <si>
    <t>Se deixar em branco, Claude tentará extrair do PDF (precisão ~85-90%).</t>
  </si>
  <si>
    <t>🎛️ CABEÇALHO — Identificação dos pacotes e referências</t>
  </si>
  <si>
    <t>Referência geral do painel:</t>
  </si>
  <si>
    <t>(formato DD/MM/AAAA)</t>
  </si>
  <si>
    <t>Campo</t>
  </si>
  <si>
    <t>Pacote 1</t>
  </si>
  <si>
    <t>Pacote 2</t>
  </si>
  <si>
    <t>Pacote 3</t>
  </si>
  <si>
    <t>Nome</t>
  </si>
  <si>
    <t>Pacote 01</t>
  </si>
  <si>
    <t>Pacote 02</t>
  </si>
  <si>
    <t>Pacote 03</t>
  </si>
  <si>
    <t>ID</t>
  </si>
  <si>
    <t>P1</t>
  </si>
  <si>
    <t>P2</t>
  </si>
  <si>
    <t>P3</t>
  </si>
  <si>
    <t>Sigla</t>
  </si>
  <si>
    <t>EMPA</t>
  </si>
  <si>
    <t>ATERPA</t>
  </si>
  <si>
    <t>ÁPIA</t>
  </si>
  <si>
    <t>Contratada</t>
  </si>
  <si>
    <t>EMPA – Teixeira Duarte</t>
  </si>
  <si>
    <t>Ápia</t>
  </si>
  <si>
    <t>Referência serviços</t>
  </si>
  <si>
    <t>KM (faixa do pacote)</t>
  </si>
  <si>
    <t>KM 0+160 – 38+100</t>
  </si>
  <si>
    <t>KM 38+180 – 71+300</t>
  </si>
  <si>
    <t>KM 72+000 – 104+480</t>
  </si>
  <si>
    <t>Segmentos</t>
  </si>
  <si>
    <t>Alça Sul · 1.1A · 1.1B · 1.2 · 1.3 · 1.4</t>
  </si>
  <si>
    <t>1.4B · 1.5 · 1.6</t>
  </si>
  <si>
    <t>1.7 · 1.8 · 2.1 · 2.2A</t>
  </si>
  <si>
    <t>% Avanço físico</t>
  </si>
  <si>
    <t>Label do avanço</t>
  </si>
  <si>
    <t>93,73%</t>
  </si>
  <si>
    <t>99,87%</t>
  </si>
  <si>
    <t>Em execução</t>
  </si>
  <si>
    <t>% Desvio</t>
  </si>
  <si>
    <t>6,27%</t>
  </si>
  <si>
    <t>0,13%</t>
  </si>
  <si>
    <t>–</t>
  </si>
  <si>
    <t>Status (texto curto)</t>
  </si>
  <si>
    <t>Avançado</t>
  </si>
  <si>
    <t>Concluído</t>
  </si>
  <si>
    <t>Obs. recursos</t>
  </si>
  <si>
    <t>Verificar se está direto EMPA e direto da Sub (Valevias) — checar com implantação.</t>
  </si>
  <si>
    <t>Verificar se está direto ATERPA e direto da Sub (Valevias) — checar com implantação.</t>
  </si>
  <si>
    <t>Atualizado pelo report da A&amp;M · RDO SGC de janeiro. Verificar RDOs manuais com a Fernanda Soave.</t>
  </si>
  <si>
    <t>👷 RECURSOS — Histogramas MOD e Equipamento (últimas 6 semanas)</t>
  </si>
  <si>
    <t>Semanas (datas):</t>
  </si>
  <si>
    <t>S-17</t>
  </si>
  <si>
    <t>S-18</t>
  </si>
  <si>
    <t>S-19</t>
  </si>
  <si>
    <t>S-20</t>
  </si>
  <si>
    <t>S-21</t>
  </si>
  <si>
    <t>S-22</t>
  </si>
  <si>
    <t>Códigos (S-XX):</t>
  </si>
  <si>
    <t>19.04–25.04</t>
  </si>
  <si>
    <t>26.04–02.05</t>
  </si>
  <si>
    <t>03.05–09.05</t>
  </si>
  <si>
    <t>10.05–16.05</t>
  </si>
  <si>
    <t>17.05–23.05</t>
  </si>
  <si>
    <t>24.05–30.05</t>
  </si>
  <si>
    <t>MÃO DE OBRA (MOD)</t>
  </si>
  <si>
    <t>Pacote</t>
  </si>
  <si>
    <t>Obs.</t>
  </si>
  <si>
    <t>Pacote 01 (EMPA – Teixeira Duarte)</t>
  </si>
  <si>
    <t>Pacote 02 (ATERPA)</t>
  </si>
  <si>
    <t>Pacote 03 (Ápia)</t>
  </si>
  <si>
    <t>EQUIPAMENTO</t>
  </si>
  <si>
    <t>📊 PLANEJAMENTO — Resumo do Escopo (serviços por pacote)</t>
  </si>
  <si>
    <t>Pacote 01 — EMPA – Teixeira Duarte</t>
  </si>
  <si>
    <t>Serviço</t>
  </si>
  <si>
    <t>Previsto</t>
  </si>
  <si>
    <t>Realizado</t>
  </si>
  <si>
    <t>Saldo</t>
  </si>
  <si>
    <t>Aderência %</t>
  </si>
  <si>
    <t>Unidade</t>
  </si>
  <si>
    <t>Drenagem Superficial</t>
  </si>
  <si>
    <t>127.492</t>
  </si>
  <si>
    <t>95.962</t>
  </si>
  <si>
    <t>m</t>
  </si>
  <si>
    <t>Descida d'água</t>
  </si>
  <si>
    <t>1.914</t>
  </si>
  <si>
    <t>1.365</t>
  </si>
  <si>
    <t>un</t>
  </si>
  <si>
    <t>DSH</t>
  </si>
  <si>
    <t>29.295</t>
  </si>
  <si>
    <t>24.875</t>
  </si>
  <si>
    <t>m³</t>
  </si>
  <si>
    <t>BSD</t>
  </si>
  <si>
    <t>1.711</t>
  </si>
  <si>
    <t>18</t>
  </si>
  <si>
    <t>Revestimento Primário</t>
  </si>
  <si>
    <t>22</t>
  </si>
  <si>
    <t>6</t>
  </si>
  <si>
    <t>km</t>
  </si>
  <si>
    <t>Hidrossemeadura</t>
  </si>
  <si>
    <t>1.059.465</t>
  </si>
  <si>
    <t>846.257</t>
  </si>
  <si>
    <t>m²</t>
  </si>
  <si>
    <t>Biomanta</t>
  </si>
  <si>
    <t>291.876</t>
  </si>
  <si>
    <t>264.955</t>
  </si>
  <si>
    <t>Pacote 02 — ATERPA</t>
  </si>
  <si>
    <t>135.689</t>
  </si>
  <si>
    <t>132.776</t>
  </si>
  <si>
    <t>Pacote 03 — Ápia</t>
  </si>
  <si>
    <t>22.238</t>
  </si>
  <si>
    <t>9.638</t>
  </si>
  <si>
    <t>Enroncamento</t>
  </si>
  <si>
    <t>5.160</t>
  </si>
  <si>
    <t>4.480</t>
  </si>
  <si>
    <t>Aterro</t>
  </si>
  <si>
    <t>6.790</t>
  </si>
  <si>
    <t>5.750</t>
  </si>
  <si>
    <t>Retaludamento</t>
  </si>
  <si>
    <t>43.031</t>
  </si>
  <si>
    <t>30.008</t>
  </si>
  <si>
    <t>Escavação 1ª</t>
  </si>
  <si>
    <t>30.698</t>
  </si>
  <si>
    <t>15.510</t>
  </si>
  <si>
    <t>Sublastro</t>
  </si>
  <si>
    <t>2.877</t>
  </si>
  <si>
    <t>980</t>
  </si>
  <si>
    <t>9.766</t>
  </si>
  <si>
    <t>1.960</t>
  </si>
  <si>
    <t>Retroaterro</t>
  </si>
  <si>
    <t>28.944</t>
  </si>
  <si>
    <t>5.600</t>
  </si>
  <si>
    <t>1.813</t>
  </si>
  <si>
    <t>327</t>
  </si>
  <si>
    <t>Camada Drenante</t>
  </si>
  <si>
    <t>11.631</t>
  </si>
  <si>
    <t>2.100</t>
  </si>
  <si>
    <t>8.357</t>
  </si>
  <si>
    <t>1.050</t>
  </si>
  <si>
    <t>52.827</t>
  </si>
  <si>
    <t>0</t>
  </si>
  <si>
    <t>46.033</t>
  </si>
  <si>
    <t>Concreto Projetado</t>
  </si>
  <si>
    <t>626</t>
  </si>
  <si>
    <t>Obturação</t>
  </si>
  <si>
    <t>3.154</t>
  </si>
  <si>
    <t>📋 PLANEJAMENTO — Detalhamento completo (acumulado, mês, programação, projeções, tendência)</t>
  </si>
  <si>
    <t>Acum. Prev.</t>
  </si>
  <si>
    <t>Acum. Real.</t>
  </si>
  <si>
    <t>Acum. Desv.</t>
  </si>
  <si>
    <t>Mês Prev.</t>
  </si>
  <si>
    <t>Mês Real.</t>
  </si>
  <si>
    <t>Mês Saldo</t>
  </si>
  <si>
    <t>Prog. S</t>
  </si>
  <si>
    <t>Prog. S+1</t>
  </si>
  <si>
    <t>Prog. S+2</t>
  </si>
  <si>
    <t>Prog. Total</t>
  </si>
  <si>
    <t>Soma Prev.</t>
  </si>
  <si>
    <t>Soma Proj.</t>
  </si>
  <si>
    <t>Soma Saldo</t>
  </si>
  <si>
    <t>Aderência</t>
  </si>
  <si>
    <t>S-1 Real.</t>
  </si>
  <si>
    <t>S-1 AD</t>
  </si>
  <si>
    <t>Tend. Duração</t>
  </si>
  <si>
    <t>Tend. Tendência</t>
  </si>
  <si>
    <t>BL</t>
  </si>
  <si>
    <t>TAC 04</t>
  </si>
  <si>
    <t>1.800</t>
  </si>
  <si>
    <t>1.742</t>
  </si>
  <si>
    <t>97%</t>
  </si>
  <si>
    <t>127</t>
  </si>
  <si>
    <t>02/10/2026</t>
  </si>
  <si>
    <t>18/04/2026</t>
  </si>
  <si>
    <t>1.315</t>
  </si>
  <si>
    <t>50</t>
  </si>
  <si>
    <t>0%</t>
  </si>
  <si>
    <t>30/04/2026</t>
  </si>
  <si>
    <t>4.333</t>
  </si>
  <si>
    <t>4</t>
  </si>
  <si>
    <t>02/08/2026</t>
  </si>
  <si>
    <t>12/06/2026</t>
  </si>
  <si>
    <t>51%</t>
  </si>
  <si>
    <t>2.739</t>
  </si>
  <si>
    <t>41%</t>
  </si>
  <si>
    <t>5</t>
  </si>
  <si>
    <t>22/07/2026</t>
  </si>
  <si>
    <t>19%</t>
  </si>
  <si>
    <t>15/07/2026</t>
  </si>
  <si>
    <t>2.024</t>
  </si>
  <si>
    <t>9</t>
  </si>
  <si>
    <t>18/07/2026</t>
  </si>
  <si>
    <t>14/07/2026</t>
  </si>
  <si>
    <t>21/07/2026</t>
  </si>
  <si>
    <t>18%</t>
  </si>
  <si>
    <t>31/07/2026</t>
  </si>
  <si>
    <t>1.278</t>
  </si>
  <si>
    <t>222</t>
  </si>
  <si>
    <t>23%</t>
  </si>
  <si>
    <t>574</t>
  </si>
  <si>
    <t>25/12/2027</t>
  </si>
  <si>
    <t>03/07/2026</t>
  </si>
  <si>
    <t>20/07/2026</t>
  </si>
  <si>
    <t>18/08/2026</t>
  </si>
  <si>
    <t>06/08/2026</t>
  </si>
  <si>
    <t>20/05/2026</t>
  </si>
  <si>
    <t>19/06/2026</t>
  </si>
  <si>
    <t>🚫 FORA DE ESCOPO + ENTREGA — Saldos e pendências</t>
  </si>
  <si>
    <t>FORA DE ESCOPO — Resumo</t>
  </si>
  <si>
    <t>Item</t>
  </si>
  <si>
    <t>Escavação</t>
  </si>
  <si>
    <t>336.307</t>
  </si>
  <si>
    <t>Drenagem Sup.</t>
  </si>
  <si>
    <t>6.851</t>
  </si>
  <si>
    <t>71.647</t>
  </si>
  <si>
    <t>61.076</t>
  </si>
  <si>
    <t>713</t>
  </si>
  <si>
    <t>11.079</t>
  </si>
  <si>
    <t>6.326</t>
  </si>
  <si>
    <t>1.491</t>
  </si>
  <si>
    <t>2.172</t>
  </si>
  <si>
    <t>Hidrossemeadura (km 77)</t>
  </si>
  <si>
    <t>10.000</t>
  </si>
  <si>
    <t>ENTREGA — Resumo (pendências)</t>
  </si>
  <si>
    <t>Previsto/Total</t>
  </si>
  <si>
    <t>Pendências Infra / Valec</t>
  </si>
  <si>
    <t>85</t>
  </si>
  <si>
    <t>Pendências Protocolo</t>
  </si>
  <si>
    <t>683</t>
  </si>
  <si>
    <t>47</t>
  </si>
  <si>
    <t>Pendências Man./Reman.</t>
  </si>
  <si>
    <t>40</t>
  </si>
  <si>
    <t>103</t>
  </si>
  <si>
    <t>7</t>
  </si>
  <si>
    <t>753</t>
  </si>
  <si>
    <t>27</t>
  </si>
  <si>
    <t>79</t>
  </si>
  <si>
    <t>29</t>
  </si>
  <si>
    <t>417</t>
  </si>
  <si>
    <t>195</t>
  </si>
  <si>
    <t>ENTREGA — Detalhamento (21 colunas, mesma estrutura de Plan-Detalhado)</t>
  </si>
  <si>
    <t>12</t>
  </si>
  <si>
    <t>24</t>
  </si>
  <si>
    <t>108</t>
  </si>
  <si>
    <t>216</t>
  </si>
  <si>
    <t>96</t>
  </si>
  <si>
    <t>14</t>
  </si>
  <si>
    <t>80</t>
  </si>
  <si>
    <t>160</t>
  </si>
  <si>
    <t>Protocolo de Entrega</t>
  </si>
  <si>
    <t>8</t>
  </si>
  <si>
    <t>1</t>
  </si>
  <si>
    <t>11</t>
  </si>
  <si>
    <t>99</t>
  </si>
  <si>
    <t>32</t>
  </si>
  <si>
    <t>🔧 RNCs — Qualidade (aderência, evolução, tempo em aberto)</t>
  </si>
  <si>
    <t>KPIs PRINCIPAIS</t>
  </si>
  <si>
    <t>EMPA — Pacote 01</t>
  </si>
  <si>
    <t>ATERPA — Pacote 02</t>
  </si>
  <si>
    <t>ÁPIA — Pacote 03</t>
  </si>
  <si>
    <t>Aderência Total (%)</t>
  </si>
  <si>
    <t>Aderência Mensal (%)</t>
  </si>
  <si>
    <t>Em andamento por contratada</t>
  </si>
  <si>
    <t>Abertas no mês</t>
  </si>
  <si>
    <t>Abertas (mês corrente)</t>
  </si>
  <si>
    <t>Fechadas/Canceladas (mês)</t>
  </si>
  <si>
    <t>EVOLUÇÃO DO MÊS — total / em andamento / aderência</t>
  </si>
  <si>
    <t>Total RNCs (início do mês)</t>
  </si>
  <si>
    <t>Em andamento (início do mês)</t>
  </si>
  <si>
    <t>Total RNCs (fim do mês)</t>
  </si>
  <si>
    <t>Aderência início (%)</t>
  </si>
  <si>
    <t>Aderência fim (%)</t>
  </si>
  <si>
    <t>TEMPO EM ABERTO — quantidade por faixa</t>
  </si>
  <si>
    <t>Faixa</t>
  </si>
  <si>
    <t>0-30 dias</t>
  </si>
  <si>
    <t>30-60 dias</t>
  </si>
  <si>
    <t>60-90 dias</t>
  </si>
  <si>
    <t>90-120 dias</t>
  </si>
  <si>
    <t>120+ dias</t>
  </si>
  <si>
    <t>📚 DATABOOKS — Pendências mensais (PREV vs REAL por mês)</t>
  </si>
  <si>
    <t>Categoria</t>
  </si>
  <si>
    <t>PREV-Mai</t>
  </si>
  <si>
    <t>REAL-Mai</t>
  </si>
  <si>
    <t>Desvio %</t>
  </si>
  <si>
    <t>PREV-Jun</t>
  </si>
  <si>
    <t>REAL-Jun</t>
  </si>
  <si>
    <t>PREV-Jul</t>
  </si>
  <si>
    <t>REAL-Jul</t>
  </si>
  <si>
    <t>PREV-Ago</t>
  </si>
  <si>
    <t>REAL-Ago</t>
  </si>
  <si>
    <t>PREV-Set</t>
  </si>
  <si>
    <t>REAL-Set</t>
  </si>
  <si>
    <t>PREV-Out</t>
  </si>
  <si>
    <t>REAL-Out</t>
  </si>
  <si>
    <t>BK | Aprovação OIA</t>
  </si>
  <si>
    <t>RNC</t>
  </si>
  <si>
    <t>Total</t>
  </si>
  <si>
    <t>📑 DATABOOKS — Por ativo (data envio, nota qualitativa, previsão revisão)</t>
  </si>
  <si>
    <t>Ativo</t>
  </si>
  <si>
    <t>Data de envio da análise</t>
  </si>
  <si>
    <t>Nota Qualitativa</t>
  </si>
  <si>
    <t>Previsão de revisão</t>
  </si>
  <si>
    <t>Observações</t>
  </si>
  <si>
    <t>OAE Rio dos Bois</t>
  </si>
  <si>
    <t>21/02/2026</t>
  </si>
  <si>
    <t>28/05/2026</t>
  </si>
  <si>
    <t>Enviado para análise do OIA A REV C</t>
  </si>
  <si>
    <t>PI</t>
  </si>
  <si>
    <t>15/01/2026</t>
  </si>
  <si>
    <t>69%</t>
  </si>
  <si>
    <t>Infraestrutura</t>
  </si>
  <si>
    <t>OAE Rio do Peixe</t>
  </si>
  <si>
    <t>27/01/2026</t>
  </si>
  <si>
    <t>99%</t>
  </si>
  <si>
    <t>22/05/2026</t>
  </si>
  <si>
    <t>Pendente As built</t>
  </si>
  <si>
    <t>OAE Ribeirão do Meio</t>
  </si>
  <si>
    <t>27/04/2026</t>
  </si>
  <si>
    <t>79%</t>
  </si>
  <si>
    <t>05/06/2026</t>
  </si>
  <si>
    <t>Enviado para análise do OIA A REV A</t>
  </si>
  <si>
    <t>OAE Boldaia</t>
  </si>
  <si>
    <t>13/12/2025</t>
  </si>
  <si>
    <t>15/05/2026</t>
  </si>
  <si>
    <t>Enviado para análise do OIA A REV B</t>
  </si>
  <si>
    <t>OAE Crixás</t>
  </si>
  <si>
    <t>30/04/2025</t>
  </si>
  <si>
    <t>30/05/2026</t>
  </si>
  <si>
    <t>Aguardando revisão da contratada · ⚠ verificar data de envio</t>
  </si>
  <si>
    <t>PI 154</t>
  </si>
  <si>
    <t>03/11/2025</t>
  </si>
  <si>
    <t>96%</t>
  </si>
  <si>
    <t>Aguardando revisão da contratada</t>
  </si>
  <si>
    <t>Infraestrutura Seg.1.7 e 1.8</t>
  </si>
  <si>
    <t>15/06/2026</t>
  </si>
  <si>
    <t>Infraestrutura Seg.2.1 e 2.2</t>
  </si>
  <si>
    <t>30/06/2026</t>
  </si>
  <si>
    <t>Escorregamentos</t>
  </si>
  <si>
    <t>Agendado reunião com a contratada p/ definir data</t>
  </si>
  <si>
    <t>🏗️ AS BUILT + PONTOS CRÍTICOS — Por pacote</t>
  </si>
  <si>
    <t>AS BUILT</t>
  </si>
  <si>
    <t>Finalizado</t>
  </si>
  <si>
    <t>% Finalizado</t>
  </si>
  <si>
    <t>PONTOS CRÍTICOS — texto exibido nos cards</t>
  </si>
  <si>
    <t>Descrição do ponto crítico</t>
  </si>
  <si>
    <t>C-04 / C-07 — Monitoramento Colchão Drenante</t>
  </si>
  <si>
    <t>C-19 — Erosões</t>
  </si>
  <si>
    <t>C-23 / C-25 / C-27 — Colchão Drenante</t>
  </si>
  <si>
    <t>C-27 — Retaludamento + Super provisória (linha deslocada)</t>
  </si>
  <si>
    <t>C-02 — Concreto Projetado</t>
  </si>
  <si>
    <t>C-05 — Colchão Drenante</t>
  </si>
  <si>
    <t>C-04 — Reconformação / Finalizações</t>
  </si>
  <si>
    <t>C-10 — Obturações · Acesso a implantar (revisão de projeto)</t>
  </si>
  <si>
    <t>Afloramento de rocha · BSD · Concreto projetado</t>
  </si>
  <si>
    <t>Camada drenante — múltiplos cortes (retaludamento)</t>
  </si>
  <si>
    <t>Desobstrução de bueiro · Enrocamento · DSH</t>
  </si>
  <si>
    <t>Escorregamentos — reunião com contratada p/ definir data</t>
  </si>
  <si>
    <t>🗺️ RETIGRÁFICO — Pacote 01 (EMPA – Teixeira Duarte) — 16 atividades × 94 ativos</t>
  </si>
  <si>
    <t>Códigos:</t>
  </si>
  <si>
    <t>c = concluído</t>
  </si>
  <si>
    <t>a = em andamento</t>
  </si>
  <si>
    <t>n = não aplicável</t>
  </si>
  <si>
    <t>p = pendente</t>
  </si>
  <si>
    <t>r = crítico (linha RESTRIÇÕES)</t>
  </si>
  <si>
    <t>Segmento</t>
  </si>
  <si>
    <t>Alça Sul</t>
  </si>
  <si>
    <t>Seg 1.1A</t>
  </si>
  <si>
    <t>Seg 1.1B</t>
  </si>
  <si>
    <t>Seg 1.2</t>
  </si>
  <si>
    <t>Seg 1.3</t>
  </si>
  <si>
    <t>Seg 1.4</t>
  </si>
  <si>
    <t>C-01</t>
  </si>
  <si>
    <t>A-01</t>
  </si>
  <si>
    <t>C-02</t>
  </si>
  <si>
    <t>A-02</t>
  </si>
  <si>
    <t>C-03</t>
  </si>
  <si>
    <t>A-03</t>
  </si>
  <si>
    <t>C-04</t>
  </si>
  <si>
    <t>A-04</t>
  </si>
  <si>
    <t>C-05</t>
  </si>
  <si>
    <t>A-05</t>
  </si>
  <si>
    <t>C-06</t>
  </si>
  <si>
    <t>A-06</t>
  </si>
  <si>
    <t>C-07</t>
  </si>
  <si>
    <t>A-07</t>
  </si>
  <si>
    <t>C-08</t>
  </si>
  <si>
    <t>A-08</t>
  </si>
  <si>
    <t>C-09</t>
  </si>
  <si>
    <t>A-09</t>
  </si>
  <si>
    <t>C-10</t>
  </si>
  <si>
    <t>A-10</t>
  </si>
  <si>
    <t>C-11</t>
  </si>
  <si>
    <t>A-11</t>
  </si>
  <si>
    <t>C-12</t>
  </si>
  <si>
    <t>A-12</t>
  </si>
  <si>
    <t>A-13</t>
  </si>
  <si>
    <t>C-14</t>
  </si>
  <si>
    <t>A-14</t>
  </si>
  <si>
    <t>A-15</t>
  </si>
  <si>
    <t>C-15</t>
  </si>
  <si>
    <t>A-16</t>
  </si>
  <si>
    <t>C-16</t>
  </si>
  <si>
    <t>C-17</t>
  </si>
  <si>
    <t>A-17</t>
  </si>
  <si>
    <t>A-18</t>
  </si>
  <si>
    <t>A-19</t>
  </si>
  <si>
    <t>C-18</t>
  </si>
  <si>
    <t>A-20</t>
  </si>
  <si>
    <t>C-19</t>
  </si>
  <si>
    <t>A-22</t>
  </si>
  <si>
    <t>C-20</t>
  </si>
  <si>
    <t>A-23</t>
  </si>
  <si>
    <t>C-21</t>
  </si>
  <si>
    <t>A-24</t>
  </si>
  <si>
    <t>C-22</t>
  </si>
  <si>
    <t>A-25</t>
  </si>
  <si>
    <t>C-23</t>
  </si>
  <si>
    <t>A-26</t>
  </si>
  <si>
    <t>A-27</t>
  </si>
  <si>
    <t>A-28</t>
  </si>
  <si>
    <t>C-24</t>
  </si>
  <si>
    <t>C-25</t>
  </si>
  <si>
    <t>A-29</t>
  </si>
  <si>
    <t>C-26</t>
  </si>
  <si>
    <t>A-30</t>
  </si>
  <si>
    <t>C-27</t>
  </si>
  <si>
    <t>A-31</t>
  </si>
  <si>
    <t>C-28</t>
  </si>
  <si>
    <t>A-32</t>
  </si>
  <si>
    <t>C-29</t>
  </si>
  <si>
    <t>C-30</t>
  </si>
  <si>
    <t>C-31</t>
  </si>
  <si>
    <t>A-41</t>
  </si>
  <si>
    <t>C-37</t>
  </si>
  <si>
    <t>A-42</t>
  </si>
  <si>
    <t>C-38</t>
  </si>
  <si>
    <t>A-43</t>
  </si>
  <si>
    <t>C-39</t>
  </si>
  <si>
    <t>A-44</t>
  </si>
  <si>
    <t>C-40</t>
  </si>
  <si>
    <t>C-41</t>
  </si>
  <si>
    <t>A-45</t>
  </si>
  <si>
    <t>C-42</t>
  </si>
  <si>
    <t>A-46</t>
  </si>
  <si>
    <t>C-43</t>
  </si>
  <si>
    <t>A-47</t>
  </si>
  <si>
    <t>C-44</t>
  </si>
  <si>
    <t>A-48</t>
  </si>
  <si>
    <t>KM Final</t>
  </si>
  <si>
    <t>0+160</t>
  </si>
  <si>
    <t>0+380</t>
  </si>
  <si>
    <t>0+685</t>
  </si>
  <si>
    <t>0+820</t>
  </si>
  <si>
    <t>1+045</t>
  </si>
  <si>
    <t>1+320</t>
  </si>
  <si>
    <t>1+945</t>
  </si>
  <si>
    <t>2+100</t>
  </si>
  <si>
    <t>2+200</t>
  </si>
  <si>
    <t>2+300</t>
  </si>
  <si>
    <t>0+220</t>
  </si>
  <si>
    <t>0+510</t>
  </si>
  <si>
    <t>1+010</t>
  </si>
  <si>
    <t>1+120</t>
  </si>
  <si>
    <t>1+200</t>
  </si>
  <si>
    <t>1+520</t>
  </si>
  <si>
    <t>2+350</t>
  </si>
  <si>
    <t>2+500</t>
  </si>
  <si>
    <t>2+630</t>
  </si>
  <si>
    <t>3+040</t>
  </si>
  <si>
    <t>3+100</t>
  </si>
  <si>
    <t>3+290</t>
  </si>
  <si>
    <t>3+830</t>
  </si>
  <si>
    <t>4+050</t>
  </si>
  <si>
    <t>4+200</t>
  </si>
  <si>
    <t>4+400</t>
  </si>
  <si>
    <t>4+360</t>
  </si>
  <si>
    <t>4+460</t>
  </si>
  <si>
    <t>4+590</t>
  </si>
  <si>
    <t>6+020</t>
  </si>
  <si>
    <t>5+740</t>
  </si>
  <si>
    <t>6+660</t>
  </si>
  <si>
    <t>6+300</t>
  </si>
  <si>
    <t>6+500</t>
  </si>
  <si>
    <t>6+820</t>
  </si>
  <si>
    <t>7+520</t>
  </si>
  <si>
    <t>7+860</t>
  </si>
  <si>
    <t>8+740</t>
  </si>
  <si>
    <t>8+880</t>
  </si>
  <si>
    <t>9+020</t>
  </si>
  <si>
    <t>9+200</t>
  </si>
  <si>
    <t>9+240</t>
  </si>
  <si>
    <t>9+320</t>
  </si>
  <si>
    <t>9+420</t>
  </si>
  <si>
    <t>9+620</t>
  </si>
  <si>
    <t>9+720</t>
  </si>
  <si>
    <t>9+760</t>
  </si>
  <si>
    <t>9+880</t>
  </si>
  <si>
    <t>9+960</t>
  </si>
  <si>
    <t>10+200</t>
  </si>
  <si>
    <t>10+420</t>
  </si>
  <si>
    <t>10+500</t>
  </si>
  <si>
    <t>10+780</t>
  </si>
  <si>
    <t>11+000</t>
  </si>
  <si>
    <t>11+200</t>
  </si>
  <si>
    <t>11+280</t>
  </si>
  <si>
    <t>11+440</t>
  </si>
  <si>
    <t>11+760</t>
  </si>
  <si>
    <t>12+100</t>
  </si>
  <si>
    <t>12+190</t>
  </si>
  <si>
    <t>15+440</t>
  </si>
  <si>
    <t>15+700</t>
  </si>
  <si>
    <t>16+720</t>
  </si>
  <si>
    <t>16+800</t>
  </si>
  <si>
    <t>19+480</t>
  </si>
  <si>
    <t>19+560</t>
  </si>
  <si>
    <t>20+580</t>
  </si>
  <si>
    <t>21+440</t>
  </si>
  <si>
    <t>23+000</t>
  </si>
  <si>
    <t>23+580</t>
  </si>
  <si>
    <t>26+420</t>
  </si>
  <si>
    <t>26+800</t>
  </si>
  <si>
    <t>27+100</t>
  </si>
  <si>
    <t>29+680</t>
  </si>
  <si>
    <t>29+880</t>
  </si>
  <si>
    <t>30+920</t>
  </si>
  <si>
    <t>31+840</t>
  </si>
  <si>
    <t>33+220</t>
  </si>
  <si>
    <t>34+000</t>
  </si>
  <si>
    <t>34+460</t>
  </si>
  <si>
    <t>34+620</t>
  </si>
  <si>
    <t>35+140</t>
  </si>
  <si>
    <t>35+880</t>
  </si>
  <si>
    <t>36+420</t>
  </si>
  <si>
    <t>36+660</t>
  </si>
  <si>
    <t>36+980</t>
  </si>
  <si>
    <t>37+140</t>
  </si>
  <si>
    <t>38+100</t>
  </si>
  <si>
    <t>RESTRIÇÕES</t>
  </si>
  <si>
    <t>🗺️ RETIGRÁFICO — Pacote 02 (ATERPA) — 16 atividades × 64 ativos</t>
  </si>
  <si>
    <t>Seg 1.4B</t>
  </si>
  <si>
    <t>Seg 1.5</t>
  </si>
  <si>
    <t>Seg 1.6</t>
  </si>
  <si>
    <t>C-13</t>
  </si>
  <si>
    <t>A-21</t>
  </si>
  <si>
    <t>38+180</t>
  </si>
  <si>
    <t>38+720</t>
  </si>
  <si>
    <t>39+680</t>
  </si>
  <si>
    <t>40+110</t>
  </si>
  <si>
    <t>40+180</t>
  </si>
  <si>
    <t>40+600</t>
  </si>
  <si>
    <t>40+800</t>
  </si>
  <si>
    <t>41+100</t>
  </si>
  <si>
    <t>41+500</t>
  </si>
  <si>
    <t>42+000</t>
  </si>
  <si>
    <t>42+310</t>
  </si>
  <si>
    <t>43+320</t>
  </si>
  <si>
    <t>43+600</t>
  </si>
  <si>
    <t>44+450</t>
  </si>
  <si>
    <t>44+650</t>
  </si>
  <si>
    <t>44+900</t>
  </si>
  <si>
    <t>45+100</t>
  </si>
  <si>
    <t>45+400</t>
  </si>
  <si>
    <t>46+100</t>
  </si>
  <si>
    <t>46+500</t>
  </si>
  <si>
    <t>46+700</t>
  </si>
  <si>
    <t>47+000</t>
  </si>
  <si>
    <t>48+160</t>
  </si>
  <si>
    <t>49+200</t>
  </si>
  <si>
    <t>49+480</t>
  </si>
  <si>
    <t>49+580</t>
  </si>
  <si>
    <t>49+950</t>
  </si>
  <si>
    <t>50+200</t>
  </si>
  <si>
    <t>50+350</t>
  </si>
  <si>
    <t>50+800</t>
  </si>
  <si>
    <t>51+000</t>
  </si>
  <si>
    <t>51+200</t>
  </si>
  <si>
    <t>51+400</t>
  </si>
  <si>
    <t>51+600</t>
  </si>
  <si>
    <t>51+800</t>
  </si>
  <si>
    <t>51+950</t>
  </si>
  <si>
    <t>52+200</t>
  </si>
  <si>
    <t>53+100</t>
  </si>
  <si>
    <t>54+450</t>
  </si>
  <si>
    <t>55+050</t>
  </si>
  <si>
    <t>55+231</t>
  </si>
  <si>
    <t>55+500</t>
  </si>
  <si>
    <t>55+700</t>
  </si>
  <si>
    <t>55+900</t>
  </si>
  <si>
    <t>56+030</t>
  </si>
  <si>
    <t>56+170</t>
  </si>
  <si>
    <t>56+200</t>
  </si>
  <si>
    <t>57+310</t>
  </si>
  <si>
    <t>57+540</t>
  </si>
  <si>
    <t>58+880</t>
  </si>
  <si>
    <t>59+400</t>
  </si>
  <si>
    <t>59+600</t>
  </si>
  <si>
    <t>62+500</t>
  </si>
  <si>
    <t>63+300</t>
  </si>
  <si>
    <t>63+700</t>
  </si>
  <si>
    <t>64+500</t>
  </si>
  <si>
    <t>65+400</t>
  </si>
  <si>
    <t>67+100</t>
  </si>
  <si>
    <t>67+200</t>
  </si>
  <si>
    <t>69+300</t>
  </si>
  <si>
    <t>69+700</t>
  </si>
  <si>
    <t>70+500</t>
  </si>
  <si>
    <t>71+150</t>
  </si>
  <si>
    <t>71+300</t>
  </si>
  <si>
    <t>🗺️ RETIGRÁFICO — Pacote 03 (Ápia) — 19 atividades × 68 ativos</t>
  </si>
  <si>
    <t>Seg 1.7</t>
  </si>
  <si>
    <t>Seg 1.8</t>
  </si>
  <si>
    <t>Seg 2.1</t>
  </si>
  <si>
    <t>Seg 2.2A</t>
  </si>
  <si>
    <t>C-32</t>
  </si>
  <si>
    <t>A-33</t>
  </si>
  <si>
    <t>C-33</t>
  </si>
  <si>
    <t>A-34</t>
  </si>
  <si>
    <t>C-34</t>
  </si>
  <si>
    <t>C-35</t>
  </si>
  <si>
    <t>72+000</t>
  </si>
  <si>
    <t>72+440</t>
  </si>
  <si>
    <t>72+760</t>
  </si>
  <si>
    <t>73+780</t>
  </si>
  <si>
    <t>74+340</t>
  </si>
  <si>
    <t>75+100</t>
  </si>
  <si>
    <t>76+280</t>
  </si>
  <si>
    <t>75+880</t>
  </si>
  <si>
    <t>76+740</t>
  </si>
  <si>
    <t>76+500</t>
  </si>
  <si>
    <t>78+760</t>
  </si>
  <si>
    <t>77+580</t>
  </si>
  <si>
    <t>79+400</t>
  </si>
  <si>
    <t>78+880</t>
  </si>
  <si>
    <t>79+760</t>
  </si>
  <si>
    <t>79+520</t>
  </si>
  <si>
    <t>80+700</t>
  </si>
  <si>
    <t>80+100</t>
  </si>
  <si>
    <t>81+600</t>
  </si>
  <si>
    <t>81+440</t>
  </si>
  <si>
    <t>81+940</t>
  </si>
  <si>
    <t>81+820</t>
  </si>
  <si>
    <t>82+160</t>
  </si>
  <si>
    <t>81+980</t>
  </si>
  <si>
    <t>82+660</t>
  </si>
  <si>
    <t>82+420</t>
  </si>
  <si>
    <t>83+580</t>
  </si>
  <si>
    <t>82+880</t>
  </si>
  <si>
    <t>84+560</t>
  </si>
  <si>
    <t>84+240</t>
  </si>
  <si>
    <t>85+580</t>
  </si>
  <si>
    <t>85+340</t>
  </si>
  <si>
    <t>86+560</t>
  </si>
  <si>
    <t>85+960</t>
  </si>
  <si>
    <t>87+740</t>
  </si>
  <si>
    <t>87+540</t>
  </si>
  <si>
    <t>88+220</t>
  </si>
  <si>
    <t>88+920</t>
  </si>
  <si>
    <t>88+930</t>
  </si>
  <si>
    <t>89+820</t>
  </si>
  <si>
    <t>90+040</t>
  </si>
  <si>
    <t>90+340</t>
  </si>
  <si>
    <t>90+640</t>
  </si>
  <si>
    <t>90+940</t>
  </si>
  <si>
    <t>91+900</t>
  </si>
  <si>
    <t>92+440</t>
  </si>
  <si>
    <t>92+740</t>
  </si>
  <si>
    <t>93+640</t>
  </si>
  <si>
    <t>94+880</t>
  </si>
  <si>
    <t>95+380</t>
  </si>
  <si>
    <t>95+440</t>
  </si>
  <si>
    <t>95+800</t>
  </si>
  <si>
    <t>97+100</t>
  </si>
  <si>
    <t>97+520</t>
  </si>
  <si>
    <t>97+820</t>
  </si>
  <si>
    <t>97+960</t>
  </si>
  <si>
    <t>98+960</t>
  </si>
  <si>
    <t>100+740</t>
  </si>
  <si>
    <t>101+580</t>
  </si>
  <si>
    <t>101+740</t>
  </si>
  <si>
    <t>102+400</t>
  </si>
  <si>
    <t>102+620</t>
  </si>
  <si>
    <t>102+720</t>
  </si>
  <si>
    <t>103+060</t>
  </si>
  <si>
    <t>103+360</t>
  </si>
  <si>
    <t>103+560</t>
  </si>
  <si>
    <t>104+160</t>
  </si>
  <si>
    <t>104+480</t>
  </si>
  <si>
    <t>OAC</t>
  </si>
  <si>
    <t>CERCA DEFINITIVA</t>
  </si>
  <si>
    <t>CORTE/ATERRO</t>
  </si>
  <si>
    <t>CAMADA FINAL</t>
  </si>
  <si>
    <t>REMOÇÃO SOBRELARGURA</t>
  </si>
  <si>
    <t>COLCHÃO DRENANTE</t>
  </si>
  <si>
    <t>SUBLASTRO (LANÇADO)</t>
  </si>
  <si>
    <t>SUBLASTRO (PLANO COTADO)</t>
  </si>
  <si>
    <t>DRENAGEM SUP. - PLATAFORMA</t>
  </si>
  <si>
    <t>DREN SUP. - BANQ/BERMA/ DAD</t>
  </si>
  <si>
    <t>REVEST. VEGETAL - PLATAFORMA</t>
  </si>
  <si>
    <t>REVEST. VEGETAL - ADME'S</t>
  </si>
  <si>
    <t>ACESSO TRANVERSAIS</t>
  </si>
  <si>
    <t xml:space="preserve">TRANSFERÊNCIA DE CUSTÓDIA </t>
  </si>
  <si>
    <t>PRÉ-LASTRO</t>
  </si>
  <si>
    <t xml:space="preserve">MONTAGEM DE GRADE </t>
  </si>
  <si>
    <t>LIMPEZA DE CANALETAS</t>
  </si>
  <si>
    <t>ROÇADA</t>
  </si>
  <si>
    <t>PRAD</t>
  </si>
  <si>
    <t>Mês Saldo Acumulado</t>
  </si>
  <si>
    <t>37+600</t>
  </si>
  <si>
    <t>33+080</t>
  </si>
  <si>
    <t>31+900</t>
  </si>
  <si>
    <t>32+280</t>
  </si>
  <si>
    <t>36+020</t>
  </si>
  <si>
    <t>36+120</t>
  </si>
  <si>
    <t>36+280</t>
  </si>
  <si>
    <t>37+340</t>
  </si>
  <si>
    <t>A-37</t>
  </si>
  <si>
    <t>13+860</t>
  </si>
  <si>
    <t>C-04 -  Monitoramento Colchão Drenante</t>
  </si>
  <si>
    <t>C-07 -  Monitoramento Colchão Drenante</t>
  </si>
  <si>
    <t>C-19 - Erosões</t>
  </si>
  <si>
    <t>C-23 - Colchão Drenante</t>
  </si>
  <si>
    <t>C-25 - Colchão Drenante</t>
  </si>
  <si>
    <t>C-27 -  Retaludamento</t>
  </si>
  <si>
    <t>C-27 - Colchão Drenante</t>
  </si>
  <si>
    <t>C27 - Super provisória - Linha deslocada</t>
  </si>
  <si>
    <t>A-37 - Remoção de Sobrelargura</t>
  </si>
  <si>
    <t>C42 - Reconformação / Finalizações</t>
  </si>
  <si>
    <t>A-46 - Escalonamento</t>
  </si>
  <si>
    <t>C43 - Obturações</t>
  </si>
  <si>
    <t>C-05 - ???</t>
  </si>
  <si>
    <t>Lindeiro</t>
  </si>
  <si>
    <t>C-02 - Concreto Projetado</t>
  </si>
  <si>
    <t>C-05 - Colchão Drenante</t>
  </si>
  <si>
    <t>C04 - Reconformação / Finalizações</t>
  </si>
  <si>
    <t>Acesso à ser implantado</t>
  </si>
  <si>
    <t>Revisão de projeto acesso</t>
  </si>
  <si>
    <t>C-10 - Obturações</t>
  </si>
  <si>
    <t>Acum. Real.Maio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</si>
</sst>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b/>
      <sz val="13"/>
      <color rgb="FFFFFFFF"/>
      <name val="Arial"/>
    </font>
    <font>
      <b/>
      <sz val="10"/>
      <name val="Arial"/>
    </font>
    <font>
      <sz val="10"/>
      <name val="Arial"/>
    </font>
    <font>
      <b/>
      <sz val="11"/>
      <color rgb="FF008F83"/>
      <name val="Arial"/>
    </font>
    <font>
      <i/>
      <sz val="9"/>
      <color rgb="FF666666"/>
      <name val="Arial"/>
    </font>
    <font>
      <b/>
      <sz val="11"/>
      <color rgb="FFFFFFFF"/>
      <name val="Arial"/>
    </font>
    <font>
      <i/>
      <sz val="10"/>
      <color rgb="FF666666"/>
      <name val="Arial"/>
    </font>
    <font>
      <b/>
      <sz val="9"/>
      <name val="Arial"/>
    </font>
    <font>
      <i/>
      <sz val="8"/>
      <name val="Arial"/>
    </font>
    <font>
      <b/>
      <sz val="8"/>
      <name val="Arial"/>
    </font>
    <font>
      <i/>
      <sz val="7"/>
      <color rgb="FF666666"/>
      <name val="Arial"/>
    </font>
    <font>
      <b/>
      <sz val="9"/>
      <color rgb="FFB02020"/>
      <name val="Arial"/>
    </font>
    <font>
      <sz val="11"/>
      <color theme="1"/>
      <name val="Calibri"/>
      <family val="2"/>
      <scheme val="minor"/>
    </font>
    <font>
      <b/>
      <sz val="8"/>
      <name val="Arial"/>
      <family val="2"/>
    </font>
    <font>
      <sz val="10"/>
      <name val="Arial"/>
      <family val="2"/>
    </font>
    <font>
      <b/>
      <i/>
      <sz val="8"/>
      <color theme="1" tint="0.249977111117893"/>
      <name val="Calibri"/>
      <family val="2"/>
      <scheme val="minor"/>
    </font>
    <font>
      <sz val="10"/>
      <color theme="1"/>
      <name val="Calibri"/>
      <family val="2"/>
      <scheme val="minor"/>
    </font>
    <font>
      <sz val="10"/>
      <color theme="1"/>
      <name val="Calibri"/>
      <scheme val="minor"/>
    </font>
  </fonts>
  <fills count="20">
    <fill>
      <patternFill patternType="none"/>
    </fill>
    <fill>
      <patternFill patternType="gray125"/>
    </fill>
    <fill>
      <patternFill patternType="solid">
        <fgColor rgb="FF0D2546"/>
      </patternFill>
    </fill>
    <fill>
      <patternFill patternType="solid">
        <fgColor rgb="FFFFF9E6"/>
      </patternFill>
    </fill>
    <fill>
      <patternFill patternType="solid">
        <fgColor rgb="FFE8EEF5"/>
      </patternFill>
    </fill>
    <fill>
      <patternFill patternType="solid">
        <fgColor rgb="FFEEEEEE"/>
      </patternFill>
    </fill>
    <fill>
      <patternFill patternType="solid">
        <fgColor rgb="FF008F83"/>
      </patternFill>
    </fill>
    <fill>
      <patternFill patternType="solid">
        <fgColor rgb="FFE8F4F0"/>
      </patternFill>
    </fill>
    <fill>
      <patternFill patternType="solid">
        <fgColor rgb="FFFFF8E1"/>
      </patternFill>
    </fill>
    <fill>
      <patternFill patternType="solid">
        <fgColor rgb="FFFCE8E8"/>
      </patternFill>
    </fill>
    <fill>
      <patternFill patternType="solid">
        <fgColor rgb="FF666666"/>
      </patternFill>
    </fill>
    <fill>
      <patternFill patternType="solid">
        <fgColor rgb="FFB8E6C1"/>
      </patternFill>
    </fill>
    <fill>
      <patternFill patternType="solid">
        <fgColor rgb="FFFFE699"/>
      </patternFill>
    </fill>
    <fill>
      <patternFill patternType="solid">
        <fgColor rgb="FFBFBFBF"/>
      </patternFill>
    </fill>
    <fill>
      <patternFill patternType="solid">
        <fgColor rgb="FFFFFFFF"/>
      </patternFill>
    </fill>
    <fill>
      <patternFill patternType="solid">
        <fgColor rgb="FFF4B6B6"/>
      </patternFill>
    </fill>
    <fill>
      <patternFill patternType="solid">
        <fgColor rgb="FFFFE699"/>
        <bgColor indexed="64"/>
      </patternFill>
    </fill>
    <fill>
      <patternFill patternType="solid">
        <fgColor rgb="FFBFBFBF"/>
        <bgColor indexed="64"/>
      </patternFill>
    </fill>
    <fill>
      <patternFill patternType="solid">
        <fgColor rgb="FFFFFFFF"/>
        <bgColor indexed="64"/>
      </patternFill>
    </fill>
    <fill>
      <patternFill patternType="solid">
        <fgColor rgb="FFE8F4F0"/>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4">
    <xf numFmtId="0" fontId="0" fillId="0" borderId="0"/>
    <xf numFmtId="43" fontId="13" fillId="0" borderId="0" applyFont="0" applyFill="0" applyBorder="0" applyAlignment="0" applyProtection="0"/>
    <xf numFmtId="9" fontId="13" fillId="0" borderId="0" applyFont="0" applyFill="0" applyBorder="0" applyAlignment="0" applyProtection="0"/>
    <xf numFmtId="0" fontId="15" fillId="0" borderId="0"/>
  </cellStyleXfs>
  <cellXfs count="64">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xf numFmtId="0" fontId="3" fillId="3" borderId="1" xfId="0" applyFont="1" applyFill="1" applyBorder="1" applyAlignment="1">
      <alignment horizontal="center" vertical="center"/>
    </xf>
    <xf numFmtId="0" fontId="5" fillId="0" borderId="0" xfId="0" applyFont="1"/>
    <xf numFmtId="0" fontId="6" fillId="2" borderId="1" xfId="0" applyFont="1" applyFill="1" applyBorder="1" applyAlignment="1">
      <alignment horizontal="center" vertical="center" wrapText="1"/>
    </xf>
    <xf numFmtId="0" fontId="2" fillId="4" borderId="1" xfId="0" applyFont="1" applyFill="1" applyBorder="1" applyAlignment="1">
      <alignment horizontal="left" indent="1"/>
    </xf>
    <xf numFmtId="0" fontId="7" fillId="5" borderId="1" xfId="0" applyFont="1" applyFill="1" applyBorder="1" applyAlignment="1">
      <alignment horizontal="center" vertical="center"/>
    </xf>
    <xf numFmtId="0" fontId="2" fillId="7" borderId="1" xfId="0" applyFont="1" applyFill="1" applyBorder="1" applyAlignment="1">
      <alignment horizontal="left" indent="1"/>
    </xf>
    <xf numFmtId="0" fontId="3" fillId="3" borderId="1" xfId="0" applyFont="1" applyFill="1" applyBorder="1" applyAlignment="1">
      <alignment horizontal="left" vertical="center" wrapText="1"/>
    </xf>
    <xf numFmtId="0" fontId="2" fillId="8" borderId="1" xfId="0" applyFont="1" applyFill="1" applyBorder="1" applyAlignment="1">
      <alignment horizontal="left" indent="1"/>
    </xf>
    <xf numFmtId="0" fontId="2" fillId="9" borderId="1" xfId="0" applyFont="1" applyFill="1" applyBorder="1" applyAlignment="1">
      <alignment horizontal="left" indent="1"/>
    </xf>
    <xf numFmtId="0" fontId="0" fillId="2" borderId="1" xfId="0" applyFill="1" applyBorder="1"/>
    <xf numFmtId="0" fontId="0" fillId="7" borderId="1" xfId="0" applyFill="1" applyBorder="1" applyAlignment="1">
      <alignment horizontal="center"/>
    </xf>
    <xf numFmtId="0" fontId="3" fillId="3" borderId="1" xfId="0" applyFont="1" applyFill="1" applyBorder="1" applyAlignment="1">
      <alignment horizontal="left" indent="1"/>
    </xf>
    <xf numFmtId="0" fontId="0" fillId="8" borderId="1" xfId="0" applyFill="1" applyBorder="1" applyAlignment="1">
      <alignment horizontal="center"/>
    </xf>
    <xf numFmtId="0" fontId="0" fillId="9" borderId="1" xfId="0" applyFill="1" applyBorder="1" applyAlignment="1">
      <alignment horizontal="center"/>
    </xf>
    <xf numFmtId="0" fontId="3" fillId="3" borderId="1" xfId="0" applyFont="1" applyFill="1" applyBorder="1" applyAlignment="1">
      <alignment horizontal="left" vertical="center" wrapText="1" indent="1"/>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8" fillId="14" borderId="1" xfId="0" applyFont="1" applyFill="1" applyBorder="1" applyAlignment="1">
      <alignment horizontal="center"/>
    </xf>
    <xf numFmtId="0" fontId="8" fillId="15" borderId="1" xfId="0" applyFont="1" applyFill="1" applyBorder="1" applyAlignment="1">
      <alignment horizontal="center"/>
    </xf>
    <xf numFmtId="0" fontId="2" fillId="4" borderId="1" xfId="0" applyFont="1" applyFill="1" applyBorder="1" applyAlignment="1">
      <alignment horizontal="center" vertical="center" wrapText="1"/>
    </xf>
    <xf numFmtId="0" fontId="9" fillId="4" borderId="1" xfId="0" applyFont="1" applyFill="1" applyBorder="1" applyAlignment="1">
      <alignment horizontal="center" textRotation="90"/>
    </xf>
    <xf numFmtId="0" fontId="10" fillId="4" borderId="1" xfId="0" applyFont="1" applyFill="1" applyBorder="1" applyAlignment="1">
      <alignment horizontal="center"/>
    </xf>
    <xf numFmtId="0" fontId="11" fillId="4" borderId="1" xfId="0" applyFont="1" applyFill="1" applyBorder="1" applyAlignment="1">
      <alignment horizontal="center" textRotation="90"/>
    </xf>
    <xf numFmtId="0" fontId="8" fillId="4" borderId="1" xfId="0" applyFont="1" applyFill="1" applyBorder="1" applyAlignment="1">
      <alignment horizontal="right" vertical="center" indent="1"/>
    </xf>
    <xf numFmtId="0" fontId="10" fillId="11"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12" borderId="1" xfId="0" applyFont="1" applyFill="1" applyBorder="1" applyAlignment="1">
      <alignment horizontal="center" vertical="center"/>
    </xf>
    <xf numFmtId="0" fontId="12" fillId="15" borderId="1" xfId="0" applyFont="1" applyFill="1" applyBorder="1" applyAlignment="1">
      <alignment horizontal="right" vertical="center" indent="1"/>
    </xf>
    <xf numFmtId="0" fontId="10" fillId="15" borderId="1" xfId="0" applyFont="1" applyFill="1" applyBorder="1" applyAlignment="1">
      <alignment horizontal="center" vertical="center"/>
    </xf>
    <xf numFmtId="43" fontId="3" fillId="3" borderId="1" xfId="1" applyFont="1" applyFill="1" applyBorder="1" applyAlignment="1">
      <alignment horizontal="center" vertical="center"/>
    </xf>
    <xf numFmtId="0" fontId="10" fillId="16" borderId="1" xfId="0" applyFont="1" applyFill="1" applyBorder="1" applyAlignment="1">
      <alignment horizontal="center" vertical="center"/>
    </xf>
    <xf numFmtId="0" fontId="10" fillId="17" borderId="1" xfId="0" applyFont="1" applyFill="1" applyBorder="1" applyAlignment="1">
      <alignment horizontal="center" vertical="center"/>
    </xf>
    <xf numFmtId="0" fontId="10" fillId="18" borderId="1" xfId="0" applyFont="1" applyFill="1" applyBorder="1" applyAlignment="1">
      <alignment horizontal="center" vertical="center"/>
    </xf>
    <xf numFmtId="0" fontId="14" fillId="11" borderId="1" xfId="0" applyFont="1" applyFill="1" applyBorder="1" applyAlignment="1">
      <alignment horizontal="center" vertical="center"/>
    </xf>
    <xf numFmtId="43" fontId="3" fillId="19" borderId="1" xfId="0" applyNumberFormat="1" applyFont="1" applyFill="1" applyBorder="1" applyAlignment="1">
      <alignment horizontal="center" vertical="center"/>
    </xf>
    <xf numFmtId="0" fontId="3" fillId="19" borderId="1" xfId="0" applyFont="1" applyFill="1" applyBorder="1" applyAlignment="1">
      <alignment horizontal="center" vertical="center"/>
    </xf>
    <xf numFmtId="9" fontId="3" fillId="19" borderId="1" xfId="2" applyFont="1" applyFill="1" applyBorder="1" applyAlignment="1">
      <alignment horizontal="center" vertical="center"/>
    </xf>
    <xf numFmtId="43" fontId="0" fillId="7" borderId="1" xfId="1" applyFont="1" applyFill="1" applyBorder="1" applyAlignment="1">
      <alignment horizontal="center"/>
    </xf>
    <xf numFmtId="0" fontId="15" fillId="0" borderId="0" xfId="0" applyFont="1" applyAlignment="1">
      <alignment vertical="top" wrapText="1"/>
    </xf>
    <xf numFmtId="0" fontId="14" fillId="13" borderId="1" xfId="0" applyFont="1" applyFill="1" applyBorder="1" applyAlignment="1">
      <alignment horizontal="center" vertical="center"/>
    </xf>
    <xf numFmtId="37" fontId="16" fillId="0" borderId="0" xfId="0" applyNumberFormat="1" applyFont="1" applyAlignment="1">
      <alignment horizontal="center" vertical="center"/>
    </xf>
    <xf numFmtId="37" fontId="16" fillId="0" borderId="0" xfId="0" applyNumberFormat="1" applyFont="1" applyAlignment="1">
      <alignment horizontal="left" vertical="center"/>
    </xf>
    <xf numFmtId="14" fontId="3" fillId="3" borderId="1" xfId="0" applyNumberFormat="1"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7" fillId="0" borderId="0" xfId="0" applyFont="1" applyAlignment="1">
      <alignment horizontal="right" vertical="center"/>
    </xf>
    <xf numFmtId="0" fontId="17" fillId="0" borderId="0" xfId="0" applyFont="1" applyAlignment="1">
      <alignment horizontal="left" vertical="center"/>
    </xf>
    <xf numFmtId="0" fontId="17" fillId="0" borderId="0" xfId="0" applyFont="1" applyAlignment="1">
      <alignment vertical="center"/>
    </xf>
    <xf numFmtId="0" fontId="18" fillId="0" borderId="0" xfId="0" applyFont="1" applyAlignment="1">
      <alignment horizontal="left" vertical="center"/>
    </xf>
    <xf numFmtId="0" fontId="10" fillId="0" borderId="1" xfId="0" applyFont="1" applyBorder="1" applyAlignment="1">
      <alignment horizontal="center" vertical="center"/>
    </xf>
    <xf numFmtId="43" fontId="0" fillId="0" borderId="0" xfId="1" applyFont="1"/>
    <xf numFmtId="0" fontId="1" fillId="2" borderId="0" xfId="0" applyFont="1" applyFill="1" applyAlignment="1">
      <alignment horizontal="left" vertical="center" indent="1"/>
    </xf>
    <xf numFmtId="0" fontId="0" fillId="0" borderId="0" xfId="0"/>
    <xf numFmtId="0" fontId="1" fillId="6" borderId="0" xfId="0" applyFont="1" applyFill="1" applyAlignment="1">
      <alignment horizontal="left" vertical="center" indent="1"/>
    </xf>
    <xf numFmtId="0" fontId="1" fillId="10" borderId="0" xfId="0" applyFont="1" applyFill="1" applyAlignment="1">
      <alignment horizontal="left" vertical="center" indent="1"/>
    </xf>
    <xf numFmtId="0" fontId="10" fillId="0" borderId="1" xfId="0" applyFont="1" applyFill="1" applyBorder="1" applyAlignment="1">
      <alignment horizontal="center" vertical="center"/>
    </xf>
    <xf numFmtId="43" fontId="3" fillId="19" borderId="1" xfId="1" applyFont="1" applyFill="1" applyBorder="1" applyAlignment="1">
      <alignment horizontal="center" vertical="center"/>
    </xf>
  </cellXfs>
  <cellStyles count="4">
    <cellStyle name="Normal" xfId="0" builtinId="0"/>
    <cellStyle name="Normal 2 3 2" xfId="3" xr:uid="{2333CF7D-1EB4-4DB5-8B2A-E240AF8E7DD6}"/>
    <cellStyle name="Porcentagem" xfId="2" builtinId="5"/>
    <cellStyle name="Vírgula" xfId="1" builtinId="3"/>
  </cellStyles>
  <dxfs count="15">
    <dxf>
      <fill>
        <patternFill patternType="solid">
          <fgColor rgb="FFF4B6B6"/>
          <bgColor rgb="FFF4B6B6"/>
        </patternFill>
      </fill>
    </dxf>
    <dxf>
      <fill>
        <patternFill patternType="solid">
          <f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F4B6B6"/>
          <bgColor rgb="FFF4B6B6"/>
        </patternFill>
      </fill>
    </dxf>
    <dxf>
      <fill>
        <patternFill patternType="solid">
          <fgColor rgb="FFFFFFFF"/>
          <b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B8E6C1"/>
          <bgColor rgb="FFB8E6C1"/>
        </patternFill>
      </fill>
    </dxf>
    <dxf>
      <fill>
        <patternFill patternType="solid">
          <fgColor rgb="FFFFE699"/>
          <bgColor rgb="FFFFE699"/>
        </patternFill>
      </fill>
    </dxf>
    <dxf>
      <fill>
        <patternFill patternType="solid">
          <fgColor rgb="FFBFBFBF"/>
          <bgColor rgb="FFBFBFBF"/>
        </patternFill>
      </fill>
    </dxf>
    <dxf>
      <fill>
        <patternFill patternType="solid">
          <fgColor rgb="FFFFFFFF"/>
          <bgColor rgb="FFFFFFFF"/>
        </patternFill>
      </fill>
    </dxf>
    <dxf>
      <fill>
        <patternFill patternType="solid">
          <fgColor rgb="FFF4B6B6"/>
          <bgColor rgb="FFF4B6B6"/>
        </patternFill>
      </fill>
    </dxf>
  </dxfs>
  <tableStyles count="0" defaultTableStyle="TableStyleMedium9" defaultPivotStyle="PivotStyleLight16"/>
  <colors>
    <mruColors>
      <color rgb="FFE8F4F0"/>
      <color rgb="FFF4B6B6"/>
      <color rgb="FFBFBFBF"/>
      <color rgb="FFFFE699"/>
      <color rgb="FFB8E6C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worksheet" Target="worksheets/sheet14.xml"/><Relationship Id="rId23" Type="http://schemas.openxmlformats.org/officeDocument/2006/relationships/worksheet" Target="worksheets/sheet15.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1"/>
  <sheetViews>
    <sheetView showGridLines="0" workbookViewId="0">
      <selection activeCell="B10" sqref="B10"/>
    </sheetView>
  </sheetViews>
  <sheetFormatPr defaultRowHeight="14.5" x14ac:dyDescent="0.35"/>
  <cols>
    <col min="1" max="1" width="18" customWidth="1"/>
    <col min="2" max="2" width="100" customWidth="1"/>
  </cols>
  <sheetData>
    <row r="1" spans="1:10" ht="24" customHeight="1" x14ac:dyDescent="0.35">
      <c r="A1" s="58" t="s">
        <v>0</v>
      </c>
      <c r="B1" s="59"/>
      <c r="C1" s="59"/>
      <c r="D1" s="59"/>
      <c r="E1" s="59"/>
      <c r="F1" s="59"/>
      <c r="G1" s="59"/>
      <c r="H1" s="59"/>
      <c r="I1" s="59"/>
      <c r="J1" s="59"/>
    </row>
    <row r="2" spans="1:10" x14ac:dyDescent="0.35">
      <c r="A2" s="1"/>
      <c r="B2" s="2"/>
    </row>
    <row r="3" spans="1:10" x14ac:dyDescent="0.35">
      <c r="A3" s="3" t="s">
        <v>1</v>
      </c>
      <c r="B3" s="4"/>
    </row>
    <row r="4" spans="1:10" x14ac:dyDescent="0.35">
      <c r="A4" s="1"/>
      <c r="B4" s="2" t="s">
        <v>2</v>
      </c>
    </row>
    <row r="5" spans="1:10" x14ac:dyDescent="0.35">
      <c r="A5" s="1"/>
      <c r="B5" s="2" t="s">
        <v>3</v>
      </c>
    </row>
    <row r="6" spans="1:10" x14ac:dyDescent="0.35">
      <c r="A6" s="1"/>
      <c r="B6" s="2"/>
    </row>
    <row r="7" spans="1:10" x14ac:dyDescent="0.35">
      <c r="A7" s="3" t="s">
        <v>4</v>
      </c>
      <c r="B7" s="4"/>
    </row>
    <row r="8" spans="1:10" x14ac:dyDescent="0.35">
      <c r="A8" s="1" t="s">
        <v>5</v>
      </c>
      <c r="B8" s="2" t="s">
        <v>6</v>
      </c>
    </row>
    <row r="9" spans="1:10" x14ac:dyDescent="0.35">
      <c r="A9" s="1" t="s">
        <v>7</v>
      </c>
      <c r="B9" s="2" t="s">
        <v>8</v>
      </c>
    </row>
    <row r="10" spans="1:10" x14ac:dyDescent="0.35">
      <c r="A10" s="1" t="s">
        <v>9</v>
      </c>
      <c r="B10" s="45" t="s">
        <v>10</v>
      </c>
    </row>
    <row r="11" spans="1:10" x14ac:dyDescent="0.35">
      <c r="A11" s="1" t="s">
        <v>11</v>
      </c>
      <c r="B11" s="2" t="s">
        <v>12</v>
      </c>
    </row>
    <row r="12" spans="1:10" x14ac:dyDescent="0.35">
      <c r="A12" s="1" t="s">
        <v>13</v>
      </c>
      <c r="B12" s="2" t="s">
        <v>14</v>
      </c>
    </row>
    <row r="13" spans="1:10" x14ac:dyDescent="0.35">
      <c r="A13" s="1"/>
      <c r="B13" s="2"/>
    </row>
    <row r="14" spans="1:10" x14ac:dyDescent="0.35">
      <c r="A14" s="3" t="s">
        <v>15</v>
      </c>
      <c r="B14" s="4"/>
    </row>
    <row r="15" spans="1:10" x14ac:dyDescent="0.35">
      <c r="A15" s="1" t="s">
        <v>16</v>
      </c>
      <c r="B15" s="2" t="s">
        <v>17</v>
      </c>
    </row>
    <row r="16" spans="1:10" x14ac:dyDescent="0.35">
      <c r="A16" s="1" t="s">
        <v>18</v>
      </c>
      <c r="B16" s="2" t="s">
        <v>19</v>
      </c>
    </row>
    <row r="17" spans="1:2" x14ac:dyDescent="0.35">
      <c r="A17" s="1" t="s">
        <v>20</v>
      </c>
      <c r="B17" s="2" t="s">
        <v>21</v>
      </c>
    </row>
    <row r="18" spans="1:2" x14ac:dyDescent="0.35">
      <c r="A18" s="1" t="s">
        <v>22</v>
      </c>
      <c r="B18" s="2" t="s">
        <v>23</v>
      </c>
    </row>
    <row r="19" spans="1:2" x14ac:dyDescent="0.35">
      <c r="A19" s="1"/>
      <c r="B19" s="2"/>
    </row>
    <row r="20" spans="1:2" x14ac:dyDescent="0.35">
      <c r="A20" s="1" t="s">
        <v>24</v>
      </c>
      <c r="B20" s="2"/>
    </row>
    <row r="21" spans="1:2" x14ac:dyDescent="0.35">
      <c r="A21" s="1" t="s">
        <v>25</v>
      </c>
      <c r="B21" s="2" t="s">
        <v>26</v>
      </c>
    </row>
    <row r="22" spans="1:2" x14ac:dyDescent="0.35">
      <c r="A22" s="1" t="s">
        <v>27</v>
      </c>
      <c r="B22" s="2" t="s">
        <v>28</v>
      </c>
    </row>
    <row r="23" spans="1:2" x14ac:dyDescent="0.35">
      <c r="A23" s="1" t="s">
        <v>29</v>
      </c>
      <c r="B23" s="2" t="s">
        <v>30</v>
      </c>
    </row>
    <row r="24" spans="1:2" x14ac:dyDescent="0.35">
      <c r="A24" s="1" t="s">
        <v>31</v>
      </c>
      <c r="B24" s="2" t="s">
        <v>32</v>
      </c>
    </row>
    <row r="25" spans="1:2" x14ac:dyDescent="0.35">
      <c r="A25" s="1" t="s">
        <v>33</v>
      </c>
      <c r="B25" s="2" t="s">
        <v>34</v>
      </c>
    </row>
    <row r="26" spans="1:2" x14ac:dyDescent="0.35">
      <c r="A26" s="1"/>
      <c r="B26" s="2"/>
    </row>
    <row r="27" spans="1:2" x14ac:dyDescent="0.35">
      <c r="A27" s="3" t="s">
        <v>35</v>
      </c>
      <c r="B27" s="4"/>
    </row>
    <row r="28" spans="1:2" x14ac:dyDescent="0.35">
      <c r="A28" s="1"/>
      <c r="B28" s="2" t="s">
        <v>36</v>
      </c>
    </row>
    <row r="29" spans="1:2" x14ac:dyDescent="0.35">
      <c r="A29" s="1"/>
      <c r="B29" s="2" t="s">
        <v>37</v>
      </c>
    </row>
    <row r="30" spans="1:2" x14ac:dyDescent="0.35">
      <c r="A30" s="1"/>
      <c r="B30" s="2" t="s">
        <v>38</v>
      </c>
    </row>
    <row r="31" spans="1:2" x14ac:dyDescent="0.35">
      <c r="A31" s="1"/>
      <c r="B31" s="2" t="s">
        <v>39</v>
      </c>
    </row>
    <row r="32" spans="1:2" x14ac:dyDescent="0.35">
      <c r="A32" s="1"/>
      <c r="B32" s="2"/>
    </row>
    <row r="33" spans="1:2" x14ac:dyDescent="0.35">
      <c r="A33" s="3" t="s">
        <v>40</v>
      </c>
      <c r="B33" s="4"/>
    </row>
    <row r="34" spans="1:2" x14ac:dyDescent="0.35">
      <c r="A34" s="1" t="s">
        <v>5</v>
      </c>
      <c r="B34" s="2" t="s">
        <v>41</v>
      </c>
    </row>
    <row r="35" spans="1:2" x14ac:dyDescent="0.35">
      <c r="A35" s="1" t="s">
        <v>7</v>
      </c>
      <c r="B35" s="2" t="s">
        <v>42</v>
      </c>
    </row>
    <row r="36" spans="1:2" x14ac:dyDescent="0.35">
      <c r="A36" s="1" t="s">
        <v>9</v>
      </c>
      <c r="B36" s="2" t="s">
        <v>43</v>
      </c>
    </row>
    <row r="37" spans="1:2" x14ac:dyDescent="0.35">
      <c r="A37" s="1" t="s">
        <v>11</v>
      </c>
      <c r="B37" s="2" t="s">
        <v>44</v>
      </c>
    </row>
    <row r="38" spans="1:2" x14ac:dyDescent="0.35">
      <c r="A38" s="1" t="s">
        <v>13</v>
      </c>
      <c r="B38" s="2" t="s">
        <v>45</v>
      </c>
    </row>
    <row r="39" spans="1:2" x14ac:dyDescent="0.35">
      <c r="A39" s="1" t="s">
        <v>46</v>
      </c>
      <c r="B39" s="2" t="s">
        <v>47</v>
      </c>
    </row>
    <row r="40" spans="1:2" x14ac:dyDescent="0.35">
      <c r="A40" s="1" t="s">
        <v>48</v>
      </c>
      <c r="B40" s="2" t="s">
        <v>49</v>
      </c>
    </row>
    <row r="41" spans="1:2" x14ac:dyDescent="0.35">
      <c r="A41" s="1" t="s">
        <v>50</v>
      </c>
      <c r="B41" s="2" t="s">
        <v>51</v>
      </c>
    </row>
    <row r="42" spans="1:2" x14ac:dyDescent="0.35">
      <c r="A42" s="1" t="s">
        <v>52</v>
      </c>
      <c r="B42" s="2" t="s">
        <v>53</v>
      </c>
    </row>
    <row r="43" spans="1:2" x14ac:dyDescent="0.35">
      <c r="A43" s="1" t="s">
        <v>54</v>
      </c>
      <c r="B43" s="2" t="s">
        <v>55</v>
      </c>
    </row>
    <row r="44" spans="1:2" x14ac:dyDescent="0.35">
      <c r="A44" s="1" t="s">
        <v>56</v>
      </c>
      <c r="B44" s="2" t="s">
        <v>57</v>
      </c>
    </row>
    <row r="45" spans="1:2" x14ac:dyDescent="0.35">
      <c r="A45" s="1" t="s">
        <v>58</v>
      </c>
      <c r="B45" s="2" t="s">
        <v>59</v>
      </c>
    </row>
    <row r="46" spans="1:2" x14ac:dyDescent="0.35">
      <c r="A46" s="1" t="s">
        <v>60</v>
      </c>
      <c r="B46" s="2" t="s">
        <v>61</v>
      </c>
    </row>
    <row r="47" spans="1:2" x14ac:dyDescent="0.35">
      <c r="A47" s="1"/>
      <c r="B47" s="2"/>
    </row>
    <row r="48" spans="1:2" x14ac:dyDescent="0.35">
      <c r="A48" s="3" t="s">
        <v>62</v>
      </c>
      <c r="B48" s="4"/>
    </row>
    <row r="49" spans="1:2" x14ac:dyDescent="0.35">
      <c r="A49" s="1"/>
      <c r="B49" s="2" t="s">
        <v>63</v>
      </c>
    </row>
    <row r="50" spans="1:2" x14ac:dyDescent="0.35">
      <c r="A50" s="1"/>
      <c r="B50" s="2" t="s">
        <v>64</v>
      </c>
    </row>
    <row r="51" spans="1:2" x14ac:dyDescent="0.35">
      <c r="A51" s="1"/>
      <c r="B51" s="2" t="s">
        <v>65</v>
      </c>
    </row>
  </sheetData>
  <mergeCells count="1">
    <mergeCell ref="A1:J1"/>
  </mergeCells>
  <printOptions horizontalCentered="1"/>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7"/>
  <sheetViews>
    <sheetView showGridLines="0" tabSelected="1" workbookViewId="0">
      <selection activeCell="B13" sqref="B13"/>
    </sheetView>
  </sheetViews>
  <sheetFormatPr defaultRowHeight="14.5" x14ac:dyDescent="0.35"/>
  <cols>
    <col min="1" max="1" width="28" customWidth="1"/>
    <col min="2" max="4" width="32" customWidth="1"/>
  </cols>
  <sheetData>
    <row r="1" spans="1:6" ht="24" customHeight="1" x14ac:dyDescent="0.35">
      <c r="A1" s="58" t="s">
        <v>66</v>
      </c>
      <c r="B1" s="59"/>
      <c r="C1" s="59"/>
      <c r="D1" s="59"/>
      <c r="E1" s="59"/>
      <c r="F1" s="59"/>
    </row>
    <row r="3" spans="1:6" x14ac:dyDescent="0.35">
      <c r="A3" s="1" t="s">
        <v>67</v>
      </c>
      <c r="B3" s="49">
        <v>46181</v>
      </c>
      <c r="C3" s="6" t="s">
        <v>68</v>
      </c>
    </row>
    <row r="5" spans="1:6" ht="22.15" customHeight="1" x14ac:dyDescent="0.35">
      <c r="A5" s="7" t="s">
        <v>69</v>
      </c>
      <c r="B5" s="7" t="s">
        <v>70</v>
      </c>
      <c r="C5" s="7" t="s">
        <v>71</v>
      </c>
      <c r="D5" s="7" t="s">
        <v>72</v>
      </c>
    </row>
    <row r="6" spans="1:6" x14ac:dyDescent="0.35">
      <c r="A6" s="8" t="s">
        <v>73</v>
      </c>
      <c r="B6" s="9" t="s">
        <v>74</v>
      </c>
      <c r="C6" s="9" t="s">
        <v>75</v>
      </c>
      <c r="D6" s="9" t="s">
        <v>76</v>
      </c>
    </row>
    <row r="7" spans="1:6" x14ac:dyDescent="0.35">
      <c r="A7" s="8" t="s">
        <v>77</v>
      </c>
      <c r="B7" s="9" t="s">
        <v>78</v>
      </c>
      <c r="C7" s="9" t="s">
        <v>79</v>
      </c>
      <c r="D7" s="9" t="s">
        <v>80</v>
      </c>
    </row>
    <row r="8" spans="1:6" x14ac:dyDescent="0.35">
      <c r="A8" s="8" t="s">
        <v>81</v>
      </c>
      <c r="B8" s="9" t="s">
        <v>82</v>
      </c>
      <c r="C8" s="9" t="s">
        <v>83</v>
      </c>
      <c r="D8" s="9" t="s">
        <v>84</v>
      </c>
    </row>
    <row r="9" spans="1:6" x14ac:dyDescent="0.35">
      <c r="A9" s="8" t="s">
        <v>85</v>
      </c>
      <c r="B9" s="5" t="s">
        <v>86</v>
      </c>
      <c r="C9" s="5" t="s">
        <v>83</v>
      </c>
      <c r="D9" s="5" t="s">
        <v>87</v>
      </c>
    </row>
    <row r="10" spans="1:6" x14ac:dyDescent="0.35">
      <c r="A10" s="8" t="s">
        <v>88</v>
      </c>
      <c r="B10" s="49">
        <v>46181</v>
      </c>
      <c r="C10" s="49">
        <v>46181</v>
      </c>
      <c r="D10" s="49">
        <v>46181</v>
      </c>
    </row>
    <row r="11" spans="1:6" x14ac:dyDescent="0.35">
      <c r="A11" s="8" t="s">
        <v>89</v>
      </c>
      <c r="B11" s="5" t="s">
        <v>90</v>
      </c>
      <c r="C11" s="5" t="s">
        <v>91</v>
      </c>
      <c r="D11" s="5" t="s">
        <v>92</v>
      </c>
    </row>
    <row r="12" spans="1:6" x14ac:dyDescent="0.35">
      <c r="A12" s="8" t="s">
        <v>93</v>
      </c>
      <c r="B12" s="5" t="s">
        <v>94</v>
      </c>
      <c r="C12" s="5" t="s">
        <v>95</v>
      </c>
      <c r="D12" s="5" t="s">
        <v>96</v>
      </c>
    </row>
    <row r="13" spans="1:6" x14ac:dyDescent="0.35">
      <c r="A13" s="8" t="s">
        <v>97</v>
      </c>
      <c r="B13" s="5">
        <v>93.73</v>
      </c>
      <c r="C13" s="5">
        <v>99.87</v>
      </c>
      <c r="D13" s="5">
        <v>34</v>
      </c>
    </row>
    <row r="14" spans="1:6" x14ac:dyDescent="0.35">
      <c r="A14" s="8" t="s">
        <v>98</v>
      </c>
      <c r="B14" s="5" t="s">
        <v>99</v>
      </c>
      <c r="C14" s="5" t="s">
        <v>100</v>
      </c>
      <c r="D14" s="5" t="s">
        <v>101</v>
      </c>
    </row>
    <row r="15" spans="1:6" x14ac:dyDescent="0.35">
      <c r="A15" s="8" t="s">
        <v>102</v>
      </c>
      <c r="B15" s="5" t="s">
        <v>103</v>
      </c>
      <c r="C15" s="5" t="s">
        <v>104</v>
      </c>
      <c r="D15" s="5" t="s">
        <v>105</v>
      </c>
    </row>
    <row r="16" spans="1:6" x14ac:dyDescent="0.35">
      <c r="A16" s="8" t="s">
        <v>106</v>
      </c>
      <c r="B16" s="5" t="s">
        <v>107</v>
      </c>
      <c r="C16" s="5" t="s">
        <v>108</v>
      </c>
      <c r="D16" s="5" t="s">
        <v>101</v>
      </c>
    </row>
    <row r="17" spans="1:4" x14ac:dyDescent="0.35">
      <c r="A17" s="8" t="s">
        <v>109</v>
      </c>
      <c r="B17" s="5" t="s">
        <v>110</v>
      </c>
      <c r="C17" s="5" t="s">
        <v>111</v>
      </c>
      <c r="D17" s="5" t="s">
        <v>112</v>
      </c>
    </row>
  </sheetData>
  <mergeCells count="1">
    <mergeCell ref="A1:F1"/>
  </mergeCells>
  <printOptions horizontalCentered="1"/>
  <pageMargins left="0.4" right="0.4" top="0.5" bottom="0.5" header="0.2" footer="0.2"/>
  <pageSetup paperSize="9"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6"/>
  <sheetViews>
    <sheetView showGridLines="0" workbookViewId="0">
      <selection activeCell="G8" sqref="G8"/>
    </sheetView>
  </sheetViews>
  <sheetFormatPr defaultRowHeight="14.5" x14ac:dyDescent="0.35"/>
  <cols>
    <col min="1" max="1" width="36" customWidth="1"/>
    <col min="2" max="7" width="12" customWidth="1"/>
    <col min="8" max="8" width="42" customWidth="1"/>
  </cols>
  <sheetData>
    <row r="1" spans="1:9" ht="24" customHeight="1" x14ac:dyDescent="0.35">
      <c r="A1" s="58" t="s">
        <v>113</v>
      </c>
      <c r="B1" s="59"/>
      <c r="C1" s="59"/>
      <c r="D1" s="59"/>
      <c r="E1" s="59"/>
      <c r="F1" s="59"/>
      <c r="G1" s="59"/>
      <c r="H1" s="59"/>
      <c r="I1" s="59"/>
    </row>
    <row r="3" spans="1:9" x14ac:dyDescent="0.35">
      <c r="A3" s="1" t="s">
        <v>114</v>
      </c>
      <c r="B3" s="5" t="s">
        <v>115</v>
      </c>
      <c r="C3" s="5" t="s">
        <v>116</v>
      </c>
      <c r="D3" s="5" t="s">
        <v>117</v>
      </c>
      <c r="E3" s="5" t="s">
        <v>118</v>
      </c>
      <c r="F3" s="5" t="s">
        <v>119</v>
      </c>
      <c r="G3" s="5" t="s">
        <v>120</v>
      </c>
    </row>
    <row r="4" spans="1:9" x14ac:dyDescent="0.35">
      <c r="A4" s="1" t="s">
        <v>121</v>
      </c>
      <c r="B4" s="5" t="s">
        <v>122</v>
      </c>
      <c r="C4" s="5" t="s">
        <v>123</v>
      </c>
      <c r="D4" s="5" t="s">
        <v>124</v>
      </c>
      <c r="E4" s="5" t="s">
        <v>125</v>
      </c>
      <c r="F4" s="5" t="s">
        <v>126</v>
      </c>
      <c r="G4" s="5" t="s">
        <v>127</v>
      </c>
    </row>
    <row r="6" spans="1:9" ht="24" customHeight="1" x14ac:dyDescent="0.35">
      <c r="A6" s="60" t="s">
        <v>128</v>
      </c>
      <c r="B6" s="59"/>
      <c r="C6" s="59"/>
      <c r="D6" s="59"/>
      <c r="E6" s="59"/>
      <c r="F6" s="59"/>
      <c r="G6" s="59"/>
      <c r="H6" s="59"/>
      <c r="I6" s="59"/>
    </row>
    <row r="7" spans="1:9" x14ac:dyDescent="0.35">
      <c r="A7" s="7" t="s">
        <v>129</v>
      </c>
      <c r="B7" s="7" t="s">
        <v>122</v>
      </c>
      <c r="C7" s="7" t="s">
        <v>123</v>
      </c>
      <c r="D7" s="7" t="s">
        <v>124</v>
      </c>
      <c r="E7" s="7" t="s">
        <v>125</v>
      </c>
      <c r="F7" s="7" t="s">
        <v>126</v>
      </c>
      <c r="G7" s="7" t="s">
        <v>127</v>
      </c>
      <c r="H7" s="7" t="s">
        <v>130</v>
      </c>
    </row>
    <row r="8" spans="1:9" ht="25" x14ac:dyDescent="0.35">
      <c r="A8" s="10" t="s">
        <v>131</v>
      </c>
      <c r="B8" s="5">
        <v>107</v>
      </c>
      <c r="C8" s="5">
        <v>87</v>
      </c>
      <c r="D8" s="5">
        <v>94</v>
      </c>
      <c r="E8" s="5">
        <v>93</v>
      </c>
      <c r="F8" s="5">
        <v>93</v>
      </c>
      <c r="G8" s="5">
        <v>93</v>
      </c>
      <c r="H8" s="11" t="s">
        <v>110</v>
      </c>
    </row>
    <row r="9" spans="1:9" ht="25" x14ac:dyDescent="0.35">
      <c r="A9" s="12" t="s">
        <v>132</v>
      </c>
      <c r="B9" s="5">
        <v>67</v>
      </c>
      <c r="C9" s="5">
        <v>67</v>
      </c>
      <c r="D9" s="5">
        <v>9</v>
      </c>
      <c r="E9" s="5">
        <v>9</v>
      </c>
      <c r="F9" s="5">
        <v>9</v>
      </c>
      <c r="G9" s="5">
        <v>9</v>
      </c>
      <c r="H9" s="11" t="s">
        <v>111</v>
      </c>
    </row>
    <row r="10" spans="1:9" ht="37.5" x14ac:dyDescent="0.35">
      <c r="A10" s="13" t="s">
        <v>133</v>
      </c>
      <c r="B10" s="5">
        <v>21</v>
      </c>
      <c r="C10" s="5">
        <v>42</v>
      </c>
      <c r="D10" s="5">
        <v>50</v>
      </c>
      <c r="E10" s="5">
        <v>50</v>
      </c>
      <c r="F10" s="5">
        <v>42</v>
      </c>
      <c r="G10" s="5">
        <v>50</v>
      </c>
      <c r="H10" s="11" t="s">
        <v>112</v>
      </c>
    </row>
    <row r="12" spans="1:9" ht="24" customHeight="1" x14ac:dyDescent="0.35">
      <c r="A12" s="60" t="s">
        <v>134</v>
      </c>
      <c r="B12" s="59"/>
      <c r="C12" s="59"/>
      <c r="D12" s="59"/>
      <c r="E12" s="59"/>
      <c r="F12" s="59"/>
      <c r="G12" s="59"/>
      <c r="H12" s="59"/>
      <c r="I12" s="59"/>
    </row>
    <row r="13" spans="1:9" x14ac:dyDescent="0.35">
      <c r="A13" s="7" t="s">
        <v>129</v>
      </c>
      <c r="B13" s="7" t="s">
        <v>122</v>
      </c>
      <c r="C13" s="7" t="s">
        <v>123</v>
      </c>
      <c r="D13" s="7" t="s">
        <v>124</v>
      </c>
      <c r="E13" s="7" t="s">
        <v>125</v>
      </c>
      <c r="F13" s="7" t="s">
        <v>126</v>
      </c>
      <c r="G13" s="7" t="s">
        <v>127</v>
      </c>
    </row>
    <row r="14" spans="1:9" x14ac:dyDescent="0.35">
      <c r="A14" s="10" t="s">
        <v>131</v>
      </c>
      <c r="B14" s="5">
        <v>93</v>
      </c>
      <c r="C14" s="5">
        <v>71</v>
      </c>
      <c r="D14" s="5">
        <v>56</v>
      </c>
      <c r="E14" s="5">
        <v>56</v>
      </c>
      <c r="F14" s="5">
        <v>56</v>
      </c>
      <c r="G14" s="5">
        <v>56</v>
      </c>
    </row>
    <row r="15" spans="1:9" x14ac:dyDescent="0.35">
      <c r="A15" s="12" t="s">
        <v>132</v>
      </c>
      <c r="B15" s="5">
        <v>38</v>
      </c>
      <c r="C15" s="5">
        <v>38</v>
      </c>
      <c r="D15" s="5">
        <v>12</v>
      </c>
      <c r="E15" s="5">
        <v>12</v>
      </c>
      <c r="F15" s="5">
        <v>12</v>
      </c>
      <c r="G15" s="5">
        <v>12</v>
      </c>
    </row>
    <row r="16" spans="1:9" x14ac:dyDescent="0.35">
      <c r="A16" s="13" t="s">
        <v>133</v>
      </c>
      <c r="B16" s="5">
        <v>3</v>
      </c>
      <c r="C16" s="5">
        <v>6</v>
      </c>
      <c r="D16" s="5">
        <v>7</v>
      </c>
      <c r="E16" s="5">
        <v>7</v>
      </c>
      <c r="F16" s="5">
        <v>6</v>
      </c>
      <c r="G16" s="5">
        <v>6</v>
      </c>
    </row>
  </sheetData>
  <mergeCells count="3">
    <mergeCell ref="A1:I1"/>
    <mergeCell ref="A12:I12"/>
    <mergeCell ref="A6:I6"/>
  </mergeCells>
  <printOptions horizontalCentered="1"/>
  <pageMargins left="0.4" right="0.4" top="0.5" bottom="0.5" header="0.2" footer="0.2"/>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3"/>
  <sheetViews>
    <sheetView showGridLines="0" workbookViewId="0">
      <pane xSplit="1" ySplit="3" topLeftCell="B4" activePane="bottomRight" state="frozen"/>
      <selection pane="topRight"/>
      <selection pane="bottomLeft"/>
      <selection pane="bottomRight" activeCell="C19" sqref="C19"/>
    </sheetView>
  </sheetViews>
  <sheetFormatPr defaultRowHeight="14.5" x14ac:dyDescent="0.35"/>
  <cols>
    <col min="1" max="1" width="10" customWidth="1"/>
    <col min="2" max="2" width="32" customWidth="1"/>
    <col min="3" max="5" width="14" customWidth="1"/>
    <col min="6" max="6" width="12" customWidth="1"/>
    <col min="7" max="7" width="10" customWidth="1"/>
  </cols>
  <sheetData>
    <row r="1" spans="1:7" ht="24" customHeight="1" x14ac:dyDescent="0.35">
      <c r="A1" s="58" t="s">
        <v>135</v>
      </c>
      <c r="B1" s="59"/>
      <c r="C1" s="59"/>
      <c r="D1" s="59"/>
      <c r="E1" s="59"/>
      <c r="F1" s="59"/>
      <c r="G1" s="59"/>
    </row>
    <row r="3" spans="1:7" ht="24" customHeight="1" x14ac:dyDescent="0.35">
      <c r="A3" s="60" t="s">
        <v>136</v>
      </c>
      <c r="B3" s="59"/>
      <c r="C3" s="59"/>
      <c r="D3" s="59"/>
      <c r="E3" s="59"/>
      <c r="F3" s="59"/>
      <c r="G3" s="59"/>
    </row>
    <row r="4" spans="1:7" ht="28" x14ac:dyDescent="0.35">
      <c r="A4" s="14"/>
      <c r="B4" s="7" t="s">
        <v>137</v>
      </c>
      <c r="C4" s="7" t="s">
        <v>138</v>
      </c>
      <c r="D4" s="7" t="s">
        <v>139</v>
      </c>
      <c r="E4" s="7" t="s">
        <v>140</v>
      </c>
      <c r="F4" s="7" t="s">
        <v>141</v>
      </c>
      <c r="G4" s="7" t="s">
        <v>142</v>
      </c>
    </row>
    <row r="5" spans="1:7" x14ac:dyDescent="0.35">
      <c r="A5" s="15" t="s">
        <v>82</v>
      </c>
      <c r="B5" s="16" t="s">
        <v>143</v>
      </c>
      <c r="C5" s="5" t="s">
        <v>144</v>
      </c>
      <c r="D5" s="5" t="s">
        <v>145</v>
      </c>
      <c r="E5" s="42">
        <f>C5-D5</f>
        <v>31530</v>
      </c>
      <c r="F5" s="43">
        <f>D5/C5</f>
        <v>0.7526903648856399</v>
      </c>
      <c r="G5" s="5" t="s">
        <v>146</v>
      </c>
    </row>
    <row r="6" spans="1:7" x14ac:dyDescent="0.35">
      <c r="A6" s="15" t="s">
        <v>82</v>
      </c>
      <c r="B6" s="16" t="s">
        <v>147</v>
      </c>
      <c r="C6" s="5" t="s">
        <v>148</v>
      </c>
      <c r="D6" s="5" t="s">
        <v>149</v>
      </c>
      <c r="E6" s="42">
        <f t="shared" ref="E6:E11" si="0">C6-D6</f>
        <v>549</v>
      </c>
      <c r="F6" s="43">
        <f t="shared" ref="F6:F11" si="1">D6/C6</f>
        <v>0.71316614420062696</v>
      </c>
      <c r="G6" s="5" t="s">
        <v>150</v>
      </c>
    </row>
    <row r="7" spans="1:7" x14ac:dyDescent="0.35">
      <c r="A7" s="15" t="s">
        <v>82</v>
      </c>
      <c r="B7" s="16" t="s">
        <v>151</v>
      </c>
      <c r="C7" s="5" t="s">
        <v>152</v>
      </c>
      <c r="D7" s="5" t="s">
        <v>153</v>
      </c>
      <c r="E7" s="42">
        <f t="shared" si="0"/>
        <v>4420</v>
      </c>
      <c r="F7" s="43">
        <f t="shared" si="1"/>
        <v>0.84912101041133303</v>
      </c>
      <c r="G7" s="5" t="s">
        <v>154</v>
      </c>
    </row>
    <row r="8" spans="1:7" x14ac:dyDescent="0.35">
      <c r="A8" s="15" t="s">
        <v>82</v>
      </c>
      <c r="B8" s="16" t="s">
        <v>155</v>
      </c>
      <c r="C8" s="5" t="s">
        <v>156</v>
      </c>
      <c r="D8" s="5" t="s">
        <v>157</v>
      </c>
      <c r="E8" s="42">
        <f t="shared" si="0"/>
        <v>1693</v>
      </c>
      <c r="F8" s="43">
        <f t="shared" si="1"/>
        <v>1.0520163646990065E-2</v>
      </c>
      <c r="G8" s="5" t="s">
        <v>154</v>
      </c>
    </row>
    <row r="9" spans="1:7" x14ac:dyDescent="0.35">
      <c r="A9" s="15" t="s">
        <v>82</v>
      </c>
      <c r="B9" s="16" t="s">
        <v>158</v>
      </c>
      <c r="C9" s="5" t="s">
        <v>159</v>
      </c>
      <c r="D9" s="5" t="s">
        <v>160</v>
      </c>
      <c r="E9" s="42">
        <f t="shared" si="0"/>
        <v>16</v>
      </c>
      <c r="F9" s="43">
        <f t="shared" si="1"/>
        <v>0.27272727272727271</v>
      </c>
      <c r="G9" s="5" t="s">
        <v>161</v>
      </c>
    </row>
    <row r="10" spans="1:7" x14ac:dyDescent="0.35">
      <c r="A10" s="15" t="s">
        <v>82</v>
      </c>
      <c r="B10" s="16" t="s">
        <v>162</v>
      </c>
      <c r="C10" s="5" t="s">
        <v>163</v>
      </c>
      <c r="D10" s="5" t="s">
        <v>164</v>
      </c>
      <c r="E10" s="42">
        <f t="shared" si="0"/>
        <v>213208</v>
      </c>
      <c r="F10" s="43">
        <f t="shared" si="1"/>
        <v>0.79875880751133832</v>
      </c>
      <c r="G10" s="5" t="s">
        <v>165</v>
      </c>
    </row>
    <row r="11" spans="1:7" x14ac:dyDescent="0.35">
      <c r="A11" s="15" t="s">
        <v>82</v>
      </c>
      <c r="B11" s="16" t="s">
        <v>166</v>
      </c>
      <c r="C11" s="5" t="s">
        <v>167</v>
      </c>
      <c r="D11" s="5" t="s">
        <v>168</v>
      </c>
      <c r="E11" s="42">
        <f t="shared" si="0"/>
        <v>26921</v>
      </c>
      <c r="F11" s="43">
        <f t="shared" si="1"/>
        <v>0.90776562649892423</v>
      </c>
      <c r="G11" s="5" t="s">
        <v>165</v>
      </c>
    </row>
    <row r="13" spans="1:7" ht="24" customHeight="1" x14ac:dyDescent="0.35">
      <c r="A13" s="60" t="s">
        <v>169</v>
      </c>
      <c r="B13" s="59"/>
      <c r="C13" s="59"/>
      <c r="D13" s="59"/>
      <c r="E13" s="59"/>
      <c r="F13" s="59"/>
      <c r="G13" s="59"/>
    </row>
    <row r="14" spans="1:7" ht="28" x14ac:dyDescent="0.35">
      <c r="A14" s="14"/>
      <c r="B14" s="7" t="s">
        <v>137</v>
      </c>
      <c r="C14" s="7" t="s">
        <v>138</v>
      </c>
      <c r="D14" s="7" t="s">
        <v>139</v>
      </c>
      <c r="E14" s="7" t="s">
        <v>140</v>
      </c>
      <c r="F14" s="7" t="s">
        <v>141</v>
      </c>
      <c r="G14" s="7" t="s">
        <v>142</v>
      </c>
    </row>
    <row r="15" spans="1:7" x14ac:dyDescent="0.35">
      <c r="A15" s="17" t="s">
        <v>83</v>
      </c>
      <c r="B15" s="16" t="s">
        <v>143</v>
      </c>
      <c r="C15" s="5" t="s">
        <v>170</v>
      </c>
      <c r="D15" s="5" t="s">
        <v>171</v>
      </c>
      <c r="E15" s="42">
        <f>C15-D15</f>
        <v>2913</v>
      </c>
      <c r="F15" s="43">
        <f>D15/C15</f>
        <v>0.97853178960711629</v>
      </c>
      <c r="G15" s="5" t="s">
        <v>146</v>
      </c>
    </row>
    <row r="17" spans="1:7" ht="24" customHeight="1" x14ac:dyDescent="0.35">
      <c r="A17" s="60" t="s">
        <v>172</v>
      </c>
      <c r="B17" s="59"/>
      <c r="C17" s="59"/>
      <c r="D17" s="59"/>
      <c r="E17" s="59"/>
      <c r="F17" s="59"/>
      <c r="G17" s="59"/>
    </row>
    <row r="18" spans="1:7" ht="28" x14ac:dyDescent="0.35">
      <c r="A18" s="14"/>
      <c r="B18" s="7" t="s">
        <v>137</v>
      </c>
      <c r="C18" s="7" t="s">
        <v>138</v>
      </c>
      <c r="D18" s="7" t="s">
        <v>139</v>
      </c>
      <c r="E18" s="7" t="s">
        <v>140</v>
      </c>
      <c r="F18" s="7" t="s">
        <v>141</v>
      </c>
      <c r="G18" s="7" t="s">
        <v>142</v>
      </c>
    </row>
    <row r="19" spans="1:7" x14ac:dyDescent="0.35">
      <c r="A19" s="18" t="s">
        <v>84</v>
      </c>
      <c r="B19" s="16" t="s">
        <v>143</v>
      </c>
      <c r="C19" s="5" t="s">
        <v>173</v>
      </c>
      <c r="D19" s="5" t="s">
        <v>174</v>
      </c>
      <c r="E19" s="42">
        <f>C19-D19</f>
        <v>12600</v>
      </c>
      <c r="F19" s="43">
        <f>D19/C19</f>
        <v>0.43340228437809153</v>
      </c>
      <c r="G19" s="5" t="s">
        <v>146</v>
      </c>
    </row>
    <row r="20" spans="1:7" x14ac:dyDescent="0.35">
      <c r="A20" s="18" t="s">
        <v>84</v>
      </c>
      <c r="B20" s="16" t="s">
        <v>175</v>
      </c>
      <c r="C20" s="5" t="s">
        <v>176</v>
      </c>
      <c r="D20" s="5" t="s">
        <v>177</v>
      </c>
      <c r="E20" s="42">
        <f t="shared" ref="E20:E33" si="2">C20-D20</f>
        <v>680</v>
      </c>
      <c r="F20" s="43">
        <f t="shared" ref="F20:F33" si="3">D20/C20</f>
        <v>0.86821705426356588</v>
      </c>
      <c r="G20" s="5" t="s">
        <v>154</v>
      </c>
    </row>
    <row r="21" spans="1:7" x14ac:dyDescent="0.35">
      <c r="A21" s="18" t="s">
        <v>84</v>
      </c>
      <c r="B21" s="16" t="s">
        <v>178</v>
      </c>
      <c r="C21" s="5" t="s">
        <v>179</v>
      </c>
      <c r="D21" s="5" t="s">
        <v>180</v>
      </c>
      <c r="E21" s="42">
        <f t="shared" si="2"/>
        <v>1040</v>
      </c>
      <c r="F21" s="43">
        <f t="shared" si="3"/>
        <v>0.84683357879234167</v>
      </c>
      <c r="G21" s="5" t="s">
        <v>154</v>
      </c>
    </row>
    <row r="22" spans="1:7" x14ac:dyDescent="0.35">
      <c r="A22" s="18" t="s">
        <v>84</v>
      </c>
      <c r="B22" s="16" t="s">
        <v>181</v>
      </c>
      <c r="C22" s="5" t="s">
        <v>182</v>
      </c>
      <c r="D22" s="5" t="s">
        <v>183</v>
      </c>
      <c r="E22" s="42">
        <f t="shared" si="2"/>
        <v>13023</v>
      </c>
      <c r="F22" s="43">
        <f t="shared" si="3"/>
        <v>0.69735771885384956</v>
      </c>
      <c r="G22" s="5" t="s">
        <v>154</v>
      </c>
    </row>
    <row r="23" spans="1:7" x14ac:dyDescent="0.35">
      <c r="A23" s="18" t="s">
        <v>84</v>
      </c>
      <c r="B23" s="16" t="s">
        <v>184</v>
      </c>
      <c r="C23" s="5" t="s">
        <v>185</v>
      </c>
      <c r="D23" s="5" t="s">
        <v>186</v>
      </c>
      <c r="E23" s="42">
        <f t="shared" si="2"/>
        <v>15188</v>
      </c>
      <c r="F23" s="43">
        <f t="shared" si="3"/>
        <v>0.50524464134471303</v>
      </c>
      <c r="G23" s="5" t="s">
        <v>154</v>
      </c>
    </row>
    <row r="24" spans="1:7" x14ac:dyDescent="0.35">
      <c r="A24" s="18" t="s">
        <v>84</v>
      </c>
      <c r="B24" s="16" t="s">
        <v>187</v>
      </c>
      <c r="C24" s="5" t="s">
        <v>188</v>
      </c>
      <c r="D24" s="5" t="s">
        <v>189</v>
      </c>
      <c r="E24" s="42">
        <f t="shared" si="2"/>
        <v>1897</v>
      </c>
      <c r="F24" s="43">
        <f t="shared" si="3"/>
        <v>0.34063260340632601</v>
      </c>
      <c r="G24" s="5" t="s">
        <v>154</v>
      </c>
    </row>
    <row r="25" spans="1:7" x14ac:dyDescent="0.35">
      <c r="A25" s="18" t="s">
        <v>84</v>
      </c>
      <c r="B25" s="16" t="s">
        <v>158</v>
      </c>
      <c r="C25" s="5" t="s">
        <v>190</v>
      </c>
      <c r="D25" s="5" t="s">
        <v>191</v>
      </c>
      <c r="E25" s="42">
        <f t="shared" si="2"/>
        <v>7806</v>
      </c>
      <c r="F25" s="43">
        <f t="shared" si="3"/>
        <v>0.20069629326233873</v>
      </c>
      <c r="G25" s="5" t="s">
        <v>161</v>
      </c>
    </row>
    <row r="26" spans="1:7" x14ac:dyDescent="0.35">
      <c r="A26" s="18" t="s">
        <v>84</v>
      </c>
      <c r="B26" s="16" t="s">
        <v>192</v>
      </c>
      <c r="C26" s="5" t="s">
        <v>193</v>
      </c>
      <c r="D26" s="5" t="s">
        <v>194</v>
      </c>
      <c r="E26" s="42">
        <f t="shared" si="2"/>
        <v>23344</v>
      </c>
      <c r="F26" s="43">
        <f t="shared" si="3"/>
        <v>0.19347705914870095</v>
      </c>
      <c r="G26" s="5" t="s">
        <v>154</v>
      </c>
    </row>
    <row r="27" spans="1:7" x14ac:dyDescent="0.35">
      <c r="A27" s="18" t="s">
        <v>84</v>
      </c>
      <c r="B27" s="16" t="s">
        <v>155</v>
      </c>
      <c r="C27" s="5" t="s">
        <v>195</v>
      </c>
      <c r="D27" s="5" t="s">
        <v>196</v>
      </c>
      <c r="E27" s="42">
        <f t="shared" si="2"/>
        <v>1486</v>
      </c>
      <c r="F27" s="43">
        <f t="shared" si="3"/>
        <v>0.18036403750689464</v>
      </c>
      <c r="G27" s="5" t="s">
        <v>154</v>
      </c>
    </row>
    <row r="28" spans="1:7" x14ac:dyDescent="0.35">
      <c r="A28" s="18" t="s">
        <v>84</v>
      </c>
      <c r="B28" s="16" t="s">
        <v>197</v>
      </c>
      <c r="C28" s="5" t="s">
        <v>198</v>
      </c>
      <c r="D28" s="5" t="s">
        <v>199</v>
      </c>
      <c r="E28" s="42">
        <f t="shared" si="2"/>
        <v>9531</v>
      </c>
      <c r="F28" s="43">
        <f t="shared" si="3"/>
        <v>0.18055197317513541</v>
      </c>
      <c r="G28" s="5" t="s">
        <v>154</v>
      </c>
    </row>
    <row r="29" spans="1:7" x14ac:dyDescent="0.35">
      <c r="A29" s="18" t="s">
        <v>84</v>
      </c>
      <c r="B29" s="16" t="s">
        <v>151</v>
      </c>
      <c r="C29" s="5" t="s">
        <v>200</v>
      </c>
      <c r="D29" s="5" t="s">
        <v>201</v>
      </c>
      <c r="E29" s="42">
        <f t="shared" si="2"/>
        <v>7307</v>
      </c>
      <c r="F29" s="43">
        <f t="shared" si="3"/>
        <v>0.12564317338757927</v>
      </c>
      <c r="G29" s="5" t="s">
        <v>154</v>
      </c>
    </row>
    <row r="30" spans="1:7" x14ac:dyDescent="0.35">
      <c r="A30" s="18" t="s">
        <v>84</v>
      </c>
      <c r="B30" s="16" t="s">
        <v>162</v>
      </c>
      <c r="C30" s="5" t="s">
        <v>202</v>
      </c>
      <c r="D30" s="5" t="s">
        <v>203</v>
      </c>
      <c r="E30" s="42">
        <f t="shared" si="2"/>
        <v>52827</v>
      </c>
      <c r="F30" s="43">
        <f t="shared" si="3"/>
        <v>0</v>
      </c>
      <c r="G30" s="5" t="s">
        <v>165</v>
      </c>
    </row>
    <row r="31" spans="1:7" x14ac:dyDescent="0.35">
      <c r="A31" s="18" t="s">
        <v>84</v>
      </c>
      <c r="B31" s="16" t="s">
        <v>166</v>
      </c>
      <c r="C31" s="5" t="s">
        <v>204</v>
      </c>
      <c r="D31" s="5" t="s">
        <v>203</v>
      </c>
      <c r="E31" s="42">
        <f t="shared" si="2"/>
        <v>46033</v>
      </c>
      <c r="F31" s="43">
        <f t="shared" si="3"/>
        <v>0</v>
      </c>
      <c r="G31" s="5" t="s">
        <v>165</v>
      </c>
    </row>
    <row r="32" spans="1:7" x14ac:dyDescent="0.35">
      <c r="A32" s="18" t="s">
        <v>84</v>
      </c>
      <c r="B32" s="16" t="s">
        <v>205</v>
      </c>
      <c r="C32" s="5" t="s">
        <v>206</v>
      </c>
      <c r="D32" s="5" t="s">
        <v>203</v>
      </c>
      <c r="E32" s="42">
        <f t="shared" si="2"/>
        <v>626</v>
      </c>
      <c r="F32" s="43">
        <f t="shared" si="3"/>
        <v>0</v>
      </c>
      <c r="G32" s="5" t="s">
        <v>154</v>
      </c>
    </row>
    <row r="33" spans="1:7" x14ac:dyDescent="0.35">
      <c r="A33" s="18" t="s">
        <v>84</v>
      </c>
      <c r="B33" s="16" t="s">
        <v>207</v>
      </c>
      <c r="C33" s="5" t="s">
        <v>208</v>
      </c>
      <c r="D33" s="5" t="s">
        <v>203</v>
      </c>
      <c r="E33" s="42">
        <f t="shared" si="2"/>
        <v>3154</v>
      </c>
      <c r="F33" s="43">
        <f t="shared" si="3"/>
        <v>0</v>
      </c>
      <c r="G33" s="5" t="s">
        <v>150</v>
      </c>
    </row>
  </sheetData>
  <mergeCells count="4">
    <mergeCell ref="A13:G13"/>
    <mergeCell ref="A3:G3"/>
    <mergeCell ref="A1:G1"/>
    <mergeCell ref="A17:G17"/>
  </mergeCells>
  <printOptions horizontalCentered="1"/>
  <pageMargins left="0.4" right="0.4" top="0.5" bottom="0.5" header="0.2" footer="0.2"/>
  <pageSetup paperSize="9"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33"/>
  <sheetViews>
    <sheetView showGridLines="0" workbookViewId="0">
      <pane xSplit="2" ySplit="3" topLeftCell="C15" activePane="bottomRight" state="frozen"/>
      <selection pane="topRight"/>
      <selection pane="bottomLeft"/>
      <selection pane="bottomRight" activeCell="D19" sqref="D19"/>
    </sheetView>
  </sheetViews>
  <sheetFormatPr defaultRowHeight="14.5" x14ac:dyDescent="0.35"/>
  <cols>
    <col min="1" max="1" width="9" customWidth="1"/>
    <col min="2" max="2" width="30" customWidth="1"/>
    <col min="3" max="23" width="12" customWidth="1"/>
  </cols>
  <sheetData>
    <row r="1" spans="1:23" ht="24" customHeight="1" x14ac:dyDescent="0.35">
      <c r="A1" s="58" t="s">
        <v>209</v>
      </c>
      <c r="B1" s="59"/>
      <c r="C1" s="59"/>
      <c r="D1" s="59"/>
      <c r="E1" s="59"/>
      <c r="F1" s="59"/>
      <c r="G1" s="59"/>
      <c r="H1" s="59"/>
      <c r="I1" s="59"/>
      <c r="J1" s="59"/>
      <c r="K1" s="59"/>
      <c r="L1" s="59"/>
      <c r="M1" s="59"/>
      <c r="N1" s="59"/>
      <c r="O1" s="59"/>
      <c r="P1" s="59"/>
      <c r="Q1" s="59"/>
      <c r="R1" s="59"/>
      <c r="S1" s="59"/>
      <c r="T1" s="59"/>
      <c r="U1" s="59"/>
      <c r="V1" s="59"/>
      <c r="W1" s="59"/>
    </row>
    <row r="3" spans="1:23" ht="24" customHeight="1" x14ac:dyDescent="0.35">
      <c r="A3" s="60" t="s">
        <v>136</v>
      </c>
      <c r="B3" s="59"/>
      <c r="C3" s="59"/>
      <c r="D3" s="59"/>
      <c r="E3" s="59"/>
      <c r="F3" s="59"/>
      <c r="G3" s="59"/>
      <c r="H3" s="59"/>
      <c r="I3" s="59"/>
      <c r="J3" s="59"/>
      <c r="K3" s="59"/>
      <c r="L3" s="59"/>
      <c r="M3" s="59"/>
      <c r="N3" s="59"/>
      <c r="O3" s="59"/>
      <c r="P3" s="59"/>
      <c r="Q3" s="59"/>
      <c r="R3" s="59"/>
      <c r="S3" s="59"/>
      <c r="T3" s="59"/>
      <c r="U3" s="59"/>
      <c r="V3" s="59"/>
      <c r="W3" s="59"/>
    </row>
    <row r="4" spans="1:23" ht="36" customHeight="1" x14ac:dyDescent="0.35">
      <c r="A4" s="7" t="s">
        <v>129</v>
      </c>
      <c r="B4" s="7" t="s">
        <v>137</v>
      </c>
      <c r="C4" s="7" t="s">
        <v>210</v>
      </c>
      <c r="D4" s="7" t="s">
        <v>211</v>
      </c>
      <c r="E4" s="7" t="s">
        <v>212</v>
      </c>
      <c r="F4" s="7" t="s">
        <v>213</v>
      </c>
      <c r="G4" s="7" t="s">
        <v>214</v>
      </c>
      <c r="H4" s="7" t="s">
        <v>215</v>
      </c>
      <c r="I4" s="7" t="s">
        <v>768</v>
      </c>
      <c r="J4" s="7" t="s">
        <v>216</v>
      </c>
      <c r="K4" s="7" t="s">
        <v>217</v>
      </c>
      <c r="L4" s="7" t="s">
        <v>218</v>
      </c>
      <c r="M4" s="7" t="s">
        <v>219</v>
      </c>
      <c r="N4" s="7" t="s">
        <v>220</v>
      </c>
      <c r="O4" s="7" t="s">
        <v>221</v>
      </c>
      <c r="P4" s="7" t="s">
        <v>222</v>
      </c>
      <c r="Q4" s="7" t="s">
        <v>223</v>
      </c>
      <c r="R4" s="7" t="s">
        <v>224</v>
      </c>
      <c r="S4" s="7" t="s">
        <v>225</v>
      </c>
      <c r="T4" s="7" t="s">
        <v>226</v>
      </c>
      <c r="U4" s="7" t="s">
        <v>227</v>
      </c>
      <c r="V4" s="7" t="s">
        <v>228</v>
      </c>
      <c r="W4" s="7" t="s">
        <v>229</v>
      </c>
    </row>
    <row r="5" spans="1:23" x14ac:dyDescent="0.35">
      <c r="A5" s="15" t="s">
        <v>82</v>
      </c>
      <c r="B5" s="16" t="s">
        <v>143</v>
      </c>
      <c r="C5" s="5" t="s">
        <v>144</v>
      </c>
      <c r="D5" s="36">
        <v>93590.09</v>
      </c>
      <c r="E5" s="41">
        <f>C5-D5</f>
        <v>33901.910000000003</v>
      </c>
      <c r="F5" s="5">
        <v>7800</v>
      </c>
      <c r="G5" s="5">
        <v>1385</v>
      </c>
      <c r="H5" s="5">
        <f>F5-G5</f>
        <v>6415</v>
      </c>
      <c r="I5" s="44">
        <f>E5-G5</f>
        <v>32516.910000000003</v>
      </c>
      <c r="J5" s="5" t="s">
        <v>230</v>
      </c>
      <c r="K5" s="5" t="s">
        <v>230</v>
      </c>
      <c r="L5" s="5" t="s">
        <v>230</v>
      </c>
      <c r="M5" s="42">
        <f>J5+K5+L5</f>
        <v>5400</v>
      </c>
      <c r="N5" s="42" t="str">
        <f>C5</f>
        <v>127.492</v>
      </c>
      <c r="O5" s="41">
        <f>D5+G5+M5</f>
        <v>100375.09</v>
      </c>
      <c r="P5" s="41">
        <f>N5-O5</f>
        <v>27116.910000000003</v>
      </c>
      <c r="Q5" s="43">
        <f>O5/N5</f>
        <v>0.78730500737301157</v>
      </c>
      <c r="R5" s="5" t="s">
        <v>231</v>
      </c>
      <c r="S5" s="5" t="s">
        <v>232</v>
      </c>
      <c r="T5" s="5" t="s">
        <v>233</v>
      </c>
      <c r="U5" s="5"/>
      <c r="V5" s="5" t="s">
        <v>234</v>
      </c>
      <c r="W5" s="5" t="s">
        <v>235</v>
      </c>
    </row>
    <row r="6" spans="1:23" x14ac:dyDescent="0.35">
      <c r="A6" s="15" t="s">
        <v>82</v>
      </c>
      <c r="B6" s="16" t="s">
        <v>147</v>
      </c>
      <c r="C6" s="5" t="s">
        <v>148</v>
      </c>
      <c r="D6" s="5" t="s">
        <v>236</v>
      </c>
      <c r="E6" s="41">
        <f t="shared" ref="E6:E11" si="0">C6-D6</f>
        <v>599</v>
      </c>
      <c r="F6" s="5">
        <v>288</v>
      </c>
      <c r="G6" s="5" t="s">
        <v>203</v>
      </c>
      <c r="H6" s="5" t="s">
        <v>203</v>
      </c>
      <c r="I6" s="15">
        <f t="shared" ref="I6:I11" si="1">E6-G6</f>
        <v>599</v>
      </c>
      <c r="J6" s="5">
        <v>72</v>
      </c>
      <c r="K6" s="5">
        <v>72</v>
      </c>
      <c r="L6" s="5" t="s">
        <v>203</v>
      </c>
      <c r="M6" s="42">
        <f t="shared" ref="M6:M11" si="2">J6+K6+L6</f>
        <v>144</v>
      </c>
      <c r="N6" s="42" t="str">
        <f t="shared" ref="N6:N11" si="3">C6</f>
        <v>1.914</v>
      </c>
      <c r="O6" s="41">
        <f t="shared" ref="O6:O11" si="4">D6+G6+M6</f>
        <v>1459</v>
      </c>
      <c r="P6" s="41">
        <f t="shared" ref="P6:P11" si="5">N6-O6</f>
        <v>455</v>
      </c>
      <c r="Q6" s="43">
        <f t="shared" ref="Q6:Q11" si="6">O6/N6</f>
        <v>0.76227795193312431</v>
      </c>
      <c r="R6" s="5" t="s">
        <v>203</v>
      </c>
      <c r="S6" s="5" t="s">
        <v>238</v>
      </c>
      <c r="T6" s="5" t="s">
        <v>203</v>
      </c>
      <c r="U6" s="5"/>
      <c r="V6" s="5"/>
      <c r="W6" s="5" t="s">
        <v>235</v>
      </c>
    </row>
    <row r="7" spans="1:23" x14ac:dyDescent="0.35">
      <c r="A7" s="15" t="s">
        <v>82</v>
      </c>
      <c r="B7" s="16" t="s">
        <v>151</v>
      </c>
      <c r="C7" s="5" t="s">
        <v>152</v>
      </c>
      <c r="D7" s="5" t="s">
        <v>153</v>
      </c>
      <c r="E7" s="41">
        <f t="shared" si="0"/>
        <v>4420</v>
      </c>
      <c r="F7" s="5" t="s">
        <v>203</v>
      </c>
      <c r="G7" s="5" t="s">
        <v>203</v>
      </c>
      <c r="H7" s="5" t="s">
        <v>203</v>
      </c>
      <c r="I7" s="15">
        <f t="shared" si="1"/>
        <v>4420</v>
      </c>
      <c r="J7" s="5" t="s">
        <v>203</v>
      </c>
      <c r="K7" s="5" t="s">
        <v>203</v>
      </c>
      <c r="L7" s="5" t="s">
        <v>203</v>
      </c>
      <c r="M7" s="42">
        <f t="shared" si="2"/>
        <v>0</v>
      </c>
      <c r="N7" s="42" t="str">
        <f t="shared" si="3"/>
        <v>29.295</v>
      </c>
      <c r="O7" s="41">
        <f t="shared" si="4"/>
        <v>24875</v>
      </c>
      <c r="P7" s="41">
        <f t="shared" si="5"/>
        <v>4420</v>
      </c>
      <c r="Q7" s="43">
        <f t="shared" si="6"/>
        <v>0.84912101041133303</v>
      </c>
      <c r="R7" s="5" t="s">
        <v>203</v>
      </c>
      <c r="S7" s="5" t="s">
        <v>238</v>
      </c>
      <c r="T7" s="5" t="s">
        <v>203</v>
      </c>
      <c r="U7" s="5"/>
      <c r="V7" s="5"/>
      <c r="W7" s="5" t="s">
        <v>235</v>
      </c>
    </row>
    <row r="8" spans="1:23" x14ac:dyDescent="0.35">
      <c r="A8" s="15" t="s">
        <v>82</v>
      </c>
      <c r="B8" s="16" t="s">
        <v>155</v>
      </c>
      <c r="C8" s="5" t="s">
        <v>156</v>
      </c>
      <c r="D8" s="5" t="s">
        <v>157</v>
      </c>
      <c r="E8" s="41">
        <f t="shared" si="0"/>
        <v>1693</v>
      </c>
      <c r="F8" s="5" t="s">
        <v>203</v>
      </c>
      <c r="G8" s="5" t="s">
        <v>203</v>
      </c>
      <c r="H8" s="5" t="s">
        <v>203</v>
      </c>
      <c r="I8" s="15">
        <f t="shared" si="1"/>
        <v>1693</v>
      </c>
      <c r="J8" s="5" t="s">
        <v>203</v>
      </c>
      <c r="K8" s="5" t="s">
        <v>203</v>
      </c>
      <c r="L8" s="5" t="s">
        <v>203</v>
      </c>
      <c r="M8" s="42">
        <f t="shared" si="2"/>
        <v>0</v>
      </c>
      <c r="N8" s="42" t="str">
        <f t="shared" si="3"/>
        <v>1.711</v>
      </c>
      <c r="O8" s="41">
        <f t="shared" si="4"/>
        <v>18</v>
      </c>
      <c r="P8" s="41">
        <f t="shared" si="5"/>
        <v>1693</v>
      </c>
      <c r="Q8" s="43">
        <f t="shared" si="6"/>
        <v>1.0520163646990065E-2</v>
      </c>
      <c r="R8" s="5" t="s">
        <v>203</v>
      </c>
      <c r="S8" s="5" t="s">
        <v>238</v>
      </c>
      <c r="T8" s="5" t="s">
        <v>203</v>
      </c>
      <c r="U8" s="5"/>
      <c r="V8" s="5"/>
      <c r="W8" s="5" t="s">
        <v>235</v>
      </c>
    </row>
    <row r="9" spans="1:23" x14ac:dyDescent="0.35">
      <c r="A9" s="15" t="s">
        <v>82</v>
      </c>
      <c r="B9" s="16" t="s">
        <v>158</v>
      </c>
      <c r="C9" s="5" t="s">
        <v>159</v>
      </c>
      <c r="D9" s="5" t="s">
        <v>160</v>
      </c>
      <c r="E9" s="41">
        <f t="shared" si="0"/>
        <v>16</v>
      </c>
      <c r="F9" s="5" t="s">
        <v>203</v>
      </c>
      <c r="G9" s="5" t="s">
        <v>203</v>
      </c>
      <c r="H9" s="5" t="s">
        <v>203</v>
      </c>
      <c r="I9" s="15">
        <f t="shared" si="1"/>
        <v>16</v>
      </c>
      <c r="J9" s="5" t="s">
        <v>203</v>
      </c>
      <c r="K9" s="5" t="s">
        <v>203</v>
      </c>
      <c r="L9" s="5" t="s">
        <v>203</v>
      </c>
      <c r="M9" s="42">
        <f t="shared" si="2"/>
        <v>0</v>
      </c>
      <c r="N9" s="42" t="str">
        <f t="shared" si="3"/>
        <v>22</v>
      </c>
      <c r="O9" s="41">
        <f t="shared" si="4"/>
        <v>6</v>
      </c>
      <c r="P9" s="41">
        <f t="shared" si="5"/>
        <v>16</v>
      </c>
      <c r="Q9" s="43">
        <f t="shared" si="6"/>
        <v>0.27272727272727271</v>
      </c>
      <c r="R9" s="5" t="s">
        <v>203</v>
      </c>
      <c r="S9" s="5" t="s">
        <v>238</v>
      </c>
      <c r="T9" s="5" t="s">
        <v>203</v>
      </c>
      <c r="U9" s="5"/>
      <c r="V9" s="5"/>
      <c r="W9" s="5" t="s">
        <v>235</v>
      </c>
    </row>
    <row r="10" spans="1:23" x14ac:dyDescent="0.35">
      <c r="A10" s="15" t="s">
        <v>82</v>
      </c>
      <c r="B10" s="16" t="s">
        <v>162</v>
      </c>
      <c r="C10" s="5" t="s">
        <v>163</v>
      </c>
      <c r="D10" s="5" t="s">
        <v>164</v>
      </c>
      <c r="E10" s="41">
        <f t="shared" si="0"/>
        <v>213208</v>
      </c>
      <c r="F10" s="5" t="s">
        <v>203</v>
      </c>
      <c r="G10" s="5" t="s">
        <v>203</v>
      </c>
      <c r="H10" s="5" t="s">
        <v>203</v>
      </c>
      <c r="I10" s="15">
        <f t="shared" si="1"/>
        <v>213208</v>
      </c>
      <c r="J10" s="5" t="s">
        <v>203</v>
      </c>
      <c r="K10" s="5" t="s">
        <v>203</v>
      </c>
      <c r="L10" s="5" t="s">
        <v>203</v>
      </c>
      <c r="M10" s="42">
        <f t="shared" si="2"/>
        <v>0</v>
      </c>
      <c r="N10" s="42" t="str">
        <f t="shared" si="3"/>
        <v>1.059.465</v>
      </c>
      <c r="O10" s="41">
        <f t="shared" si="4"/>
        <v>846257</v>
      </c>
      <c r="P10" s="41">
        <f t="shared" si="5"/>
        <v>213208</v>
      </c>
      <c r="Q10" s="43">
        <f t="shared" si="6"/>
        <v>0.79875880751133832</v>
      </c>
      <c r="R10" s="5" t="s">
        <v>203</v>
      </c>
      <c r="S10" s="5" t="s">
        <v>238</v>
      </c>
      <c r="T10" s="5" t="s">
        <v>203</v>
      </c>
      <c r="U10" s="5"/>
      <c r="V10" s="5"/>
      <c r="W10" s="5" t="s">
        <v>235</v>
      </c>
    </row>
    <row r="11" spans="1:23" x14ac:dyDescent="0.35">
      <c r="A11" s="15" t="s">
        <v>82</v>
      </c>
      <c r="B11" s="16" t="s">
        <v>166</v>
      </c>
      <c r="C11" s="5" t="s">
        <v>167</v>
      </c>
      <c r="D11" s="5" t="s">
        <v>168</v>
      </c>
      <c r="E11" s="41">
        <f t="shared" si="0"/>
        <v>26921</v>
      </c>
      <c r="F11" s="5" t="s">
        <v>203</v>
      </c>
      <c r="G11" s="5" t="s">
        <v>203</v>
      </c>
      <c r="H11" s="5" t="s">
        <v>203</v>
      </c>
      <c r="I11" s="15">
        <f t="shared" si="1"/>
        <v>26921</v>
      </c>
      <c r="J11" s="5" t="s">
        <v>203</v>
      </c>
      <c r="K11" s="5" t="s">
        <v>203</v>
      </c>
      <c r="L11" s="5" t="s">
        <v>203</v>
      </c>
      <c r="M11" s="42">
        <f t="shared" si="2"/>
        <v>0</v>
      </c>
      <c r="N11" s="42" t="str">
        <f t="shared" si="3"/>
        <v>291.876</v>
      </c>
      <c r="O11" s="41">
        <f t="shared" si="4"/>
        <v>264955</v>
      </c>
      <c r="P11" s="41">
        <f t="shared" si="5"/>
        <v>26921</v>
      </c>
      <c r="Q11" s="43">
        <f t="shared" si="6"/>
        <v>0.90776562649892423</v>
      </c>
      <c r="R11" s="5" t="s">
        <v>203</v>
      </c>
      <c r="S11" s="5" t="s">
        <v>238</v>
      </c>
      <c r="T11" s="5" t="s">
        <v>203</v>
      </c>
      <c r="U11" s="5"/>
      <c r="V11" s="5"/>
      <c r="W11" s="5" t="s">
        <v>235</v>
      </c>
    </row>
    <row r="13" spans="1:23" ht="24" customHeight="1" x14ac:dyDescent="0.35">
      <c r="A13" s="60" t="s">
        <v>169</v>
      </c>
      <c r="B13" s="59"/>
      <c r="C13" s="59"/>
      <c r="D13" s="59"/>
      <c r="E13" s="59"/>
      <c r="F13" s="59"/>
      <c r="G13" s="59"/>
      <c r="H13" s="59"/>
      <c r="I13" s="59"/>
      <c r="J13" s="59"/>
      <c r="K13" s="59"/>
      <c r="L13" s="59"/>
      <c r="M13" s="59"/>
      <c r="N13" s="59"/>
      <c r="O13" s="59"/>
      <c r="P13" s="59"/>
      <c r="Q13" s="59"/>
      <c r="R13" s="59"/>
      <c r="S13" s="59"/>
      <c r="T13" s="59"/>
      <c r="U13" s="59"/>
      <c r="V13" s="59"/>
      <c r="W13" s="59"/>
    </row>
    <row r="14" spans="1:23" ht="36" customHeight="1" x14ac:dyDescent="0.35">
      <c r="A14" s="7" t="s">
        <v>129</v>
      </c>
      <c r="B14" s="7" t="s">
        <v>137</v>
      </c>
      <c r="C14" s="7" t="s">
        <v>210</v>
      </c>
      <c r="D14" s="7" t="s">
        <v>211</v>
      </c>
      <c r="E14" s="7" t="s">
        <v>212</v>
      </c>
      <c r="F14" s="7" t="s">
        <v>213</v>
      </c>
      <c r="G14" s="7" t="s">
        <v>214</v>
      </c>
      <c r="H14" s="7" t="s">
        <v>215</v>
      </c>
      <c r="I14" s="7" t="s">
        <v>768</v>
      </c>
      <c r="J14" s="7" t="s">
        <v>216</v>
      </c>
      <c r="K14" s="7" t="s">
        <v>217</v>
      </c>
      <c r="L14" s="7" t="s">
        <v>218</v>
      </c>
      <c r="M14" s="7" t="s">
        <v>219</v>
      </c>
      <c r="N14" s="7" t="s">
        <v>220</v>
      </c>
      <c r="O14" s="7" t="s">
        <v>221</v>
      </c>
      <c r="P14" s="7" t="s">
        <v>222</v>
      </c>
      <c r="Q14" s="7" t="s">
        <v>223</v>
      </c>
      <c r="R14" s="7" t="s">
        <v>224</v>
      </c>
      <c r="S14" s="7" t="s">
        <v>225</v>
      </c>
      <c r="T14" s="7" t="s">
        <v>226</v>
      </c>
      <c r="U14" s="7" t="s">
        <v>227</v>
      </c>
      <c r="V14" s="7" t="s">
        <v>228</v>
      </c>
      <c r="W14" s="7" t="s">
        <v>229</v>
      </c>
    </row>
    <row r="15" spans="1:23" x14ac:dyDescent="0.35">
      <c r="A15" s="17" t="s">
        <v>83</v>
      </c>
      <c r="B15" s="16" t="s">
        <v>143</v>
      </c>
      <c r="C15" s="5" t="s">
        <v>170</v>
      </c>
      <c r="D15" s="5" t="s">
        <v>171</v>
      </c>
      <c r="E15" s="42">
        <f>C15-D15</f>
        <v>2913</v>
      </c>
      <c r="F15" s="5" t="s">
        <v>203</v>
      </c>
      <c r="G15" s="5" t="s">
        <v>203</v>
      </c>
      <c r="H15" s="5" t="s">
        <v>203</v>
      </c>
      <c r="I15" s="15">
        <f>E15-G15</f>
        <v>2913</v>
      </c>
      <c r="J15" s="5" t="s">
        <v>203</v>
      </c>
      <c r="K15" s="5" t="s">
        <v>203</v>
      </c>
      <c r="L15" s="5" t="s">
        <v>203</v>
      </c>
      <c r="M15" s="42">
        <f t="shared" ref="M15" si="7">J15+K15+L15</f>
        <v>0</v>
      </c>
      <c r="N15" s="42" t="str">
        <f t="shared" ref="N15" si="8">C15</f>
        <v>135.689</v>
      </c>
      <c r="O15" s="41">
        <f t="shared" ref="O15" si="9">D15+G15+M15</f>
        <v>132776</v>
      </c>
      <c r="P15" s="41">
        <f t="shared" ref="P15" si="10">N15-O15</f>
        <v>2913</v>
      </c>
      <c r="Q15" s="43">
        <f t="shared" ref="Q15" si="11">O15/N15</f>
        <v>0.97853178960711629</v>
      </c>
      <c r="R15" s="5" t="s">
        <v>203</v>
      </c>
      <c r="S15" s="5" t="s">
        <v>238</v>
      </c>
      <c r="T15" s="5" t="s">
        <v>203</v>
      </c>
      <c r="U15" s="5"/>
      <c r="V15" s="5"/>
      <c r="W15" s="5" t="s">
        <v>239</v>
      </c>
    </row>
    <row r="17" spans="1:23" ht="24" customHeight="1" x14ac:dyDescent="0.35">
      <c r="A17" s="60" t="s">
        <v>172</v>
      </c>
      <c r="B17" s="59"/>
      <c r="C17" s="59"/>
      <c r="D17" s="59"/>
      <c r="E17" s="59"/>
      <c r="F17" s="59"/>
      <c r="G17" s="59"/>
      <c r="H17" s="59"/>
      <c r="I17" s="59"/>
      <c r="J17" s="59"/>
      <c r="K17" s="59"/>
      <c r="L17" s="59"/>
      <c r="M17" s="59"/>
      <c r="N17" s="59"/>
      <c r="O17" s="59"/>
      <c r="P17" s="59"/>
      <c r="Q17" s="59"/>
      <c r="R17" s="59"/>
      <c r="S17" s="59"/>
      <c r="T17" s="59"/>
      <c r="U17" s="59"/>
      <c r="V17" s="59"/>
      <c r="W17" s="59"/>
    </row>
    <row r="18" spans="1:23" ht="36" customHeight="1" x14ac:dyDescent="0.35">
      <c r="A18" s="7" t="s">
        <v>129</v>
      </c>
      <c r="B18" s="7" t="s">
        <v>137</v>
      </c>
      <c r="C18" s="7" t="s">
        <v>210</v>
      </c>
      <c r="D18" s="7" t="s">
        <v>799</v>
      </c>
      <c r="E18" s="7" t="s">
        <v>212</v>
      </c>
      <c r="F18" s="7" t="s">
        <v>213</v>
      </c>
      <c r="G18" s="7" t="s">
        <v>214</v>
      </c>
      <c r="H18" s="7" t="s">
        <v>215</v>
      </c>
      <c r="I18" s="7" t="s">
        <v>768</v>
      </c>
      <c r="J18" s="7" t="s">
        <v>216</v>
      </c>
      <c r="K18" s="7" t="s">
        <v>217</v>
      </c>
      <c r="L18" s="7" t="s">
        <v>218</v>
      </c>
      <c r="M18" s="7" t="s">
        <v>219</v>
      </c>
      <c r="N18" s="7" t="s">
        <v>220</v>
      </c>
      <c r="O18" s="7" t="s">
        <v>221</v>
      </c>
      <c r="P18" s="7" t="s">
        <v>222</v>
      </c>
      <c r="Q18" s="7" t="s">
        <v>223</v>
      </c>
      <c r="R18" s="7" t="s">
        <v>224</v>
      </c>
      <c r="S18" s="7" t="s">
        <v>225</v>
      </c>
      <c r="T18" s="7" t="s">
        <v>226</v>
      </c>
      <c r="U18" s="7" t="s">
        <v>227</v>
      </c>
      <c r="V18" s="7" t="s">
        <v>228</v>
      </c>
      <c r="W18" s="7" t="s">
        <v>229</v>
      </c>
    </row>
    <row r="19" spans="1:23" x14ac:dyDescent="0.35">
      <c r="A19" s="18" t="s">
        <v>84</v>
      </c>
      <c r="B19" s="16" t="s">
        <v>181</v>
      </c>
      <c r="C19" s="36">
        <v>3292</v>
      </c>
      <c r="D19" s="36">
        <f>3274.83999999997+17.16</f>
        <v>3291.99999999997</v>
      </c>
      <c r="E19" s="63">
        <f>C19-D19</f>
        <v>3.0013325158506632E-11</v>
      </c>
      <c r="F19" s="36">
        <v>28123</v>
      </c>
      <c r="G19" s="36">
        <f>(62+17+29+46+12+96+71+24+87+44+106+72+114+23+19+22+6+24+5)*13</f>
        <v>11427</v>
      </c>
      <c r="H19" s="36">
        <f>F19-G19</f>
        <v>16696</v>
      </c>
      <c r="I19" s="44">
        <f>E19-G19</f>
        <v>-11426.999999999971</v>
      </c>
      <c r="J19" s="5">
        <v>8960</v>
      </c>
      <c r="K19" s="5">
        <v>0</v>
      </c>
      <c r="L19" s="5" t="s">
        <v>203</v>
      </c>
      <c r="M19" s="42">
        <f t="shared" ref="M19:M33" si="12">J19+K19+L19</f>
        <v>8960</v>
      </c>
      <c r="N19" s="42">
        <f t="shared" ref="N19:N33" si="13">C19</f>
        <v>3292</v>
      </c>
      <c r="O19" s="41">
        <f t="shared" ref="O19:O33" si="14">D19+G19+M19</f>
        <v>23678.999999999971</v>
      </c>
      <c r="P19" s="41">
        <f t="shared" ref="P19:P33" si="15">N19-O19</f>
        <v>-20386.999999999971</v>
      </c>
      <c r="Q19" s="43">
        <f t="shared" ref="Q19:Q33" si="16">O19/N19</f>
        <v>7.1928918590522386</v>
      </c>
      <c r="R19" s="5" t="s">
        <v>240</v>
      </c>
      <c r="S19" s="5"/>
      <c r="T19" s="5" t="s">
        <v>160</v>
      </c>
      <c r="U19" s="5" t="s">
        <v>241</v>
      </c>
      <c r="V19" s="5" t="s">
        <v>242</v>
      </c>
      <c r="W19" s="5" t="s">
        <v>243</v>
      </c>
    </row>
    <row r="20" spans="1:23" x14ac:dyDescent="0.35">
      <c r="A20" s="18" t="s">
        <v>84</v>
      </c>
      <c r="B20" s="16" t="s">
        <v>184</v>
      </c>
      <c r="C20" s="36" t="s">
        <v>185</v>
      </c>
      <c r="D20" s="36">
        <v>9745.5800000000745</v>
      </c>
      <c r="E20" s="63">
        <f t="shared" ref="E20:E33" si="17">C20-D20</f>
        <v>20952.419999999925</v>
      </c>
      <c r="F20" s="36">
        <f>4622.4+10126+8292+7625</f>
        <v>30665.4</v>
      </c>
      <c r="G20" s="36">
        <v>10395</v>
      </c>
      <c r="H20" s="36">
        <f>F20-G20</f>
        <v>20270.400000000001</v>
      </c>
      <c r="I20" s="44">
        <f t="shared" ref="I20:I33" si="18">E20-G20</f>
        <v>10557.419999999925</v>
      </c>
      <c r="J20" s="5">
        <v>4480</v>
      </c>
      <c r="K20" s="5">
        <v>1120</v>
      </c>
      <c r="L20" s="5" t="s">
        <v>203</v>
      </c>
      <c r="M20" s="42">
        <f t="shared" si="12"/>
        <v>5600</v>
      </c>
      <c r="N20" s="42" t="str">
        <f t="shared" si="13"/>
        <v>30.698</v>
      </c>
      <c r="O20" s="41">
        <f t="shared" si="14"/>
        <v>25740.580000000075</v>
      </c>
      <c r="P20" s="41">
        <f t="shared" si="15"/>
        <v>4957.4199999999255</v>
      </c>
      <c r="Q20" s="43">
        <f t="shared" si="16"/>
        <v>0.83851000065151071</v>
      </c>
      <c r="R20" s="5" t="s">
        <v>245</v>
      </c>
      <c r="S20" s="5" t="s">
        <v>246</v>
      </c>
      <c r="T20" s="5" t="s">
        <v>247</v>
      </c>
      <c r="U20" s="5" t="s">
        <v>241</v>
      </c>
      <c r="V20" s="5" t="s">
        <v>248</v>
      </c>
      <c r="W20" s="5" t="s">
        <v>243</v>
      </c>
    </row>
    <row r="21" spans="1:23" x14ac:dyDescent="0.35">
      <c r="A21" s="18" t="s">
        <v>84</v>
      </c>
      <c r="B21" s="16" t="s">
        <v>192</v>
      </c>
      <c r="C21" s="36">
        <v>41795</v>
      </c>
      <c r="D21" s="36">
        <v>6389</v>
      </c>
      <c r="E21" s="63">
        <f t="shared" si="17"/>
        <v>35406</v>
      </c>
      <c r="F21" s="36">
        <v>19187.990000000002</v>
      </c>
      <c r="G21" s="36">
        <v>0</v>
      </c>
      <c r="H21" s="36">
        <f>F21-G21</f>
        <v>19187.990000000002</v>
      </c>
      <c r="I21" s="44">
        <f t="shared" si="18"/>
        <v>35406</v>
      </c>
      <c r="J21" s="5">
        <v>3360</v>
      </c>
      <c r="K21" s="5">
        <v>6160</v>
      </c>
      <c r="L21" s="5" t="s">
        <v>203</v>
      </c>
      <c r="M21" s="42">
        <f t="shared" si="12"/>
        <v>9520</v>
      </c>
      <c r="N21" s="42">
        <f t="shared" si="13"/>
        <v>41795</v>
      </c>
      <c r="O21" s="41">
        <f t="shared" si="14"/>
        <v>15909</v>
      </c>
      <c r="P21" s="41">
        <f t="shared" si="15"/>
        <v>25886</v>
      </c>
      <c r="Q21" s="43">
        <f t="shared" si="16"/>
        <v>0.38064361765761456</v>
      </c>
      <c r="R21" s="5"/>
      <c r="S21" s="5"/>
      <c r="T21" s="5"/>
      <c r="U21" s="5"/>
      <c r="V21" s="5" t="s">
        <v>250</v>
      </c>
      <c r="W21" s="5"/>
    </row>
    <row r="22" spans="1:23" x14ac:dyDescent="0.35">
      <c r="A22" s="18" t="s">
        <v>84</v>
      </c>
      <c r="B22" s="16" t="s">
        <v>178</v>
      </c>
      <c r="C22" s="36">
        <v>10993.22</v>
      </c>
      <c r="D22" s="36">
        <v>5924.16</v>
      </c>
      <c r="E22" s="63">
        <f t="shared" si="17"/>
        <v>5069.0599999999995</v>
      </c>
      <c r="F22" s="36">
        <v>6370.82</v>
      </c>
      <c r="G22" s="36"/>
      <c r="H22" s="36">
        <f>F22-G22</f>
        <v>6370.82</v>
      </c>
      <c r="I22" s="44">
        <f t="shared" si="18"/>
        <v>5069.0599999999995</v>
      </c>
      <c r="J22" s="5">
        <v>2940</v>
      </c>
      <c r="K22" s="5">
        <v>490</v>
      </c>
      <c r="L22" s="5" t="s">
        <v>203</v>
      </c>
      <c r="M22" s="42">
        <f t="shared" si="12"/>
        <v>3430</v>
      </c>
      <c r="N22" s="42">
        <f t="shared" si="13"/>
        <v>10993.22</v>
      </c>
      <c r="O22" s="41">
        <f t="shared" si="14"/>
        <v>9354.16</v>
      </c>
      <c r="P22" s="41">
        <f t="shared" si="15"/>
        <v>1639.0599999999995</v>
      </c>
      <c r="Q22" s="43">
        <f t="shared" si="16"/>
        <v>0.85090264726804343</v>
      </c>
      <c r="R22" s="5" t="s">
        <v>251</v>
      </c>
      <c r="S22" s="5"/>
      <c r="T22" s="5" t="s">
        <v>241</v>
      </c>
      <c r="U22" s="5" t="s">
        <v>252</v>
      </c>
      <c r="V22" s="5" t="s">
        <v>253</v>
      </c>
      <c r="W22" s="5" t="s">
        <v>254</v>
      </c>
    </row>
    <row r="23" spans="1:23" x14ac:dyDescent="0.35">
      <c r="A23" s="18" t="s">
        <v>84</v>
      </c>
      <c r="B23" s="16" t="s">
        <v>187</v>
      </c>
      <c r="C23" s="36">
        <v>2877</v>
      </c>
      <c r="D23" s="36">
        <v>0</v>
      </c>
      <c r="E23" s="63">
        <f t="shared" si="17"/>
        <v>2877</v>
      </c>
      <c r="F23" s="36">
        <v>0</v>
      </c>
      <c r="G23" s="36">
        <v>0</v>
      </c>
      <c r="H23" s="36">
        <f>F23-G23</f>
        <v>0</v>
      </c>
      <c r="I23" s="44">
        <f t="shared" si="18"/>
        <v>2877</v>
      </c>
      <c r="J23" s="5">
        <v>0</v>
      </c>
      <c r="K23" s="5">
        <v>1470</v>
      </c>
      <c r="L23" s="5" t="s">
        <v>203</v>
      </c>
      <c r="M23" s="42">
        <f t="shared" si="12"/>
        <v>1470</v>
      </c>
      <c r="N23" s="42">
        <f t="shared" si="13"/>
        <v>2877</v>
      </c>
      <c r="O23" s="41">
        <f t="shared" si="14"/>
        <v>1470</v>
      </c>
      <c r="P23" s="41">
        <f t="shared" si="15"/>
        <v>1407</v>
      </c>
      <c r="Q23" s="43">
        <f t="shared" si="16"/>
        <v>0.51094890510948909</v>
      </c>
      <c r="R23" s="5"/>
      <c r="S23" s="5"/>
      <c r="T23" s="5"/>
      <c r="U23" s="5"/>
      <c r="V23" s="5" t="s">
        <v>250</v>
      </c>
      <c r="W23" s="5"/>
    </row>
    <row r="24" spans="1:23" x14ac:dyDescent="0.35">
      <c r="A24" s="18" t="s">
        <v>84</v>
      </c>
      <c r="B24" s="16" t="s">
        <v>158</v>
      </c>
      <c r="C24" s="36">
        <v>4362.3999999999996</v>
      </c>
      <c r="D24" s="36">
        <v>0</v>
      </c>
      <c r="E24" s="63">
        <f t="shared" si="17"/>
        <v>4362.3999999999996</v>
      </c>
      <c r="F24" s="36">
        <v>4362.3999999999996</v>
      </c>
      <c r="G24" s="36">
        <v>0</v>
      </c>
      <c r="H24" s="36">
        <f>F24-G24</f>
        <v>4362.3999999999996</v>
      </c>
      <c r="I24" s="44">
        <f t="shared" si="18"/>
        <v>4362.3999999999996</v>
      </c>
      <c r="J24" s="5">
        <v>0</v>
      </c>
      <c r="K24" s="5">
        <v>140</v>
      </c>
      <c r="L24" s="5" t="s">
        <v>203</v>
      </c>
      <c r="M24" s="42">
        <f t="shared" si="12"/>
        <v>140</v>
      </c>
      <c r="N24" s="42">
        <f t="shared" si="13"/>
        <v>4362.3999999999996</v>
      </c>
      <c r="O24" s="41">
        <f t="shared" si="14"/>
        <v>140</v>
      </c>
      <c r="P24" s="41">
        <f t="shared" si="15"/>
        <v>4222.3999999999996</v>
      </c>
      <c r="Q24" s="43">
        <f t="shared" si="16"/>
        <v>3.2092426187419774E-2</v>
      </c>
      <c r="R24" s="5"/>
      <c r="S24" s="5"/>
      <c r="T24" s="5"/>
      <c r="U24" s="5"/>
      <c r="V24" s="5" t="s">
        <v>255</v>
      </c>
      <c r="W24" s="5"/>
    </row>
    <row r="25" spans="1:23" x14ac:dyDescent="0.35">
      <c r="A25" s="18" t="s">
        <v>84</v>
      </c>
      <c r="B25" s="16" t="s">
        <v>197</v>
      </c>
      <c r="C25" s="36">
        <v>2998</v>
      </c>
      <c r="D25" s="36">
        <v>0</v>
      </c>
      <c r="E25" s="63">
        <f t="shared" si="17"/>
        <v>2998</v>
      </c>
      <c r="F25" s="36">
        <v>1207</v>
      </c>
      <c r="G25" s="36">
        <v>0</v>
      </c>
      <c r="H25" s="36">
        <f>F25-G25</f>
        <v>1207</v>
      </c>
      <c r="I25" s="44">
        <f t="shared" si="18"/>
        <v>2998</v>
      </c>
      <c r="J25" s="5">
        <v>0</v>
      </c>
      <c r="K25" s="5">
        <v>0</v>
      </c>
      <c r="L25" s="5" t="s">
        <v>203</v>
      </c>
      <c r="M25" s="42">
        <f t="shared" si="12"/>
        <v>0</v>
      </c>
      <c r="N25" s="42">
        <f t="shared" si="13"/>
        <v>2998</v>
      </c>
      <c r="O25" s="41">
        <f t="shared" si="14"/>
        <v>0</v>
      </c>
      <c r="P25" s="41">
        <f t="shared" si="15"/>
        <v>2998</v>
      </c>
      <c r="Q25" s="43">
        <f t="shared" si="16"/>
        <v>0</v>
      </c>
      <c r="R25" s="5" t="s">
        <v>203</v>
      </c>
      <c r="S25" s="5" t="s">
        <v>238</v>
      </c>
      <c r="T25" s="5"/>
      <c r="U25" s="5"/>
      <c r="V25" s="5" t="s">
        <v>257</v>
      </c>
      <c r="W25" s="5"/>
    </row>
    <row r="26" spans="1:23" x14ac:dyDescent="0.35">
      <c r="A26" s="18" t="s">
        <v>84</v>
      </c>
      <c r="B26" s="16" t="s">
        <v>143</v>
      </c>
      <c r="C26" s="36">
        <v>11118.91</v>
      </c>
      <c r="D26" s="36">
        <v>4029.4</v>
      </c>
      <c r="E26" s="63">
        <f t="shared" si="17"/>
        <v>7089.51</v>
      </c>
      <c r="F26" s="36">
        <v>1408.52</v>
      </c>
      <c r="G26" s="36"/>
      <c r="H26" s="36">
        <f>F26-G26</f>
        <v>1408.52</v>
      </c>
      <c r="I26" s="44">
        <f>E26-G26</f>
        <v>7089.51</v>
      </c>
      <c r="J26" s="5">
        <v>1120</v>
      </c>
      <c r="K26" s="5">
        <v>2765</v>
      </c>
      <c r="L26" s="5" t="s">
        <v>258</v>
      </c>
      <c r="M26" s="42">
        <f t="shared" si="12"/>
        <v>5163</v>
      </c>
      <c r="N26" s="42">
        <f t="shared" si="13"/>
        <v>11118.91</v>
      </c>
      <c r="O26" s="41">
        <f t="shared" si="14"/>
        <v>9192.4</v>
      </c>
      <c r="P26" s="41">
        <f t="shared" si="15"/>
        <v>1926.5100000000002</v>
      </c>
      <c r="Q26" s="43">
        <f t="shared" si="16"/>
        <v>0.82673571420220149</v>
      </c>
      <c r="R26" s="5" t="s">
        <v>259</v>
      </c>
      <c r="S26" s="5" t="s">
        <v>260</v>
      </c>
      <c r="T26" s="5" t="s">
        <v>261</v>
      </c>
      <c r="U26" s="5"/>
      <c r="V26" s="5" t="s">
        <v>262</v>
      </c>
      <c r="W26" s="5" t="s">
        <v>257</v>
      </c>
    </row>
    <row r="27" spans="1:23" x14ac:dyDescent="0.35">
      <c r="A27" s="18" t="s">
        <v>84</v>
      </c>
      <c r="B27" s="16" t="s">
        <v>162</v>
      </c>
      <c r="C27" s="36">
        <v>98860</v>
      </c>
      <c r="D27" s="36">
        <v>0</v>
      </c>
      <c r="E27" s="63">
        <f t="shared" si="17"/>
        <v>98860</v>
      </c>
      <c r="F27" s="36">
        <v>60408.13</v>
      </c>
      <c r="G27" s="36">
        <v>0</v>
      </c>
      <c r="H27" s="36">
        <f>F27-G27</f>
        <v>60408.13</v>
      </c>
      <c r="I27" s="44">
        <f t="shared" si="18"/>
        <v>98860</v>
      </c>
      <c r="J27" s="5">
        <v>10500</v>
      </c>
      <c r="K27" s="5">
        <v>0</v>
      </c>
      <c r="L27" s="5" t="s">
        <v>203</v>
      </c>
      <c r="M27" s="42">
        <f t="shared" si="12"/>
        <v>10500</v>
      </c>
      <c r="N27" s="42">
        <f t="shared" si="13"/>
        <v>98860</v>
      </c>
      <c r="O27" s="41">
        <f t="shared" si="14"/>
        <v>10500</v>
      </c>
      <c r="P27" s="41">
        <f t="shared" si="15"/>
        <v>88360</v>
      </c>
      <c r="Q27" s="43">
        <f t="shared" si="16"/>
        <v>0.10621080315597815</v>
      </c>
      <c r="R27" s="5"/>
      <c r="S27" s="5"/>
      <c r="T27" s="5"/>
      <c r="U27" s="5"/>
      <c r="V27" s="5" t="s">
        <v>263</v>
      </c>
      <c r="W27" s="5"/>
    </row>
    <row r="28" spans="1:23" x14ac:dyDescent="0.35">
      <c r="A28" s="18" t="s">
        <v>84</v>
      </c>
      <c r="B28" s="16" t="s">
        <v>166</v>
      </c>
      <c r="C28" s="36" t="s">
        <v>204</v>
      </c>
      <c r="D28" s="36">
        <v>0</v>
      </c>
      <c r="E28" s="63">
        <f t="shared" si="17"/>
        <v>46033</v>
      </c>
      <c r="F28" s="36">
        <v>15419.31</v>
      </c>
      <c r="G28" s="36">
        <v>0</v>
      </c>
      <c r="H28" s="36">
        <f>F28-G28</f>
        <v>15419.31</v>
      </c>
      <c r="I28" s="44">
        <f t="shared" si="18"/>
        <v>46033</v>
      </c>
      <c r="J28" s="5">
        <v>5600</v>
      </c>
      <c r="K28" s="5">
        <v>8400</v>
      </c>
      <c r="L28" s="5" t="s">
        <v>203</v>
      </c>
      <c r="M28" s="42">
        <f t="shared" si="12"/>
        <v>14000</v>
      </c>
      <c r="N28" s="42" t="str">
        <f t="shared" si="13"/>
        <v>46.033</v>
      </c>
      <c r="O28" s="41">
        <f t="shared" si="14"/>
        <v>14000</v>
      </c>
      <c r="P28" s="41">
        <f t="shared" si="15"/>
        <v>32033</v>
      </c>
      <c r="Q28" s="43">
        <f t="shared" si="16"/>
        <v>0.30412964612343318</v>
      </c>
      <c r="R28" s="5"/>
      <c r="S28" s="5"/>
      <c r="T28" s="5"/>
      <c r="U28" s="5"/>
      <c r="V28" s="5" t="s">
        <v>264</v>
      </c>
      <c r="W28" s="5"/>
    </row>
    <row r="29" spans="1:23" x14ac:dyDescent="0.35">
      <c r="A29" s="18" t="s">
        <v>84</v>
      </c>
      <c r="B29" s="16" t="s">
        <v>151</v>
      </c>
      <c r="C29" s="36" t="s">
        <v>200</v>
      </c>
      <c r="D29" s="36">
        <v>0</v>
      </c>
      <c r="E29" s="63">
        <f t="shared" si="17"/>
        <v>8357</v>
      </c>
      <c r="F29" s="36">
        <v>1758.43</v>
      </c>
      <c r="G29" s="36">
        <v>0</v>
      </c>
      <c r="H29" s="36">
        <f>F29-G29</f>
        <v>1758.43</v>
      </c>
      <c r="I29" s="44">
        <f t="shared" si="18"/>
        <v>8357</v>
      </c>
      <c r="J29" s="5">
        <v>630</v>
      </c>
      <c r="K29" s="5">
        <v>735</v>
      </c>
      <c r="L29" s="5" t="s">
        <v>203</v>
      </c>
      <c r="M29" s="42">
        <f t="shared" si="12"/>
        <v>1365</v>
      </c>
      <c r="N29" s="42" t="str">
        <f t="shared" si="13"/>
        <v>8.357</v>
      </c>
      <c r="O29" s="41">
        <f t="shared" si="14"/>
        <v>1365</v>
      </c>
      <c r="P29" s="41">
        <f t="shared" si="15"/>
        <v>6992</v>
      </c>
      <c r="Q29" s="43">
        <f t="shared" si="16"/>
        <v>0.16333612540385306</v>
      </c>
      <c r="R29" s="5"/>
      <c r="S29" s="5"/>
      <c r="T29" s="5"/>
      <c r="U29" s="5"/>
      <c r="V29" s="5" t="s">
        <v>248</v>
      </c>
      <c r="W29" s="5"/>
    </row>
    <row r="30" spans="1:23" x14ac:dyDescent="0.35">
      <c r="A30" s="18" t="s">
        <v>84</v>
      </c>
      <c r="B30" s="16" t="s">
        <v>155</v>
      </c>
      <c r="C30" s="36">
        <v>2507</v>
      </c>
      <c r="D30" s="36">
        <v>631</v>
      </c>
      <c r="E30" s="63">
        <f t="shared" si="17"/>
        <v>1876</v>
      </c>
      <c r="F30" s="36">
        <v>253.33</v>
      </c>
      <c r="G30" s="36">
        <v>0</v>
      </c>
      <c r="H30" s="36">
        <f>F30-G30</f>
        <v>253.33</v>
      </c>
      <c r="I30" s="44">
        <f t="shared" si="18"/>
        <v>1876</v>
      </c>
      <c r="J30" s="5">
        <v>205.8</v>
      </c>
      <c r="K30" s="5">
        <v>186.2</v>
      </c>
      <c r="L30" s="5" t="s">
        <v>203</v>
      </c>
      <c r="M30" s="42">
        <f t="shared" si="12"/>
        <v>392</v>
      </c>
      <c r="N30" s="42">
        <f t="shared" si="13"/>
        <v>2507</v>
      </c>
      <c r="O30" s="41">
        <f t="shared" si="14"/>
        <v>1023</v>
      </c>
      <c r="P30" s="41">
        <f t="shared" si="15"/>
        <v>1484</v>
      </c>
      <c r="Q30" s="43">
        <f t="shared" si="16"/>
        <v>0.40805743917032311</v>
      </c>
      <c r="R30" s="5"/>
      <c r="S30" s="5"/>
      <c r="T30" s="5"/>
      <c r="U30" s="5"/>
      <c r="V30" s="5" t="s">
        <v>265</v>
      </c>
      <c r="W30" s="5"/>
    </row>
    <row r="31" spans="1:23" x14ac:dyDescent="0.35">
      <c r="A31" s="18" t="s">
        <v>84</v>
      </c>
      <c r="B31" s="16" t="s">
        <v>205</v>
      </c>
      <c r="C31" s="36" t="s">
        <v>206</v>
      </c>
      <c r="D31" s="36">
        <v>0</v>
      </c>
      <c r="E31" s="63">
        <f t="shared" si="17"/>
        <v>626</v>
      </c>
      <c r="F31" s="36">
        <v>51.91</v>
      </c>
      <c r="G31" s="36">
        <v>0</v>
      </c>
      <c r="H31" s="36">
        <f>F31-G31</f>
        <v>51.91</v>
      </c>
      <c r="I31" s="44">
        <f>E31-G31</f>
        <v>626</v>
      </c>
      <c r="J31" s="5">
        <v>0</v>
      </c>
      <c r="K31" s="5">
        <v>0</v>
      </c>
      <c r="L31" s="5" t="s">
        <v>203</v>
      </c>
      <c r="M31" s="42">
        <f t="shared" si="12"/>
        <v>0</v>
      </c>
      <c r="N31" s="42" t="str">
        <f t="shared" si="13"/>
        <v>626</v>
      </c>
      <c r="O31" s="41">
        <f t="shared" si="14"/>
        <v>0</v>
      </c>
      <c r="P31" s="41">
        <f t="shared" si="15"/>
        <v>626</v>
      </c>
      <c r="Q31" s="43">
        <f t="shared" si="16"/>
        <v>0</v>
      </c>
      <c r="R31" s="5"/>
      <c r="S31" s="5"/>
      <c r="T31" s="5"/>
      <c r="U31" s="5"/>
      <c r="V31" s="5" t="s">
        <v>266</v>
      </c>
      <c r="W31" s="5"/>
    </row>
    <row r="32" spans="1:23" x14ac:dyDescent="0.35">
      <c r="A32" s="18" t="s">
        <v>84</v>
      </c>
      <c r="B32" s="16" t="s">
        <v>175</v>
      </c>
      <c r="C32" s="36" t="s">
        <v>176</v>
      </c>
      <c r="D32" s="36">
        <v>5160</v>
      </c>
      <c r="E32" s="63">
        <f t="shared" si="17"/>
        <v>0</v>
      </c>
      <c r="F32" s="36">
        <v>0</v>
      </c>
      <c r="G32" s="36">
        <v>0</v>
      </c>
      <c r="H32" s="36">
        <f>F32-G32</f>
        <v>0</v>
      </c>
      <c r="I32" s="44">
        <f t="shared" si="18"/>
        <v>0</v>
      </c>
      <c r="J32" s="5">
        <v>0</v>
      </c>
      <c r="K32" s="5">
        <v>0</v>
      </c>
      <c r="L32" s="5" t="s">
        <v>203</v>
      </c>
      <c r="M32" s="42">
        <f t="shared" si="12"/>
        <v>0</v>
      </c>
      <c r="N32" s="42" t="str">
        <f t="shared" si="13"/>
        <v>5.160</v>
      </c>
      <c r="O32" s="41">
        <f t="shared" si="14"/>
        <v>5160</v>
      </c>
      <c r="P32" s="41">
        <f t="shared" si="15"/>
        <v>0</v>
      </c>
      <c r="Q32" s="43">
        <f t="shared" si="16"/>
        <v>1</v>
      </c>
      <c r="R32" s="5"/>
      <c r="S32" s="5"/>
      <c r="T32" s="5"/>
      <c r="U32" s="5"/>
      <c r="V32" s="5" t="s">
        <v>267</v>
      </c>
      <c r="W32" s="5"/>
    </row>
    <row r="33" spans="1:23" x14ac:dyDescent="0.35">
      <c r="A33" s="18" t="s">
        <v>84</v>
      </c>
      <c r="B33" s="16" t="s">
        <v>207</v>
      </c>
      <c r="C33" s="36" t="s">
        <v>208</v>
      </c>
      <c r="D33" s="36">
        <v>0</v>
      </c>
      <c r="E33" s="63">
        <f t="shared" si="17"/>
        <v>3154</v>
      </c>
      <c r="F33" s="36" t="s">
        <v>208</v>
      </c>
      <c r="G33" s="36">
        <v>0</v>
      </c>
      <c r="H33" s="36">
        <f>F33-G33</f>
        <v>3154</v>
      </c>
      <c r="I33" s="44">
        <f t="shared" si="18"/>
        <v>3154</v>
      </c>
      <c r="J33" s="5">
        <v>840</v>
      </c>
      <c r="K33" s="5">
        <v>2520</v>
      </c>
      <c r="L33" s="5" t="s">
        <v>203</v>
      </c>
      <c r="M33" s="42">
        <f t="shared" si="12"/>
        <v>3360</v>
      </c>
      <c r="N33" s="42" t="str">
        <f t="shared" si="13"/>
        <v>3.154</v>
      </c>
      <c r="O33" s="41">
        <f t="shared" si="14"/>
        <v>3360</v>
      </c>
      <c r="P33" s="41">
        <f t="shared" si="15"/>
        <v>-206</v>
      </c>
      <c r="Q33" s="43">
        <f t="shared" si="16"/>
        <v>1.0653138871274572</v>
      </c>
      <c r="R33" s="5"/>
      <c r="S33" s="5"/>
      <c r="T33" s="5"/>
      <c r="U33" s="5"/>
      <c r="V33" s="5" t="s">
        <v>268</v>
      </c>
      <c r="W33" s="5"/>
    </row>
  </sheetData>
  <mergeCells count="4">
    <mergeCell ref="A17:W17"/>
    <mergeCell ref="A1:W1"/>
    <mergeCell ref="A13:W13"/>
    <mergeCell ref="A3:W3"/>
  </mergeCells>
  <printOptions horizontalCentered="1"/>
  <pageMargins left="0.4" right="0.4" top="0.5" bottom="0.5" header="0.2" footer="0.2"/>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41"/>
  <sheetViews>
    <sheetView showGridLines="0" topLeftCell="F25" workbookViewId="0">
      <selection activeCell="O32" sqref="O32:P41"/>
    </sheetView>
  </sheetViews>
  <sheetFormatPr defaultRowHeight="14.5" x14ac:dyDescent="0.35"/>
  <cols>
    <col min="1" max="1" width="9" customWidth="1"/>
    <col min="2" max="2" width="30" customWidth="1"/>
    <col min="3" max="22" width="12" customWidth="1"/>
  </cols>
  <sheetData>
    <row r="1" spans="1:22" ht="24" customHeight="1" x14ac:dyDescent="0.35">
      <c r="A1" s="58" t="s">
        <v>269</v>
      </c>
      <c r="B1" s="59"/>
      <c r="C1" s="59"/>
      <c r="D1" s="59"/>
      <c r="E1" s="59"/>
      <c r="F1" s="59"/>
      <c r="G1" s="59"/>
      <c r="H1" s="59"/>
      <c r="I1" s="59"/>
      <c r="J1" s="59"/>
      <c r="K1" s="59"/>
      <c r="L1" s="59"/>
      <c r="M1" s="59"/>
      <c r="N1" s="59"/>
      <c r="O1" s="59"/>
      <c r="P1" s="59"/>
      <c r="Q1" s="59"/>
      <c r="R1" s="59"/>
      <c r="S1" s="59"/>
      <c r="T1" s="59"/>
      <c r="U1" s="59"/>
      <c r="V1" s="59"/>
    </row>
    <row r="3" spans="1:22" ht="24" customHeight="1" x14ac:dyDescent="0.35">
      <c r="A3" s="61" t="s">
        <v>270</v>
      </c>
      <c r="B3" s="59"/>
      <c r="C3" s="59"/>
      <c r="D3" s="59"/>
      <c r="E3" s="59"/>
      <c r="F3" s="59"/>
      <c r="G3" s="59"/>
      <c r="H3" s="59"/>
      <c r="I3" s="59"/>
      <c r="J3" s="59"/>
      <c r="K3" s="59"/>
      <c r="L3" s="59"/>
      <c r="M3" s="59"/>
      <c r="N3" s="59"/>
      <c r="O3" s="59"/>
      <c r="P3" s="59"/>
      <c r="Q3" s="59"/>
      <c r="R3" s="59"/>
      <c r="S3" s="59"/>
      <c r="T3" s="59"/>
      <c r="U3" s="59"/>
      <c r="V3" s="59"/>
    </row>
    <row r="4" spans="1:22" x14ac:dyDescent="0.35">
      <c r="A4" s="7" t="s">
        <v>129</v>
      </c>
      <c r="B4" s="7" t="s">
        <v>271</v>
      </c>
      <c r="C4" s="7" t="s">
        <v>140</v>
      </c>
      <c r="D4" s="7" t="s">
        <v>142</v>
      </c>
    </row>
    <row r="5" spans="1:22" x14ac:dyDescent="0.35">
      <c r="A5" s="15" t="s">
        <v>82</v>
      </c>
      <c r="B5" s="5" t="s">
        <v>272</v>
      </c>
      <c r="C5" s="5" t="s">
        <v>273</v>
      </c>
      <c r="D5" s="5" t="s">
        <v>154</v>
      </c>
      <c r="G5" s="57"/>
    </row>
    <row r="6" spans="1:22" x14ac:dyDescent="0.35">
      <c r="A6" s="15" t="s">
        <v>82</v>
      </c>
      <c r="B6" s="5" t="s">
        <v>274</v>
      </c>
      <c r="C6" s="5" t="s">
        <v>275</v>
      </c>
      <c r="D6" s="5" t="s">
        <v>146</v>
      </c>
    </row>
    <row r="7" spans="1:22" x14ac:dyDescent="0.35">
      <c r="A7" s="15" t="s">
        <v>82</v>
      </c>
      <c r="B7" s="5" t="s">
        <v>162</v>
      </c>
      <c r="C7" s="5" t="s">
        <v>276</v>
      </c>
      <c r="D7" s="5" t="s">
        <v>165</v>
      </c>
    </row>
    <row r="8" spans="1:22" x14ac:dyDescent="0.35">
      <c r="A8" s="15" t="s">
        <v>82</v>
      </c>
      <c r="B8" s="5" t="s">
        <v>166</v>
      </c>
      <c r="C8" s="5" t="s">
        <v>277</v>
      </c>
      <c r="D8" s="5" t="s">
        <v>165</v>
      </c>
    </row>
    <row r="9" spans="1:22" x14ac:dyDescent="0.35">
      <c r="A9" s="15" t="s">
        <v>82</v>
      </c>
      <c r="B9" s="5" t="s">
        <v>155</v>
      </c>
      <c r="C9" s="5" t="s">
        <v>278</v>
      </c>
      <c r="D9" s="5" t="s">
        <v>154</v>
      </c>
    </row>
    <row r="10" spans="1:22" x14ac:dyDescent="0.35">
      <c r="A10" s="15" t="s">
        <v>82</v>
      </c>
      <c r="B10" s="5" t="s">
        <v>151</v>
      </c>
      <c r="C10" s="5" t="s">
        <v>279</v>
      </c>
      <c r="D10" s="5" t="s">
        <v>154</v>
      </c>
    </row>
    <row r="11" spans="1:22" x14ac:dyDescent="0.35">
      <c r="A11" s="17" t="s">
        <v>83</v>
      </c>
      <c r="B11" s="5" t="s">
        <v>272</v>
      </c>
      <c r="C11" s="5" t="s">
        <v>280</v>
      </c>
      <c r="D11" s="5" t="s">
        <v>154</v>
      </c>
    </row>
    <row r="12" spans="1:22" x14ac:dyDescent="0.35">
      <c r="A12" s="17" t="s">
        <v>83</v>
      </c>
      <c r="B12" s="5" t="s">
        <v>274</v>
      </c>
      <c r="C12" s="5" t="s">
        <v>281</v>
      </c>
      <c r="D12" s="5" t="s">
        <v>146</v>
      </c>
    </row>
    <row r="13" spans="1:22" x14ac:dyDescent="0.35">
      <c r="A13" s="17" t="s">
        <v>83</v>
      </c>
      <c r="B13" s="5" t="s">
        <v>151</v>
      </c>
      <c r="C13" s="5" t="s">
        <v>282</v>
      </c>
      <c r="D13" s="5" t="s">
        <v>154</v>
      </c>
    </row>
    <row r="14" spans="1:22" x14ac:dyDescent="0.35">
      <c r="A14" s="18" t="s">
        <v>84</v>
      </c>
      <c r="B14" s="5" t="s">
        <v>283</v>
      </c>
      <c r="C14" s="5" t="s">
        <v>284</v>
      </c>
      <c r="D14" s="5" t="s">
        <v>165</v>
      </c>
    </row>
    <row r="17" spans="1:22" ht="24" customHeight="1" x14ac:dyDescent="0.35">
      <c r="A17" s="61" t="s">
        <v>285</v>
      </c>
      <c r="B17" s="59"/>
      <c r="C17" s="59"/>
      <c r="D17" s="59"/>
      <c r="E17" s="59"/>
      <c r="F17" s="59"/>
      <c r="G17" s="59"/>
      <c r="H17" s="59"/>
      <c r="I17" s="59"/>
      <c r="J17" s="59"/>
      <c r="K17" s="59"/>
      <c r="L17" s="59"/>
      <c r="M17" s="59"/>
      <c r="N17" s="59"/>
      <c r="O17" s="59"/>
      <c r="P17" s="59"/>
      <c r="Q17" s="59"/>
      <c r="R17" s="59"/>
      <c r="S17" s="59"/>
      <c r="T17" s="59"/>
      <c r="U17" s="59"/>
      <c r="V17" s="59"/>
    </row>
    <row r="18" spans="1:22" ht="28" x14ac:dyDescent="0.35">
      <c r="A18" s="7" t="s">
        <v>129</v>
      </c>
      <c r="B18" s="7" t="s">
        <v>271</v>
      </c>
      <c r="C18" s="7" t="s">
        <v>286</v>
      </c>
      <c r="D18" s="7" t="s">
        <v>139</v>
      </c>
      <c r="E18" s="7" t="s">
        <v>141</v>
      </c>
    </row>
    <row r="19" spans="1:22" x14ac:dyDescent="0.35">
      <c r="A19" s="15" t="s">
        <v>82</v>
      </c>
      <c r="B19" s="5" t="s">
        <v>287</v>
      </c>
      <c r="C19" s="5" t="s">
        <v>288</v>
      </c>
      <c r="D19" s="5" t="s">
        <v>157</v>
      </c>
      <c r="E19" s="43">
        <f>D19/C19</f>
        <v>0.21176470588235294</v>
      </c>
    </row>
    <row r="20" spans="1:22" x14ac:dyDescent="0.35">
      <c r="A20" s="15" t="s">
        <v>82</v>
      </c>
      <c r="B20" s="5" t="s">
        <v>289</v>
      </c>
      <c r="C20" s="5" t="s">
        <v>290</v>
      </c>
      <c r="D20" s="5" t="s">
        <v>291</v>
      </c>
      <c r="E20" s="43">
        <f t="shared" ref="E20:E27" si="0">D20/C20</f>
        <v>6.8814055636896049E-2</v>
      </c>
    </row>
    <row r="21" spans="1:22" x14ac:dyDescent="0.35">
      <c r="A21" s="15" t="s">
        <v>82</v>
      </c>
      <c r="B21" s="5" t="s">
        <v>292</v>
      </c>
      <c r="C21" s="5" t="s">
        <v>293</v>
      </c>
      <c r="D21" s="5" t="s">
        <v>203</v>
      </c>
      <c r="E21" s="43">
        <f t="shared" si="0"/>
        <v>0</v>
      </c>
    </row>
    <row r="22" spans="1:22" x14ac:dyDescent="0.35">
      <c r="A22" s="17" t="s">
        <v>83</v>
      </c>
      <c r="B22" s="5" t="s">
        <v>287</v>
      </c>
      <c r="C22" s="5" t="s">
        <v>294</v>
      </c>
      <c r="D22" s="5" t="s">
        <v>295</v>
      </c>
      <c r="E22" s="43">
        <f t="shared" si="0"/>
        <v>6.7961165048543687E-2</v>
      </c>
    </row>
    <row r="23" spans="1:22" x14ac:dyDescent="0.35">
      <c r="A23" s="17" t="s">
        <v>83</v>
      </c>
      <c r="B23" s="5" t="s">
        <v>289</v>
      </c>
      <c r="C23" s="5" t="s">
        <v>296</v>
      </c>
      <c r="D23" s="5" t="s">
        <v>297</v>
      </c>
      <c r="E23" s="43">
        <f t="shared" si="0"/>
        <v>3.5856573705179286E-2</v>
      </c>
    </row>
    <row r="24" spans="1:22" x14ac:dyDescent="0.35">
      <c r="A24" s="17" t="s">
        <v>83</v>
      </c>
      <c r="B24" s="5" t="s">
        <v>292</v>
      </c>
      <c r="C24" s="5" t="s">
        <v>288</v>
      </c>
      <c r="D24" s="5" t="s">
        <v>288</v>
      </c>
      <c r="E24" s="43">
        <f t="shared" si="0"/>
        <v>1</v>
      </c>
    </row>
    <row r="25" spans="1:22" x14ac:dyDescent="0.35">
      <c r="A25" s="18" t="s">
        <v>84</v>
      </c>
      <c r="B25" s="5" t="s">
        <v>287</v>
      </c>
      <c r="C25" s="5" t="s">
        <v>298</v>
      </c>
      <c r="D25" s="5" t="s">
        <v>299</v>
      </c>
      <c r="E25" s="43">
        <f t="shared" si="0"/>
        <v>0.36708860759493672</v>
      </c>
    </row>
    <row r="26" spans="1:22" x14ac:dyDescent="0.35">
      <c r="A26" s="18" t="s">
        <v>84</v>
      </c>
      <c r="B26" s="5" t="s">
        <v>289</v>
      </c>
      <c r="C26" s="5" t="s">
        <v>300</v>
      </c>
      <c r="D26" s="5" t="s">
        <v>301</v>
      </c>
      <c r="E26" s="43">
        <f t="shared" si="0"/>
        <v>0.46762589928057552</v>
      </c>
    </row>
    <row r="27" spans="1:22" x14ac:dyDescent="0.35">
      <c r="A27" s="18" t="s">
        <v>84</v>
      </c>
      <c r="B27" s="5" t="s">
        <v>292</v>
      </c>
      <c r="C27" s="5" t="s">
        <v>252</v>
      </c>
      <c r="D27" s="5" t="s">
        <v>203</v>
      </c>
      <c r="E27" s="43">
        <f t="shared" si="0"/>
        <v>0</v>
      </c>
    </row>
    <row r="30" spans="1:22" ht="24" customHeight="1" x14ac:dyDescent="0.35">
      <c r="A30" s="61" t="s">
        <v>302</v>
      </c>
      <c r="B30" s="59"/>
      <c r="C30" s="59"/>
      <c r="D30" s="59"/>
      <c r="E30" s="59"/>
      <c r="F30" s="59"/>
      <c r="G30" s="59"/>
      <c r="H30" s="59"/>
      <c r="I30" s="59"/>
      <c r="J30" s="59"/>
      <c r="K30" s="59"/>
      <c r="L30" s="59"/>
      <c r="M30" s="59"/>
      <c r="N30" s="59"/>
      <c r="O30" s="59"/>
      <c r="P30" s="59"/>
      <c r="Q30" s="59"/>
      <c r="R30" s="59"/>
      <c r="S30" s="59"/>
      <c r="T30" s="59"/>
      <c r="U30" s="59"/>
      <c r="V30" s="59"/>
    </row>
    <row r="31" spans="1:22" ht="36" customHeight="1" x14ac:dyDescent="0.35">
      <c r="A31" s="7" t="s">
        <v>129</v>
      </c>
      <c r="B31" s="7" t="s">
        <v>271</v>
      </c>
      <c r="C31" s="7" t="s">
        <v>210</v>
      </c>
      <c r="D31" s="7" t="s">
        <v>211</v>
      </c>
      <c r="E31" s="7" t="s">
        <v>212</v>
      </c>
      <c r="F31" s="7" t="s">
        <v>213</v>
      </c>
      <c r="G31" s="7" t="s">
        <v>214</v>
      </c>
      <c r="H31" s="7" t="s">
        <v>215</v>
      </c>
      <c r="I31" s="7" t="s">
        <v>216</v>
      </c>
      <c r="J31" s="7" t="s">
        <v>217</v>
      </c>
      <c r="K31" s="7" t="s">
        <v>218</v>
      </c>
      <c r="L31" s="7" t="s">
        <v>219</v>
      </c>
      <c r="M31" s="7" t="s">
        <v>220</v>
      </c>
      <c r="N31" s="7" t="s">
        <v>221</v>
      </c>
      <c r="O31" s="7" t="s">
        <v>222</v>
      </c>
      <c r="P31" s="7" t="s">
        <v>223</v>
      </c>
      <c r="Q31" s="7" t="s">
        <v>224</v>
      </c>
      <c r="R31" s="7" t="s">
        <v>225</v>
      </c>
      <c r="S31" s="7" t="s">
        <v>226</v>
      </c>
      <c r="T31" s="7" t="s">
        <v>227</v>
      </c>
      <c r="U31" s="7" t="s">
        <v>228</v>
      </c>
      <c r="V31" s="7" t="s">
        <v>229</v>
      </c>
    </row>
    <row r="32" spans="1:22" x14ac:dyDescent="0.35">
      <c r="A32" s="15" t="s">
        <v>82</v>
      </c>
      <c r="B32" s="16" t="s">
        <v>287</v>
      </c>
      <c r="C32" s="5" t="s">
        <v>288</v>
      </c>
      <c r="D32" s="5" t="s">
        <v>157</v>
      </c>
      <c r="E32" s="42">
        <f>C32-D32</f>
        <v>67</v>
      </c>
      <c r="F32" s="5" t="s">
        <v>203</v>
      </c>
      <c r="G32" s="5" t="s">
        <v>160</v>
      </c>
      <c r="H32" s="42">
        <f>F32-G32</f>
        <v>-6</v>
      </c>
      <c r="I32" s="5" t="s">
        <v>203</v>
      </c>
      <c r="J32" s="5" t="s">
        <v>303</v>
      </c>
      <c r="K32" s="5" t="s">
        <v>304</v>
      </c>
      <c r="L32" s="42">
        <f>I32+J32+K32</f>
        <v>36</v>
      </c>
      <c r="M32" s="42" t="str">
        <f>C32</f>
        <v>85</v>
      </c>
      <c r="N32" s="42">
        <f>D32+G32+L32</f>
        <v>60</v>
      </c>
      <c r="O32" s="42">
        <f>M32-N32</f>
        <v>25</v>
      </c>
      <c r="P32" s="43">
        <f>N32/M32</f>
        <v>0.70588235294117652</v>
      </c>
      <c r="Q32" s="5" t="s">
        <v>203</v>
      </c>
      <c r="R32" s="5" t="s">
        <v>238</v>
      </c>
      <c r="S32" s="5"/>
      <c r="T32" s="5"/>
      <c r="U32" s="5"/>
      <c r="V32" s="5" t="s">
        <v>235</v>
      </c>
    </row>
    <row r="33" spans="1:22" x14ac:dyDescent="0.35">
      <c r="A33" s="15" t="s">
        <v>82</v>
      </c>
      <c r="B33" s="16" t="s">
        <v>289</v>
      </c>
      <c r="C33" s="5" t="s">
        <v>290</v>
      </c>
      <c r="D33" s="5" t="s">
        <v>291</v>
      </c>
      <c r="E33" s="42">
        <f t="shared" ref="E33:E41" si="1">C33-D33</f>
        <v>636</v>
      </c>
      <c r="F33" s="5" t="s">
        <v>203</v>
      </c>
      <c r="G33" s="5" t="s">
        <v>237</v>
      </c>
      <c r="H33" s="42">
        <f t="shared" ref="H33:H41" si="2">F33-G33</f>
        <v>-50</v>
      </c>
      <c r="I33" s="5" t="s">
        <v>203</v>
      </c>
      <c r="J33" s="5" t="s">
        <v>305</v>
      </c>
      <c r="K33" s="5" t="s">
        <v>306</v>
      </c>
      <c r="L33" s="42">
        <f t="shared" ref="L33:L41" si="3">I33+J33+K33</f>
        <v>324</v>
      </c>
      <c r="M33" s="42" t="str">
        <f t="shared" ref="M33:M41" si="4">C33</f>
        <v>683</v>
      </c>
      <c r="N33" s="42">
        <f t="shared" ref="N33:N41" si="5">D33+G33+L33</f>
        <v>421</v>
      </c>
      <c r="O33" s="42">
        <f t="shared" ref="O33:O41" si="6">M33-N33</f>
        <v>262</v>
      </c>
      <c r="P33" s="43">
        <f t="shared" ref="P33:P41" si="7">N33/M33</f>
        <v>0.61639824304538804</v>
      </c>
      <c r="Q33" s="5" t="s">
        <v>203</v>
      </c>
      <c r="R33" s="5" t="s">
        <v>238</v>
      </c>
      <c r="S33" s="5"/>
      <c r="T33" s="5"/>
      <c r="U33" s="5"/>
      <c r="V33" s="5" t="s">
        <v>235</v>
      </c>
    </row>
    <row r="34" spans="1:22" x14ac:dyDescent="0.35">
      <c r="A34" s="15" t="s">
        <v>82</v>
      </c>
      <c r="B34" s="16" t="s">
        <v>292</v>
      </c>
      <c r="C34" s="5" t="s">
        <v>293</v>
      </c>
      <c r="D34" s="5" t="s">
        <v>203</v>
      </c>
      <c r="E34" s="42">
        <f t="shared" si="1"/>
        <v>40</v>
      </c>
      <c r="F34" s="5" t="s">
        <v>203</v>
      </c>
      <c r="G34" s="5" t="s">
        <v>203</v>
      </c>
      <c r="H34" s="42">
        <f t="shared" si="2"/>
        <v>0</v>
      </c>
      <c r="I34" s="5" t="s">
        <v>203</v>
      </c>
      <c r="J34" s="5" t="s">
        <v>203</v>
      </c>
      <c r="K34" s="5" t="s">
        <v>293</v>
      </c>
      <c r="L34" s="42">
        <f t="shared" si="3"/>
        <v>40</v>
      </c>
      <c r="M34" s="42" t="str">
        <f t="shared" si="4"/>
        <v>40</v>
      </c>
      <c r="N34" s="42">
        <f t="shared" si="5"/>
        <v>40</v>
      </c>
      <c r="O34" s="42">
        <f t="shared" si="6"/>
        <v>0</v>
      </c>
      <c r="P34" s="43">
        <f t="shared" si="7"/>
        <v>1</v>
      </c>
      <c r="Q34" s="5" t="s">
        <v>203</v>
      </c>
      <c r="R34" s="5" t="s">
        <v>238</v>
      </c>
      <c r="S34" s="5"/>
      <c r="T34" s="5"/>
      <c r="U34" s="5"/>
      <c r="V34" s="5" t="s">
        <v>235</v>
      </c>
    </row>
    <row r="35" spans="1:22" x14ac:dyDescent="0.35">
      <c r="A35" s="17" t="s">
        <v>83</v>
      </c>
      <c r="B35" s="16" t="s">
        <v>287</v>
      </c>
      <c r="C35" s="5" t="s">
        <v>294</v>
      </c>
      <c r="D35" s="5" t="s">
        <v>295</v>
      </c>
      <c r="E35" s="42">
        <f t="shared" si="1"/>
        <v>96</v>
      </c>
      <c r="F35" s="5" t="s">
        <v>203</v>
      </c>
      <c r="G35" s="5" t="s">
        <v>295</v>
      </c>
      <c r="H35" s="42">
        <f t="shared" si="2"/>
        <v>-7</v>
      </c>
      <c r="I35" s="5" t="s">
        <v>203</v>
      </c>
      <c r="J35" s="5" t="s">
        <v>308</v>
      </c>
      <c r="K35" s="5" t="s">
        <v>203</v>
      </c>
      <c r="L35" s="42">
        <f t="shared" si="3"/>
        <v>14</v>
      </c>
      <c r="M35" s="42" t="str">
        <f t="shared" si="4"/>
        <v>103</v>
      </c>
      <c r="N35" s="42">
        <f t="shared" si="5"/>
        <v>28</v>
      </c>
      <c r="O35" s="42">
        <f t="shared" si="6"/>
        <v>75</v>
      </c>
      <c r="P35" s="43">
        <f t="shared" si="7"/>
        <v>0.27184466019417475</v>
      </c>
      <c r="Q35" s="5" t="s">
        <v>203</v>
      </c>
      <c r="R35" s="5" t="s">
        <v>238</v>
      </c>
      <c r="S35" s="5"/>
      <c r="T35" s="5"/>
      <c r="U35" s="5"/>
      <c r="V35" s="5" t="s">
        <v>239</v>
      </c>
    </row>
    <row r="36" spans="1:22" x14ac:dyDescent="0.35">
      <c r="A36" s="17" t="s">
        <v>83</v>
      </c>
      <c r="B36" s="16" t="s">
        <v>289</v>
      </c>
      <c r="C36" s="5" t="s">
        <v>296</v>
      </c>
      <c r="D36" s="5" t="s">
        <v>297</v>
      </c>
      <c r="E36" s="42">
        <f t="shared" si="1"/>
        <v>726</v>
      </c>
      <c r="F36" s="5" t="s">
        <v>203</v>
      </c>
      <c r="G36" s="5" t="s">
        <v>309</v>
      </c>
      <c r="H36" s="42">
        <f t="shared" si="2"/>
        <v>-80</v>
      </c>
      <c r="I36" s="5" t="s">
        <v>203</v>
      </c>
      <c r="J36" s="5" t="s">
        <v>310</v>
      </c>
      <c r="K36" s="5" t="s">
        <v>203</v>
      </c>
      <c r="L36" s="42">
        <f t="shared" si="3"/>
        <v>160</v>
      </c>
      <c r="M36" s="42" t="str">
        <f t="shared" si="4"/>
        <v>753</v>
      </c>
      <c r="N36" s="42">
        <f t="shared" si="5"/>
        <v>267</v>
      </c>
      <c r="O36" s="42">
        <f t="shared" si="6"/>
        <v>486</v>
      </c>
      <c r="P36" s="43">
        <f t="shared" si="7"/>
        <v>0.35458167330677293</v>
      </c>
      <c r="Q36" s="5" t="s">
        <v>203</v>
      </c>
      <c r="R36" s="5" t="s">
        <v>238</v>
      </c>
      <c r="S36" s="5"/>
      <c r="T36" s="5"/>
      <c r="U36" s="5"/>
      <c r="V36" s="5" t="s">
        <v>239</v>
      </c>
    </row>
    <row r="37" spans="1:22" x14ac:dyDescent="0.35">
      <c r="A37" s="17" t="s">
        <v>83</v>
      </c>
      <c r="B37" s="16" t="s">
        <v>292</v>
      </c>
      <c r="C37" s="5" t="s">
        <v>288</v>
      </c>
      <c r="D37" s="5" t="s">
        <v>288</v>
      </c>
      <c r="E37" s="42">
        <f t="shared" si="1"/>
        <v>0</v>
      </c>
      <c r="F37" s="5" t="s">
        <v>203</v>
      </c>
      <c r="G37" s="5" t="s">
        <v>203</v>
      </c>
      <c r="H37" s="42">
        <f t="shared" si="2"/>
        <v>0</v>
      </c>
      <c r="I37" s="5" t="s">
        <v>203</v>
      </c>
      <c r="J37" s="5" t="s">
        <v>203</v>
      </c>
      <c r="K37" s="5" t="s">
        <v>203</v>
      </c>
      <c r="L37" s="42">
        <f t="shared" si="3"/>
        <v>0</v>
      </c>
      <c r="M37" s="42" t="str">
        <f t="shared" si="4"/>
        <v>85</v>
      </c>
      <c r="N37" s="42">
        <f t="shared" si="5"/>
        <v>85</v>
      </c>
      <c r="O37" s="42">
        <f t="shared" si="6"/>
        <v>0</v>
      </c>
      <c r="P37" s="43">
        <f t="shared" si="7"/>
        <v>1</v>
      </c>
      <c r="Q37" s="5" t="s">
        <v>203</v>
      </c>
      <c r="R37" s="5" t="s">
        <v>238</v>
      </c>
      <c r="S37" s="5"/>
      <c r="T37" s="5"/>
      <c r="U37" s="5"/>
      <c r="V37" s="5" t="s">
        <v>239</v>
      </c>
    </row>
    <row r="38" spans="1:22" x14ac:dyDescent="0.35">
      <c r="A38" s="18" t="s">
        <v>84</v>
      </c>
      <c r="B38" s="16" t="s">
        <v>311</v>
      </c>
      <c r="C38" s="5" t="s">
        <v>303</v>
      </c>
      <c r="D38" s="5" t="s">
        <v>312</v>
      </c>
      <c r="E38" s="42">
        <f t="shared" si="1"/>
        <v>4</v>
      </c>
      <c r="F38" s="5" t="s">
        <v>313</v>
      </c>
      <c r="G38" s="5" t="s">
        <v>203</v>
      </c>
      <c r="H38" s="42">
        <f t="shared" si="2"/>
        <v>1</v>
      </c>
      <c r="I38" s="5" t="s">
        <v>203</v>
      </c>
      <c r="J38" s="5" t="s">
        <v>203</v>
      </c>
      <c r="K38" s="5" t="s">
        <v>313</v>
      </c>
      <c r="L38" s="42">
        <f t="shared" si="3"/>
        <v>1</v>
      </c>
      <c r="M38" s="42" t="str">
        <f t="shared" si="4"/>
        <v>12</v>
      </c>
      <c r="N38" s="42">
        <f t="shared" si="5"/>
        <v>9</v>
      </c>
      <c r="O38" s="42">
        <f t="shared" si="6"/>
        <v>3</v>
      </c>
      <c r="P38" s="43">
        <f t="shared" si="7"/>
        <v>0.75</v>
      </c>
      <c r="Q38" s="5"/>
      <c r="R38" s="5"/>
      <c r="S38" s="5"/>
      <c r="T38" s="5"/>
      <c r="U38" s="5"/>
      <c r="V38" s="5"/>
    </row>
    <row r="39" spans="1:22" x14ac:dyDescent="0.35">
      <c r="A39" s="18" t="s">
        <v>84</v>
      </c>
      <c r="B39" s="16" t="s">
        <v>287</v>
      </c>
      <c r="C39" s="5" t="s">
        <v>298</v>
      </c>
      <c r="D39" s="5" t="s">
        <v>299</v>
      </c>
      <c r="E39" s="42">
        <f t="shared" si="1"/>
        <v>50</v>
      </c>
      <c r="F39" s="5" t="s">
        <v>304</v>
      </c>
      <c r="G39" s="5" t="s">
        <v>314</v>
      </c>
      <c r="H39" s="42">
        <f t="shared" si="2"/>
        <v>13</v>
      </c>
      <c r="I39" s="5" t="s">
        <v>160</v>
      </c>
      <c r="J39" s="5" t="s">
        <v>160</v>
      </c>
      <c r="K39" s="5" t="s">
        <v>157</v>
      </c>
      <c r="L39" s="42">
        <f t="shared" si="3"/>
        <v>30</v>
      </c>
      <c r="M39" s="42" t="str">
        <f t="shared" si="4"/>
        <v>79</v>
      </c>
      <c r="N39" s="42">
        <f t="shared" si="5"/>
        <v>70</v>
      </c>
      <c r="O39" s="42">
        <f t="shared" si="6"/>
        <v>9</v>
      </c>
      <c r="P39" s="43">
        <f t="shared" si="7"/>
        <v>0.88607594936708856</v>
      </c>
      <c r="Q39" s="5"/>
      <c r="R39" s="5"/>
      <c r="S39" s="5"/>
      <c r="T39" s="5"/>
      <c r="U39" s="5"/>
      <c r="V39" s="5"/>
    </row>
    <row r="40" spans="1:22" x14ac:dyDescent="0.35">
      <c r="A40" s="18" t="s">
        <v>84</v>
      </c>
      <c r="B40" s="16" t="s">
        <v>289</v>
      </c>
      <c r="C40" s="5" t="s">
        <v>300</v>
      </c>
      <c r="D40" s="5" t="s">
        <v>301</v>
      </c>
      <c r="E40" s="42">
        <f t="shared" si="1"/>
        <v>222</v>
      </c>
      <c r="F40" s="5" t="s">
        <v>304</v>
      </c>
      <c r="G40" s="5" t="s">
        <v>315</v>
      </c>
      <c r="H40" s="42">
        <f t="shared" si="2"/>
        <v>-75</v>
      </c>
      <c r="I40" s="5" t="s">
        <v>316</v>
      </c>
      <c r="J40" s="5" t="s">
        <v>316</v>
      </c>
      <c r="K40" s="5" t="s">
        <v>307</v>
      </c>
      <c r="L40" s="42">
        <f t="shared" si="3"/>
        <v>160</v>
      </c>
      <c r="M40" s="42" t="str">
        <f t="shared" si="4"/>
        <v>417</v>
      </c>
      <c r="N40" s="42">
        <f t="shared" si="5"/>
        <v>454</v>
      </c>
      <c r="O40" s="42">
        <f t="shared" si="6"/>
        <v>-37</v>
      </c>
      <c r="P40" s="43">
        <f t="shared" si="7"/>
        <v>1.0887290167865706</v>
      </c>
      <c r="Q40" s="5"/>
      <c r="R40" s="5"/>
      <c r="S40" s="5"/>
      <c r="T40" s="5"/>
      <c r="U40" s="5"/>
      <c r="V40" s="5"/>
    </row>
    <row r="41" spans="1:22" x14ac:dyDescent="0.35">
      <c r="A41" s="18" t="s">
        <v>84</v>
      </c>
      <c r="B41" s="16" t="s">
        <v>292</v>
      </c>
      <c r="C41" s="5" t="s">
        <v>252</v>
      </c>
      <c r="D41" s="5" t="s">
        <v>203</v>
      </c>
      <c r="E41" s="42">
        <f t="shared" si="1"/>
        <v>9</v>
      </c>
      <c r="F41" s="5" t="s">
        <v>203</v>
      </c>
      <c r="G41" s="5" t="s">
        <v>203</v>
      </c>
      <c r="H41" s="42">
        <f t="shared" si="2"/>
        <v>0</v>
      </c>
      <c r="I41" s="5" t="s">
        <v>203</v>
      </c>
      <c r="J41" s="5" t="s">
        <v>203</v>
      </c>
      <c r="K41" s="5" t="s">
        <v>203</v>
      </c>
      <c r="L41" s="42">
        <f t="shared" si="3"/>
        <v>0</v>
      </c>
      <c r="M41" s="42" t="str">
        <f t="shared" si="4"/>
        <v>9</v>
      </c>
      <c r="N41" s="42">
        <f t="shared" si="5"/>
        <v>0</v>
      </c>
      <c r="O41" s="42">
        <f t="shared" si="6"/>
        <v>9</v>
      </c>
      <c r="P41" s="43">
        <f t="shared" si="7"/>
        <v>0</v>
      </c>
      <c r="Q41" s="5"/>
      <c r="R41" s="5"/>
      <c r="S41" s="5"/>
      <c r="T41" s="5"/>
      <c r="U41" s="5"/>
      <c r="V41" s="5"/>
    </row>
  </sheetData>
  <mergeCells count="4">
    <mergeCell ref="A17:V17"/>
    <mergeCell ref="A1:V1"/>
    <mergeCell ref="A30:V30"/>
    <mergeCell ref="A3:V3"/>
  </mergeCells>
  <printOptions horizontalCentered="1"/>
  <pageMargins left="0.4" right="0.4" top="0.5" bottom="0.5" header="0.2" footer="0.2"/>
  <pageSetup paperSize="9" fitToHeight="0"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6"/>
  <sheetViews>
    <sheetView showGridLines="0" workbookViewId="0">
      <selection activeCell="C16" sqref="C16"/>
    </sheetView>
  </sheetViews>
  <sheetFormatPr defaultRowHeight="14.5" x14ac:dyDescent="0.35"/>
  <cols>
    <col min="1" max="1" width="38" customWidth="1"/>
    <col min="2" max="4" width="22" customWidth="1"/>
  </cols>
  <sheetData>
    <row r="1" spans="1:8" ht="24" customHeight="1" x14ac:dyDescent="0.35">
      <c r="A1" s="58" t="s">
        <v>317</v>
      </c>
      <c r="B1" s="59"/>
      <c r="C1" s="59"/>
      <c r="D1" s="59"/>
      <c r="E1" s="59"/>
      <c r="F1" s="59"/>
      <c r="G1" s="59"/>
      <c r="H1" s="59"/>
    </row>
    <row r="3" spans="1:8" ht="24" customHeight="1" x14ac:dyDescent="0.35">
      <c r="A3" s="60" t="s">
        <v>318</v>
      </c>
      <c r="B3" s="59"/>
      <c r="C3" s="59"/>
      <c r="D3" s="59"/>
      <c r="E3" s="59"/>
      <c r="F3" s="59"/>
      <c r="G3" s="59"/>
      <c r="H3" s="59"/>
    </row>
    <row r="4" spans="1:8" x14ac:dyDescent="0.35">
      <c r="A4" s="7" t="s">
        <v>69</v>
      </c>
      <c r="B4" s="7" t="s">
        <v>319</v>
      </c>
      <c r="C4" s="7" t="s">
        <v>320</v>
      </c>
      <c r="D4" s="7" t="s">
        <v>321</v>
      </c>
    </row>
    <row r="5" spans="1:8" x14ac:dyDescent="0.35">
      <c r="A5" s="8" t="s">
        <v>322</v>
      </c>
      <c r="B5" s="5">
        <v>84</v>
      </c>
      <c r="C5" s="5">
        <v>92</v>
      </c>
      <c r="D5" s="5">
        <v>92</v>
      </c>
    </row>
    <row r="6" spans="1:8" x14ac:dyDescent="0.35">
      <c r="A6" s="8" t="s">
        <v>323</v>
      </c>
      <c r="B6" s="5">
        <v>189</v>
      </c>
      <c r="C6" s="5">
        <v>83</v>
      </c>
      <c r="D6" s="5">
        <v>91</v>
      </c>
    </row>
    <row r="7" spans="1:8" x14ac:dyDescent="0.35">
      <c r="A7" s="8" t="s">
        <v>324</v>
      </c>
      <c r="B7" s="5">
        <v>54</v>
      </c>
      <c r="C7" s="5">
        <v>31</v>
      </c>
      <c r="D7" s="5">
        <v>39</v>
      </c>
    </row>
    <row r="8" spans="1:8" x14ac:dyDescent="0.35">
      <c r="A8" s="8" t="s">
        <v>325</v>
      </c>
      <c r="B8" s="5">
        <v>9</v>
      </c>
      <c r="C8" s="5">
        <v>6</v>
      </c>
      <c r="D8" s="5">
        <v>11</v>
      </c>
    </row>
    <row r="9" spans="1:8" x14ac:dyDescent="0.35">
      <c r="A9" s="8" t="s">
        <v>326</v>
      </c>
      <c r="B9" s="5">
        <v>9</v>
      </c>
      <c r="C9" s="5">
        <v>6</v>
      </c>
      <c r="D9" s="5">
        <v>11</v>
      </c>
    </row>
    <row r="10" spans="1:8" x14ac:dyDescent="0.35">
      <c r="A10" s="8" t="s">
        <v>327</v>
      </c>
      <c r="B10" s="5">
        <v>17</v>
      </c>
      <c r="C10" s="5">
        <v>5</v>
      </c>
      <c r="D10" s="5">
        <v>10</v>
      </c>
    </row>
    <row r="12" spans="1:8" ht="24" customHeight="1" x14ac:dyDescent="0.35">
      <c r="A12" s="60" t="s">
        <v>328</v>
      </c>
      <c r="B12" s="59"/>
      <c r="C12" s="59"/>
      <c r="D12" s="59"/>
      <c r="E12" s="59"/>
      <c r="F12" s="59"/>
      <c r="G12" s="59"/>
      <c r="H12" s="59"/>
    </row>
    <row r="13" spans="1:8" x14ac:dyDescent="0.35">
      <c r="A13" s="7" t="s">
        <v>69</v>
      </c>
      <c r="B13" s="7" t="s">
        <v>82</v>
      </c>
      <c r="C13" s="7" t="s">
        <v>83</v>
      </c>
      <c r="D13" s="7" t="s">
        <v>84</v>
      </c>
    </row>
    <row r="14" spans="1:8" x14ac:dyDescent="0.35">
      <c r="A14" s="8" t="s">
        <v>329</v>
      </c>
      <c r="B14" s="5">
        <v>382</v>
      </c>
      <c r="C14" s="5">
        <v>443</v>
      </c>
      <c r="D14" s="5">
        <v>598</v>
      </c>
    </row>
    <row r="15" spans="1:8" x14ac:dyDescent="0.35">
      <c r="A15" s="8" t="s">
        <v>330</v>
      </c>
      <c r="B15" s="5">
        <v>67</v>
      </c>
      <c r="C15" s="5">
        <v>96</v>
      </c>
      <c r="D15" s="5">
        <v>79</v>
      </c>
    </row>
    <row r="16" spans="1:8" x14ac:dyDescent="0.35">
      <c r="A16" s="8" t="s">
        <v>331</v>
      </c>
      <c r="B16" s="5">
        <v>391</v>
      </c>
      <c r="C16" s="5">
        <v>449</v>
      </c>
      <c r="D16" s="5">
        <v>609</v>
      </c>
    </row>
    <row r="17" spans="1:8" x14ac:dyDescent="0.35">
      <c r="A17" s="8" t="s">
        <v>332</v>
      </c>
      <c r="B17" s="5">
        <v>81</v>
      </c>
      <c r="C17" s="5">
        <v>91</v>
      </c>
      <c r="D17" s="5">
        <v>92</v>
      </c>
    </row>
    <row r="18" spans="1:8" x14ac:dyDescent="0.35">
      <c r="A18" s="8" t="s">
        <v>333</v>
      </c>
      <c r="B18" s="5">
        <v>84</v>
      </c>
      <c r="C18" s="5">
        <v>92</v>
      </c>
      <c r="D18" s="5">
        <v>91</v>
      </c>
    </row>
    <row r="20" spans="1:8" ht="24" customHeight="1" x14ac:dyDescent="0.35">
      <c r="A20" s="60" t="s">
        <v>334</v>
      </c>
      <c r="B20" s="59"/>
      <c r="C20" s="59"/>
      <c r="D20" s="59"/>
      <c r="E20" s="59"/>
      <c r="F20" s="59"/>
      <c r="G20" s="59"/>
      <c r="H20" s="59"/>
    </row>
    <row r="21" spans="1:8" x14ac:dyDescent="0.35">
      <c r="A21" s="7" t="s">
        <v>335</v>
      </c>
      <c r="B21" s="7" t="s">
        <v>82</v>
      </c>
      <c r="C21" s="7" t="s">
        <v>83</v>
      </c>
      <c r="D21" s="7" t="s">
        <v>84</v>
      </c>
    </row>
    <row r="22" spans="1:8" x14ac:dyDescent="0.35">
      <c r="A22" s="8" t="s">
        <v>336</v>
      </c>
      <c r="B22" s="5">
        <v>9</v>
      </c>
      <c r="C22" s="5">
        <v>6</v>
      </c>
      <c r="D22" s="5">
        <v>11</v>
      </c>
    </row>
    <row r="23" spans="1:8" x14ac:dyDescent="0.35">
      <c r="A23" s="8" t="s">
        <v>337</v>
      </c>
      <c r="B23" s="5">
        <v>8</v>
      </c>
      <c r="C23" s="5">
        <v>12</v>
      </c>
      <c r="D23" s="5">
        <v>1</v>
      </c>
    </row>
    <row r="24" spans="1:8" x14ac:dyDescent="0.35">
      <c r="A24" s="8" t="s">
        <v>338</v>
      </c>
      <c r="B24" s="5">
        <v>8</v>
      </c>
      <c r="C24" s="5">
        <v>5</v>
      </c>
      <c r="D24" s="5">
        <v>38</v>
      </c>
    </row>
    <row r="25" spans="1:8" x14ac:dyDescent="0.35">
      <c r="A25" s="8" t="s">
        <v>339</v>
      </c>
      <c r="B25" s="5">
        <v>3</v>
      </c>
      <c r="C25" s="5">
        <v>5</v>
      </c>
      <c r="D25" s="5"/>
    </row>
    <row r="26" spans="1:8" x14ac:dyDescent="0.35">
      <c r="A26" s="8" t="s">
        <v>340</v>
      </c>
      <c r="B26" s="5">
        <v>35</v>
      </c>
      <c r="C26" s="5">
        <v>9</v>
      </c>
      <c r="D26" s="5"/>
    </row>
  </sheetData>
  <mergeCells count="4">
    <mergeCell ref="A12:H12"/>
    <mergeCell ref="A20:H20"/>
    <mergeCell ref="A3:H3"/>
    <mergeCell ref="A1:H1"/>
  </mergeCells>
  <printOptions horizontalCentered="1"/>
  <pageMargins left="0.4" right="0.4" top="0.5" bottom="0.5" header="0.2" footer="0.2"/>
  <pageSetup paperSize="9" fitToHeight="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4"/>
  <sheetViews>
    <sheetView showGridLines="0" workbookViewId="0">
      <pane xSplit="2" ySplit="3" topLeftCell="C4" activePane="bottomRight" state="frozen"/>
      <selection pane="topRight"/>
      <selection pane="bottomLeft"/>
      <selection pane="bottomRight" activeCell="A13" sqref="A13"/>
    </sheetView>
  </sheetViews>
  <sheetFormatPr defaultRowHeight="14.5" x14ac:dyDescent="0.35"/>
  <cols>
    <col min="1" max="1" width="8" customWidth="1"/>
    <col min="2" max="2" width="24" customWidth="1"/>
    <col min="3" max="15" width="11" customWidth="1"/>
  </cols>
  <sheetData>
    <row r="1" spans="1:15" ht="24" customHeight="1" x14ac:dyDescent="0.35">
      <c r="A1" s="58" t="s">
        <v>341</v>
      </c>
      <c r="B1" s="59"/>
      <c r="C1" s="59"/>
      <c r="D1" s="59"/>
      <c r="E1" s="59"/>
      <c r="F1" s="59"/>
      <c r="G1" s="59"/>
      <c r="H1" s="59"/>
      <c r="I1" s="59"/>
      <c r="J1" s="59"/>
      <c r="K1" s="59"/>
      <c r="L1" s="59"/>
      <c r="M1" s="59"/>
      <c r="N1" s="59"/>
    </row>
    <row r="3" spans="1:15" ht="30" customHeight="1" x14ac:dyDescent="0.35">
      <c r="A3" s="7" t="s">
        <v>129</v>
      </c>
      <c r="B3" s="7" t="s">
        <v>342</v>
      </c>
      <c r="C3" s="7" t="s">
        <v>343</v>
      </c>
      <c r="D3" s="7" t="s">
        <v>344</v>
      </c>
      <c r="E3" s="7" t="s">
        <v>345</v>
      </c>
      <c r="F3" s="7" t="s">
        <v>346</v>
      </c>
      <c r="G3" s="7" t="s">
        <v>347</v>
      </c>
      <c r="H3" s="7" t="s">
        <v>348</v>
      </c>
      <c r="I3" s="7" t="s">
        <v>349</v>
      </c>
      <c r="J3" s="7" t="s">
        <v>350</v>
      </c>
      <c r="K3" s="7" t="s">
        <v>351</v>
      </c>
      <c r="L3" s="7" t="s">
        <v>352</v>
      </c>
      <c r="M3" s="7" t="s">
        <v>353</v>
      </c>
      <c r="N3" s="7" t="s">
        <v>354</v>
      </c>
      <c r="O3" s="7" t="s">
        <v>355</v>
      </c>
    </row>
    <row r="4" spans="1:15" x14ac:dyDescent="0.35">
      <c r="A4" s="15" t="s">
        <v>82</v>
      </c>
      <c r="B4" s="5" t="s">
        <v>356</v>
      </c>
      <c r="C4" s="5">
        <v>25</v>
      </c>
      <c r="D4" s="5">
        <v>25</v>
      </c>
      <c r="E4" s="5">
        <f>D4-C4</f>
        <v>0</v>
      </c>
      <c r="F4" s="5">
        <v>4</v>
      </c>
      <c r="G4" s="5"/>
      <c r="H4" s="5">
        <v>11</v>
      </c>
      <c r="I4" s="5"/>
      <c r="J4" s="5">
        <v>5</v>
      </c>
      <c r="K4" s="5"/>
      <c r="L4" s="5">
        <v>8</v>
      </c>
      <c r="M4" s="5"/>
      <c r="N4" s="5">
        <v>4</v>
      </c>
      <c r="O4" s="5"/>
    </row>
    <row r="5" spans="1:15" x14ac:dyDescent="0.35">
      <c r="A5" s="15" t="s">
        <v>82</v>
      </c>
      <c r="B5" s="5" t="s">
        <v>357</v>
      </c>
      <c r="C5" s="5">
        <v>134</v>
      </c>
      <c r="D5" s="5">
        <v>73</v>
      </c>
      <c r="E5" s="5">
        <f>D5-C5</f>
        <v>-61</v>
      </c>
      <c r="F5" s="5">
        <v>77</v>
      </c>
      <c r="G5" s="5"/>
      <c r="H5" s="5">
        <v>56</v>
      </c>
      <c r="I5" s="5"/>
      <c r="J5" s="5">
        <v>54</v>
      </c>
      <c r="K5" s="5"/>
      <c r="L5" s="5">
        <v>0</v>
      </c>
      <c r="M5" s="5"/>
      <c r="N5" s="5">
        <v>0</v>
      </c>
      <c r="O5" s="5"/>
    </row>
    <row r="6" spans="1:15" x14ac:dyDescent="0.35">
      <c r="A6" s="15" t="s">
        <v>82</v>
      </c>
      <c r="B6" s="9" t="s">
        <v>358</v>
      </c>
      <c r="C6" s="5">
        <f>C4+C5</f>
        <v>159</v>
      </c>
      <c r="D6" s="5">
        <f>D4+D5</f>
        <v>98</v>
      </c>
      <c r="E6" s="5">
        <f>D6-C6</f>
        <v>-61</v>
      </c>
      <c r="F6" s="5"/>
      <c r="G6" s="5"/>
      <c r="H6" s="5"/>
      <c r="I6" s="5"/>
      <c r="J6" s="5"/>
      <c r="K6" s="5"/>
      <c r="L6" s="5"/>
      <c r="M6" s="5"/>
      <c r="N6" s="5"/>
      <c r="O6" s="5"/>
    </row>
    <row r="8" spans="1:15" x14ac:dyDescent="0.35">
      <c r="A8" s="17" t="s">
        <v>83</v>
      </c>
      <c r="B8" s="5" t="s">
        <v>356</v>
      </c>
      <c r="C8" s="5">
        <v>6</v>
      </c>
      <c r="D8" s="5">
        <v>6</v>
      </c>
      <c r="E8" s="5">
        <f>D8-C8</f>
        <v>0</v>
      </c>
      <c r="F8" s="5">
        <v>2</v>
      </c>
      <c r="G8" s="5"/>
      <c r="H8" s="5">
        <v>2</v>
      </c>
      <c r="I8" s="5"/>
      <c r="J8" s="5">
        <v>0</v>
      </c>
      <c r="K8" s="5"/>
      <c r="L8" s="5">
        <v>2</v>
      </c>
      <c r="M8" s="5"/>
      <c r="N8" s="5"/>
      <c r="O8" s="5"/>
    </row>
    <row r="9" spans="1:15" x14ac:dyDescent="0.35">
      <c r="A9" s="17" t="s">
        <v>83</v>
      </c>
      <c r="B9" s="5" t="s">
        <v>357</v>
      </c>
      <c r="C9" s="5">
        <v>15</v>
      </c>
      <c r="D9" s="5">
        <v>12</v>
      </c>
      <c r="E9" s="5">
        <f t="shared" ref="E9:E10" si="0">D9-C9</f>
        <v>-3</v>
      </c>
      <c r="F9" s="5">
        <v>10</v>
      </c>
      <c r="G9" s="5"/>
      <c r="H9" s="5">
        <v>5</v>
      </c>
      <c r="I9" s="5"/>
      <c r="J9" s="5">
        <v>9</v>
      </c>
      <c r="K9" s="5"/>
      <c r="L9" s="5"/>
      <c r="M9" s="5"/>
      <c r="N9" s="5"/>
      <c r="O9" s="5"/>
    </row>
    <row r="10" spans="1:15" x14ac:dyDescent="0.35">
      <c r="A10" s="17" t="s">
        <v>83</v>
      </c>
      <c r="B10" s="9" t="s">
        <v>358</v>
      </c>
      <c r="C10" s="5">
        <f>C8+C9</f>
        <v>21</v>
      </c>
      <c r="D10" s="5">
        <f>D8+D9</f>
        <v>18</v>
      </c>
      <c r="E10" s="5">
        <f t="shared" si="0"/>
        <v>-3</v>
      </c>
      <c r="F10" s="5"/>
      <c r="G10" s="5"/>
      <c r="H10" s="5"/>
      <c r="I10" s="5"/>
      <c r="J10" s="5"/>
      <c r="K10" s="5"/>
      <c r="L10" s="5"/>
      <c r="M10" s="5"/>
      <c r="N10" s="5"/>
      <c r="O10" s="5"/>
    </row>
    <row r="12" spans="1:15" x14ac:dyDescent="0.35">
      <c r="A12" s="18" t="s">
        <v>84</v>
      </c>
      <c r="B12" s="5" t="s">
        <v>356</v>
      </c>
      <c r="C12" s="5">
        <v>5</v>
      </c>
      <c r="D12" s="5">
        <v>5</v>
      </c>
      <c r="E12" s="5">
        <f>D12-C12</f>
        <v>0</v>
      </c>
      <c r="F12" s="5">
        <v>2</v>
      </c>
      <c r="G12" s="5"/>
      <c r="H12" s="5">
        <v>2</v>
      </c>
      <c r="I12" s="5"/>
      <c r="J12" s="5">
        <v>2</v>
      </c>
      <c r="K12" s="5"/>
      <c r="L12" s="5">
        <v>1</v>
      </c>
      <c r="M12" s="5"/>
      <c r="N12" s="5">
        <v>1</v>
      </c>
      <c r="O12" s="5"/>
    </row>
    <row r="13" spans="1:15" x14ac:dyDescent="0.35">
      <c r="A13" s="18" t="s">
        <v>84</v>
      </c>
      <c r="B13" s="5" t="s">
        <v>357</v>
      </c>
      <c r="C13" s="5">
        <v>41</v>
      </c>
      <c r="D13" s="5">
        <v>11</v>
      </c>
      <c r="E13" s="5">
        <f>D13-C13</f>
        <v>-30</v>
      </c>
      <c r="F13" s="5">
        <v>33</v>
      </c>
      <c r="G13" s="5"/>
      <c r="H13" s="5">
        <v>10</v>
      </c>
      <c r="I13" s="5"/>
      <c r="J13" s="5">
        <v>6</v>
      </c>
      <c r="K13" s="5"/>
      <c r="L13" s="5"/>
      <c r="M13" s="5"/>
      <c r="N13" s="5"/>
      <c r="O13" s="5"/>
    </row>
    <row r="14" spans="1:15" x14ac:dyDescent="0.35">
      <c r="A14" s="18" t="s">
        <v>84</v>
      </c>
      <c r="B14" s="9" t="s">
        <v>358</v>
      </c>
      <c r="C14" s="5">
        <f>C12+C13</f>
        <v>46</v>
      </c>
      <c r="D14" s="5">
        <f>D12+D13</f>
        <v>16</v>
      </c>
      <c r="E14" s="5">
        <f>D14-C14</f>
        <v>-30</v>
      </c>
      <c r="F14" s="5"/>
      <c r="G14" s="5"/>
      <c r="H14" s="5"/>
      <c r="I14" s="5"/>
      <c r="J14" s="5"/>
      <c r="K14" s="5"/>
      <c r="L14" s="5"/>
      <c r="M14" s="5"/>
      <c r="N14" s="5"/>
      <c r="O14" s="5"/>
    </row>
  </sheetData>
  <mergeCells count="1">
    <mergeCell ref="A1:N1"/>
  </mergeCells>
  <printOptions horizontalCentered="1"/>
  <pageMargins left="0.4" right="0.4" top="0.5" bottom="0.5" header="0.2" footer="0.2"/>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7"/>
  <sheetViews>
    <sheetView showGridLines="0" workbookViewId="0">
      <pane xSplit="1" ySplit="3" topLeftCell="B4" activePane="bottomRight" state="frozen"/>
      <selection pane="topRight"/>
      <selection pane="bottomLeft"/>
      <selection pane="bottomRight" activeCell="D5" sqref="D5"/>
    </sheetView>
  </sheetViews>
  <sheetFormatPr defaultRowHeight="14.5" x14ac:dyDescent="0.35"/>
  <cols>
    <col min="1" max="1" width="9" customWidth="1"/>
    <col min="2" max="2" width="32" customWidth="1"/>
    <col min="3" max="3" width="18" customWidth="1"/>
    <col min="4" max="4" width="16" customWidth="1"/>
    <col min="5" max="5" width="18" customWidth="1"/>
    <col min="6" max="6" width="48" customWidth="1"/>
  </cols>
  <sheetData>
    <row r="1" spans="1:6" ht="24" customHeight="1" x14ac:dyDescent="0.35">
      <c r="A1" s="58" t="s">
        <v>359</v>
      </c>
      <c r="B1" s="59"/>
      <c r="C1" s="59"/>
      <c r="D1" s="59"/>
      <c r="E1" s="59"/>
      <c r="F1" s="59"/>
    </row>
    <row r="3" spans="1:6" ht="30" customHeight="1" x14ac:dyDescent="0.35">
      <c r="A3" s="7" t="s">
        <v>129</v>
      </c>
      <c r="B3" s="7" t="s">
        <v>360</v>
      </c>
      <c r="C3" s="7" t="s">
        <v>361</v>
      </c>
      <c r="D3" s="7" t="s">
        <v>362</v>
      </c>
      <c r="E3" s="7" t="s">
        <v>363</v>
      </c>
      <c r="F3" s="7" t="s">
        <v>364</v>
      </c>
    </row>
    <row r="4" spans="1:6" x14ac:dyDescent="0.35">
      <c r="A4" s="15" t="s">
        <v>82</v>
      </c>
      <c r="B4" s="19" t="s">
        <v>365</v>
      </c>
      <c r="C4" s="5" t="s">
        <v>366</v>
      </c>
      <c r="D4" s="5" t="s">
        <v>244</v>
      </c>
      <c r="E4" s="5" t="s">
        <v>367</v>
      </c>
      <c r="F4" s="19" t="s">
        <v>368</v>
      </c>
    </row>
    <row r="5" spans="1:6" x14ac:dyDescent="0.35">
      <c r="A5" s="15" t="s">
        <v>82</v>
      </c>
      <c r="B5" s="19" t="s">
        <v>369</v>
      </c>
      <c r="C5" s="5" t="s">
        <v>370</v>
      </c>
      <c r="D5" s="5" t="s">
        <v>371</v>
      </c>
      <c r="E5" s="5" t="s">
        <v>367</v>
      </c>
      <c r="F5" s="19" t="s">
        <v>368</v>
      </c>
    </row>
    <row r="6" spans="1:6" x14ac:dyDescent="0.35">
      <c r="A6" s="15" t="s">
        <v>82</v>
      </c>
      <c r="B6" s="19" t="s">
        <v>372</v>
      </c>
      <c r="C6" s="5" t="s">
        <v>105</v>
      </c>
      <c r="D6" s="5" t="s">
        <v>105</v>
      </c>
      <c r="E6" s="5" t="s">
        <v>268</v>
      </c>
      <c r="F6" s="19" t="s">
        <v>105</v>
      </c>
    </row>
    <row r="8" spans="1:6" x14ac:dyDescent="0.35">
      <c r="A8" s="17" t="s">
        <v>83</v>
      </c>
      <c r="B8" s="19" t="s">
        <v>373</v>
      </c>
      <c r="C8" s="5" t="s">
        <v>374</v>
      </c>
      <c r="D8" s="5" t="s">
        <v>375</v>
      </c>
      <c r="E8" s="5" t="s">
        <v>376</v>
      </c>
      <c r="F8" s="19" t="s">
        <v>377</v>
      </c>
    </row>
    <row r="9" spans="1:6" x14ac:dyDescent="0.35">
      <c r="A9" s="17" t="s">
        <v>83</v>
      </c>
      <c r="B9" s="19" t="s">
        <v>378</v>
      </c>
      <c r="C9" s="5" t="s">
        <v>379</v>
      </c>
      <c r="D9" s="5" t="s">
        <v>380</v>
      </c>
      <c r="E9" s="5" t="s">
        <v>381</v>
      </c>
      <c r="F9" s="19" t="s">
        <v>377</v>
      </c>
    </row>
    <row r="10" spans="1:6" x14ac:dyDescent="0.35">
      <c r="A10" s="17" t="s">
        <v>83</v>
      </c>
      <c r="B10" s="19" t="s">
        <v>372</v>
      </c>
      <c r="C10" s="5" t="s">
        <v>367</v>
      </c>
      <c r="D10" s="5" t="s">
        <v>105</v>
      </c>
      <c r="E10" s="5" t="s">
        <v>367</v>
      </c>
      <c r="F10" s="19" t="s">
        <v>382</v>
      </c>
    </row>
    <row r="12" spans="1:6" x14ac:dyDescent="0.35">
      <c r="A12" s="18" t="s">
        <v>84</v>
      </c>
      <c r="B12" s="19" t="s">
        <v>383</v>
      </c>
      <c r="C12" s="5" t="s">
        <v>384</v>
      </c>
      <c r="D12" s="5" t="s">
        <v>256</v>
      </c>
      <c r="E12" s="5" t="s">
        <v>385</v>
      </c>
      <c r="F12" s="19" t="s">
        <v>386</v>
      </c>
    </row>
    <row r="13" spans="1:6" ht="25" x14ac:dyDescent="0.35">
      <c r="A13" s="18" t="s">
        <v>84</v>
      </c>
      <c r="B13" s="19" t="s">
        <v>387</v>
      </c>
      <c r="C13" s="5" t="s">
        <v>388</v>
      </c>
      <c r="D13" s="5" t="s">
        <v>249</v>
      </c>
      <c r="E13" s="5" t="s">
        <v>389</v>
      </c>
      <c r="F13" s="19" t="s">
        <v>390</v>
      </c>
    </row>
    <row r="14" spans="1:6" x14ac:dyDescent="0.35">
      <c r="A14" s="18" t="s">
        <v>84</v>
      </c>
      <c r="B14" s="19" t="s">
        <v>391</v>
      </c>
      <c r="C14" s="5" t="s">
        <v>392</v>
      </c>
      <c r="D14" s="5" t="s">
        <v>393</v>
      </c>
      <c r="E14" s="5" t="s">
        <v>381</v>
      </c>
      <c r="F14" s="19" t="s">
        <v>394</v>
      </c>
    </row>
    <row r="15" spans="1:6" x14ac:dyDescent="0.35">
      <c r="A15" s="18" t="s">
        <v>84</v>
      </c>
      <c r="B15" s="19" t="s">
        <v>395</v>
      </c>
      <c r="C15" s="5" t="s">
        <v>105</v>
      </c>
      <c r="D15" s="5" t="s">
        <v>105</v>
      </c>
      <c r="E15" s="5" t="s">
        <v>396</v>
      </c>
      <c r="F15" s="19" t="s">
        <v>105</v>
      </c>
    </row>
    <row r="16" spans="1:6" x14ac:dyDescent="0.35">
      <c r="A16" s="18" t="s">
        <v>84</v>
      </c>
      <c r="B16" s="19" t="s">
        <v>397</v>
      </c>
      <c r="C16" s="5" t="s">
        <v>105</v>
      </c>
      <c r="D16" s="5" t="s">
        <v>105</v>
      </c>
      <c r="E16" s="5" t="s">
        <v>398</v>
      </c>
      <c r="F16" s="19" t="s">
        <v>105</v>
      </c>
    </row>
    <row r="17" spans="1:6" x14ac:dyDescent="0.35">
      <c r="A17" s="18" t="s">
        <v>84</v>
      </c>
      <c r="B17" s="19" t="s">
        <v>399</v>
      </c>
      <c r="C17" s="5" t="s">
        <v>105</v>
      </c>
      <c r="D17" s="5" t="s">
        <v>105</v>
      </c>
      <c r="E17" s="5" t="s">
        <v>105</v>
      </c>
      <c r="F17" s="19" t="s">
        <v>400</v>
      </c>
    </row>
  </sheetData>
  <mergeCells count="1">
    <mergeCell ref="A1:F1"/>
  </mergeCells>
  <printOptions horizontalCentered="1"/>
  <pageMargins left="0.4" right="0.4" top="0.5" bottom="0.5" header="0.2" footer="0.2"/>
  <pageSetup paperSize="9"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25"/>
  <sheetViews>
    <sheetView showGridLines="0" topLeftCell="A8" workbookViewId="0">
      <selection activeCell="D5" sqref="D5:D7"/>
    </sheetView>
  </sheetViews>
  <sheetFormatPr defaultRowHeight="14.5" x14ac:dyDescent="0.35"/>
  <cols>
    <col min="1" max="1" width="9" customWidth="1"/>
    <col min="2" max="2" width="80" customWidth="1"/>
    <col min="3" max="4" width="14" customWidth="1"/>
  </cols>
  <sheetData>
    <row r="1" spans="1:5" ht="24" customHeight="1" x14ac:dyDescent="0.35">
      <c r="A1" s="58" t="s">
        <v>401</v>
      </c>
      <c r="B1" s="59"/>
      <c r="C1" s="59"/>
      <c r="D1" s="59"/>
      <c r="E1" s="59"/>
    </row>
    <row r="3" spans="1:5" ht="24" customHeight="1" x14ac:dyDescent="0.35">
      <c r="A3" s="60" t="s">
        <v>402</v>
      </c>
      <c r="B3" s="59"/>
      <c r="C3" s="59"/>
      <c r="D3" s="59"/>
      <c r="E3" s="59"/>
    </row>
    <row r="4" spans="1:5" x14ac:dyDescent="0.35">
      <c r="A4" s="7" t="s">
        <v>129</v>
      </c>
      <c r="B4" s="7" t="s">
        <v>358</v>
      </c>
      <c r="C4" s="7" t="s">
        <v>403</v>
      </c>
      <c r="D4" s="7" t="s">
        <v>404</v>
      </c>
    </row>
    <row r="5" spans="1:5" x14ac:dyDescent="0.35">
      <c r="A5" s="15" t="s">
        <v>82</v>
      </c>
      <c r="B5" s="5">
        <v>134</v>
      </c>
      <c r="C5" s="5">
        <v>77</v>
      </c>
      <c r="D5" s="43">
        <f>C5/B5</f>
        <v>0.57462686567164178</v>
      </c>
    </row>
    <row r="6" spans="1:5" x14ac:dyDescent="0.35">
      <c r="A6" s="17" t="s">
        <v>83</v>
      </c>
      <c r="B6" s="5">
        <v>156</v>
      </c>
      <c r="C6" s="5">
        <v>47</v>
      </c>
      <c r="D6" s="43">
        <f t="shared" ref="D6:D7" si="0">C6/B6</f>
        <v>0.30128205128205127</v>
      </c>
    </row>
    <row r="7" spans="1:5" x14ac:dyDescent="0.35">
      <c r="A7" s="18" t="s">
        <v>84</v>
      </c>
      <c r="B7" s="5">
        <v>174</v>
      </c>
      <c r="C7" s="5">
        <v>120</v>
      </c>
      <c r="D7" s="43">
        <f t="shared" si="0"/>
        <v>0.68965517241379315</v>
      </c>
    </row>
    <row r="10" spans="1:5" ht="24" customHeight="1" x14ac:dyDescent="0.35">
      <c r="A10" s="60" t="s">
        <v>405</v>
      </c>
      <c r="B10" s="59"/>
      <c r="C10" s="59"/>
      <c r="D10" s="59"/>
      <c r="E10" s="59"/>
    </row>
    <row r="11" spans="1:5" x14ac:dyDescent="0.35">
      <c r="A11" s="7" t="s">
        <v>129</v>
      </c>
      <c r="B11" s="7" t="s">
        <v>406</v>
      </c>
    </row>
    <row r="12" spans="1:5" x14ac:dyDescent="0.35">
      <c r="A12" s="15" t="s">
        <v>82</v>
      </c>
      <c r="B12" s="16" t="s">
        <v>407</v>
      </c>
    </row>
    <row r="13" spans="1:5" x14ac:dyDescent="0.35">
      <c r="A13" s="15" t="s">
        <v>82</v>
      </c>
      <c r="B13" s="16" t="s">
        <v>408</v>
      </c>
    </row>
    <row r="14" spans="1:5" x14ac:dyDescent="0.35">
      <c r="A14" s="15" t="s">
        <v>82</v>
      </c>
      <c r="B14" s="16" t="s">
        <v>409</v>
      </c>
    </row>
    <row r="15" spans="1:5" x14ac:dyDescent="0.35">
      <c r="A15" s="15" t="s">
        <v>82</v>
      </c>
      <c r="B15" s="16" t="s">
        <v>410</v>
      </c>
    </row>
    <row r="17" spans="1:2" x14ac:dyDescent="0.35">
      <c r="A17" s="17" t="s">
        <v>83</v>
      </c>
      <c r="B17" s="16" t="s">
        <v>411</v>
      </c>
    </row>
    <row r="18" spans="1:2" x14ac:dyDescent="0.35">
      <c r="A18" s="17" t="s">
        <v>83</v>
      </c>
      <c r="B18" s="16" t="s">
        <v>412</v>
      </c>
    </row>
    <row r="19" spans="1:2" x14ac:dyDescent="0.35">
      <c r="A19" s="17" t="s">
        <v>83</v>
      </c>
      <c r="B19" s="16" t="s">
        <v>413</v>
      </c>
    </row>
    <row r="20" spans="1:2" x14ac:dyDescent="0.35">
      <c r="A20" s="17" t="s">
        <v>83</v>
      </c>
      <c r="B20" s="16" t="s">
        <v>414</v>
      </c>
    </row>
    <row r="22" spans="1:2" x14ac:dyDescent="0.35">
      <c r="A22" s="18" t="s">
        <v>84</v>
      </c>
      <c r="B22" s="16" t="s">
        <v>415</v>
      </c>
    </row>
    <row r="23" spans="1:2" x14ac:dyDescent="0.35">
      <c r="A23" s="18" t="s">
        <v>84</v>
      </c>
      <c r="B23" s="16" t="s">
        <v>416</v>
      </c>
    </row>
    <row r="24" spans="1:2" x14ac:dyDescent="0.35">
      <c r="A24" s="18" t="s">
        <v>84</v>
      </c>
      <c r="B24" s="16" t="s">
        <v>417</v>
      </c>
    </row>
    <row r="25" spans="1:2" x14ac:dyDescent="0.35">
      <c r="A25" s="18" t="s">
        <v>84</v>
      </c>
      <c r="B25" s="16" t="s">
        <v>418</v>
      </c>
    </row>
  </sheetData>
  <mergeCells count="3">
    <mergeCell ref="A10:E10"/>
    <mergeCell ref="A1:E1"/>
    <mergeCell ref="A3:E3"/>
  </mergeCells>
  <printOptions horizontalCentered="1"/>
  <pageMargins left="0.4" right="0.4" top="0.5" bottom="0.5" header="0.2" footer="0.2"/>
  <pageSetup paperSize="9"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W29"/>
  <sheetViews>
    <sheetView showGridLines="0" workbookViewId="0">
      <pane xSplit="1" ySplit="6" topLeftCell="AG7" activePane="bottomRight" state="frozen"/>
      <selection pane="topRight"/>
      <selection pane="bottomLeft"/>
      <selection pane="bottomRight" activeCell="AG22" sqref="AG22"/>
    </sheetView>
  </sheetViews>
  <sheetFormatPr defaultRowHeight="14.5" x14ac:dyDescent="0.35"/>
  <cols>
    <col min="1" max="1" width="28" customWidth="1"/>
    <col min="2" max="99" width="4" customWidth="1"/>
  </cols>
  <sheetData>
    <row r="1" spans="1:101" ht="24" customHeight="1" x14ac:dyDescent="0.35">
      <c r="A1" s="58" t="s">
        <v>419</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row>
    <row r="2" spans="1:101" x14ac:dyDescent="0.35">
      <c r="A2" s="1" t="s">
        <v>420</v>
      </c>
      <c r="B2" s="20" t="s">
        <v>421</v>
      </c>
      <c r="C2" s="21" t="s">
        <v>422</v>
      </c>
      <c r="D2" s="22" t="s">
        <v>423</v>
      </c>
      <c r="E2" s="23" t="s">
        <v>424</v>
      </c>
      <c r="F2" s="24" t="s">
        <v>425</v>
      </c>
    </row>
    <row r="4" spans="1:101" ht="60" customHeight="1" x14ac:dyDescent="0.35">
      <c r="A4" s="25" t="s">
        <v>426</v>
      </c>
      <c r="B4" s="26" t="s">
        <v>427</v>
      </c>
      <c r="C4" s="26" t="s">
        <v>427</v>
      </c>
      <c r="D4" s="26" t="s">
        <v>427</v>
      </c>
      <c r="E4" s="26" t="s">
        <v>427</v>
      </c>
      <c r="F4" s="26" t="s">
        <v>427</v>
      </c>
      <c r="G4" s="26" t="s">
        <v>427</v>
      </c>
      <c r="H4" s="26" t="s">
        <v>427</v>
      </c>
      <c r="I4" s="26" t="s">
        <v>427</v>
      </c>
      <c r="J4" s="26" t="s">
        <v>427</v>
      </c>
      <c r="K4" s="26" t="s">
        <v>427</v>
      </c>
      <c r="L4" s="26" t="s">
        <v>428</v>
      </c>
      <c r="M4" s="26" t="s">
        <v>428</v>
      </c>
      <c r="N4" s="26" t="s">
        <v>428</v>
      </c>
      <c r="O4" s="26" t="s">
        <v>428</v>
      </c>
      <c r="P4" s="26" t="s">
        <v>428</v>
      </c>
      <c r="Q4" s="26" t="s">
        <v>428</v>
      </c>
      <c r="R4" s="26" t="s">
        <v>428</v>
      </c>
      <c r="S4" s="26" t="s">
        <v>428</v>
      </c>
      <c r="T4" s="26" t="s">
        <v>428</v>
      </c>
      <c r="U4" s="26" t="s">
        <v>428</v>
      </c>
      <c r="V4" s="26" t="s">
        <v>428</v>
      </c>
      <c r="W4" s="26" t="s">
        <v>428</v>
      </c>
      <c r="X4" s="26" t="s">
        <v>428</v>
      </c>
      <c r="Y4" s="26" t="s">
        <v>428</v>
      </c>
      <c r="Z4" s="26" t="s">
        <v>428</v>
      </c>
      <c r="AA4" s="26" t="s">
        <v>428</v>
      </c>
      <c r="AB4" s="26" t="s">
        <v>428</v>
      </c>
      <c r="AC4" s="26" t="s">
        <v>428</v>
      </c>
      <c r="AD4" s="26" t="s">
        <v>428</v>
      </c>
      <c r="AE4" s="26" t="s">
        <v>428</v>
      </c>
      <c r="AF4" s="26" t="s">
        <v>428</v>
      </c>
      <c r="AG4" s="26" t="s">
        <v>429</v>
      </c>
      <c r="AH4" s="26" t="s">
        <v>429</v>
      </c>
      <c r="AI4" s="26" t="s">
        <v>429</v>
      </c>
      <c r="AJ4" s="26" t="s">
        <v>429</v>
      </c>
      <c r="AK4" s="26" t="s">
        <v>429</v>
      </c>
      <c r="AL4" s="26" t="s">
        <v>429</v>
      </c>
      <c r="AM4" s="26" t="s">
        <v>429</v>
      </c>
      <c r="AN4" s="26" t="s">
        <v>429</v>
      </c>
      <c r="AO4" s="26" t="s">
        <v>429</v>
      </c>
      <c r="AP4" s="26" t="s">
        <v>429</v>
      </c>
      <c r="AQ4" s="26" t="s">
        <v>429</v>
      </c>
      <c r="AR4" s="26" t="s">
        <v>429</v>
      </c>
      <c r="AS4" s="26" t="s">
        <v>429</v>
      </c>
      <c r="AT4" s="26" t="s">
        <v>429</v>
      </c>
      <c r="AU4" s="26" t="s">
        <v>429</v>
      </c>
      <c r="AV4" s="26" t="s">
        <v>429</v>
      </c>
      <c r="AW4" s="26" t="s">
        <v>429</v>
      </c>
      <c r="AX4" s="26" t="s">
        <v>429</v>
      </c>
      <c r="AY4" s="26" t="s">
        <v>429</v>
      </c>
      <c r="AZ4" s="26" t="s">
        <v>429</v>
      </c>
      <c r="BA4" s="26" t="s">
        <v>429</v>
      </c>
      <c r="BB4" s="26" t="s">
        <v>429</v>
      </c>
      <c r="BC4" s="26" t="s">
        <v>429</v>
      </c>
      <c r="BD4" s="26" t="s">
        <v>429</v>
      </c>
      <c r="BE4" s="26" t="s">
        <v>429</v>
      </c>
      <c r="BF4" s="26" t="s">
        <v>429</v>
      </c>
      <c r="BG4" s="26" t="s">
        <v>429</v>
      </c>
      <c r="BH4" s="26" t="s">
        <v>429</v>
      </c>
      <c r="BI4" s="26" t="s">
        <v>429</v>
      </c>
      <c r="BJ4" s="26" t="s">
        <v>429</v>
      </c>
      <c r="BK4" s="26" t="s">
        <v>429</v>
      </c>
      <c r="BL4" s="26" t="s">
        <v>430</v>
      </c>
      <c r="BM4" s="26" t="s">
        <v>430</v>
      </c>
      <c r="BN4" s="26" t="s">
        <v>430</v>
      </c>
      <c r="BO4" s="26" t="s">
        <v>430</v>
      </c>
      <c r="BP4" s="26" t="s">
        <v>430</v>
      </c>
      <c r="BQ4" s="26" t="s">
        <v>430</v>
      </c>
      <c r="BR4" s="26" t="s">
        <v>430</v>
      </c>
      <c r="BS4" s="26" t="s">
        <v>430</v>
      </c>
      <c r="BT4" s="26" t="s">
        <v>430</v>
      </c>
      <c r="BU4" s="26" t="s">
        <v>430</v>
      </c>
      <c r="BV4" s="26" t="s">
        <v>430</v>
      </c>
      <c r="BW4" s="26" t="s">
        <v>430</v>
      </c>
      <c r="BX4" s="26" t="s">
        <v>430</v>
      </c>
      <c r="BY4" s="26" t="s">
        <v>431</v>
      </c>
      <c r="BZ4" s="26" t="s">
        <v>431</v>
      </c>
      <c r="CA4" s="26" t="s">
        <v>431</v>
      </c>
      <c r="CB4" s="26" t="s">
        <v>431</v>
      </c>
      <c r="CC4" s="26" t="s">
        <v>432</v>
      </c>
      <c r="CD4" s="26" t="s">
        <v>432</v>
      </c>
      <c r="CE4" s="26" t="s">
        <v>432</v>
      </c>
      <c r="CF4" s="26" t="s">
        <v>432</v>
      </c>
      <c r="CG4" s="26" t="s">
        <v>432</v>
      </c>
      <c r="CH4" s="26" t="s">
        <v>432</v>
      </c>
      <c r="CI4" s="26" t="s">
        <v>432</v>
      </c>
      <c r="CJ4" s="26" t="s">
        <v>432</v>
      </c>
      <c r="CK4" s="26" t="s">
        <v>432</v>
      </c>
      <c r="CL4" s="26" t="s">
        <v>432</v>
      </c>
      <c r="CM4" s="26" t="s">
        <v>432</v>
      </c>
      <c r="CN4" s="26" t="s">
        <v>432</v>
      </c>
      <c r="CO4" s="26" t="s">
        <v>432</v>
      </c>
      <c r="CP4" s="26" t="s">
        <v>432</v>
      </c>
      <c r="CQ4" s="26" t="s">
        <v>432</v>
      </c>
      <c r="CR4" s="26" t="s">
        <v>432</v>
      </c>
      <c r="CS4" s="26" t="s">
        <v>432</v>
      </c>
      <c r="CT4" s="26" t="s">
        <v>432</v>
      </c>
      <c r="CU4" s="26" t="s">
        <v>432</v>
      </c>
    </row>
    <row r="5" spans="1:101" x14ac:dyDescent="0.35">
      <c r="A5" s="25" t="s">
        <v>360</v>
      </c>
      <c r="B5" s="27" t="s">
        <v>433</v>
      </c>
      <c r="C5" s="27" t="s">
        <v>434</v>
      </c>
      <c r="D5" s="27" t="s">
        <v>435</v>
      </c>
      <c r="E5" s="27" t="s">
        <v>436</v>
      </c>
      <c r="F5" s="27" t="s">
        <v>437</v>
      </c>
      <c r="G5" s="27" t="s">
        <v>438</v>
      </c>
      <c r="H5" s="27" t="s">
        <v>439</v>
      </c>
      <c r="I5" s="27" t="s">
        <v>440</v>
      </c>
      <c r="J5" s="27" t="s">
        <v>441</v>
      </c>
      <c r="K5" s="27" t="s">
        <v>442</v>
      </c>
      <c r="L5" s="27" t="s">
        <v>443</v>
      </c>
      <c r="M5" s="27" t="s">
        <v>444</v>
      </c>
      <c r="N5" s="27" t="s">
        <v>445</v>
      </c>
      <c r="O5" s="27" t="s">
        <v>446</v>
      </c>
      <c r="P5" s="27" t="s">
        <v>447</v>
      </c>
      <c r="Q5" s="27" t="s">
        <v>448</v>
      </c>
      <c r="R5" s="27" t="s">
        <v>449</v>
      </c>
      <c r="S5" s="27" t="s">
        <v>450</v>
      </c>
      <c r="T5" s="27" t="s">
        <v>451</v>
      </c>
      <c r="U5" s="27" t="s">
        <v>452</v>
      </c>
      <c r="V5" s="27" t="s">
        <v>453</v>
      </c>
      <c r="W5" s="27" t="s">
        <v>454</v>
      </c>
      <c r="X5" s="27" t="s">
        <v>455</v>
      </c>
      <c r="Y5" s="27" t="s">
        <v>456</v>
      </c>
      <c r="Z5" s="27" t="s">
        <v>457</v>
      </c>
      <c r="AA5" s="27" t="s">
        <v>458</v>
      </c>
      <c r="AB5" s="27" t="s">
        <v>459</v>
      </c>
      <c r="AC5" s="27" t="s">
        <v>460</v>
      </c>
      <c r="AD5" s="27" t="s">
        <v>461</v>
      </c>
      <c r="AE5" s="27" t="s">
        <v>462</v>
      </c>
      <c r="AF5" s="27" t="s">
        <v>463</v>
      </c>
      <c r="AG5" s="27" t="s">
        <v>464</v>
      </c>
      <c r="AH5" s="27" t="s">
        <v>465</v>
      </c>
      <c r="AI5" s="27" t="s">
        <v>466</v>
      </c>
      <c r="AJ5" s="27" t="s">
        <v>467</v>
      </c>
      <c r="AK5" s="27" t="s">
        <v>468</v>
      </c>
      <c r="AL5" s="27" t="s">
        <v>469</v>
      </c>
      <c r="AM5" s="27" t="s">
        <v>470</v>
      </c>
      <c r="AN5" s="27" t="s">
        <v>471</v>
      </c>
      <c r="AO5" s="27" t="s">
        <v>472</v>
      </c>
      <c r="AP5" s="27" t="s">
        <v>473</v>
      </c>
      <c r="AQ5" s="27" t="s">
        <v>474</v>
      </c>
      <c r="AR5" s="27" t="s">
        <v>475</v>
      </c>
      <c r="AS5" s="27" t="s">
        <v>476</v>
      </c>
      <c r="AT5" s="27" t="s">
        <v>477</v>
      </c>
      <c r="AU5" s="27" t="s">
        <v>478</v>
      </c>
      <c r="AV5" s="27" t="s">
        <v>479</v>
      </c>
      <c r="AW5" s="27" t="s">
        <v>480</v>
      </c>
      <c r="AX5" s="27" t="s">
        <v>481</v>
      </c>
      <c r="AY5" s="27" t="s">
        <v>482</v>
      </c>
      <c r="AZ5" s="27" t="s">
        <v>483</v>
      </c>
      <c r="BA5" s="27" t="s">
        <v>484</v>
      </c>
      <c r="BB5" s="27" t="s">
        <v>485</v>
      </c>
      <c r="BC5" s="27" t="s">
        <v>486</v>
      </c>
      <c r="BD5" s="27" t="s">
        <v>487</v>
      </c>
      <c r="BE5" s="27" t="s">
        <v>488</v>
      </c>
      <c r="BF5" s="27" t="s">
        <v>489</v>
      </c>
      <c r="BG5" s="27" t="s">
        <v>490</v>
      </c>
      <c r="BH5" s="27" t="s">
        <v>491</v>
      </c>
      <c r="BI5" s="27" t="s">
        <v>492</v>
      </c>
      <c r="BJ5" s="27" t="s">
        <v>493</v>
      </c>
      <c r="BK5" s="27" t="s">
        <v>777</v>
      </c>
      <c r="BL5" s="27" t="s">
        <v>494</v>
      </c>
      <c r="BM5" s="27" t="s">
        <v>495</v>
      </c>
      <c r="BN5" s="27" t="s">
        <v>496</v>
      </c>
      <c r="BO5" s="27" t="s">
        <v>497</v>
      </c>
      <c r="BP5" s="27" t="s">
        <v>498</v>
      </c>
      <c r="BQ5" s="27" t="s">
        <v>499</v>
      </c>
      <c r="BR5" s="27" t="s">
        <v>500</v>
      </c>
      <c r="BS5" s="27" t="s">
        <v>501</v>
      </c>
      <c r="BT5" s="27" t="s">
        <v>502</v>
      </c>
      <c r="BU5" s="27" t="s">
        <v>503</v>
      </c>
      <c r="BV5" s="27" t="s">
        <v>504</v>
      </c>
      <c r="BW5" s="27" t="s">
        <v>505</v>
      </c>
      <c r="BX5" s="27" t="s">
        <v>506</v>
      </c>
      <c r="BY5" s="27" t="s">
        <v>507</v>
      </c>
      <c r="BZ5" s="27" t="s">
        <v>508</v>
      </c>
      <c r="CA5" s="27" t="s">
        <v>509</v>
      </c>
      <c r="CB5" s="27" t="s">
        <v>434</v>
      </c>
      <c r="CC5" s="27" t="s">
        <v>436</v>
      </c>
      <c r="CD5" s="27" t="s">
        <v>433</v>
      </c>
      <c r="CE5" s="27" t="s">
        <v>435</v>
      </c>
      <c r="CF5" s="27" t="s">
        <v>437</v>
      </c>
      <c r="CG5" s="27" t="s">
        <v>438</v>
      </c>
      <c r="CH5" s="27" t="s">
        <v>439</v>
      </c>
      <c r="CI5" s="27" t="s">
        <v>440</v>
      </c>
      <c r="CJ5" s="27" t="s">
        <v>441</v>
      </c>
      <c r="CK5" s="27" t="s">
        <v>442</v>
      </c>
      <c r="CL5" s="27" t="s">
        <v>443</v>
      </c>
      <c r="CM5" s="27" t="s">
        <v>444</v>
      </c>
      <c r="CN5" s="27" t="s">
        <v>445</v>
      </c>
      <c r="CO5" s="27" t="s">
        <v>446</v>
      </c>
      <c r="CP5" s="27" t="s">
        <v>447</v>
      </c>
      <c r="CQ5" s="27" t="s">
        <v>448</v>
      </c>
      <c r="CR5" s="27" t="s">
        <v>449</v>
      </c>
      <c r="CS5" s="27" t="s">
        <v>450</v>
      </c>
      <c r="CT5" s="27" t="s">
        <v>451</v>
      </c>
      <c r="CU5" s="27" t="s">
        <v>452</v>
      </c>
    </row>
    <row r="6" spans="1:101" ht="48" customHeight="1" x14ac:dyDescent="0.35">
      <c r="A6" s="25" t="s">
        <v>510</v>
      </c>
      <c r="B6" s="28" t="s">
        <v>511</v>
      </c>
      <c r="C6" s="28" t="s">
        <v>512</v>
      </c>
      <c r="D6" s="28" t="s">
        <v>513</v>
      </c>
      <c r="E6" s="28" t="s">
        <v>514</v>
      </c>
      <c r="F6" s="28" t="s">
        <v>515</v>
      </c>
      <c r="G6" s="28" t="s">
        <v>516</v>
      </c>
      <c r="H6" s="28" t="s">
        <v>517</v>
      </c>
      <c r="I6" s="28" t="s">
        <v>518</v>
      </c>
      <c r="J6" s="28" t="s">
        <v>519</v>
      </c>
      <c r="K6" s="28" t="s">
        <v>520</v>
      </c>
      <c r="L6" s="28" t="s">
        <v>521</v>
      </c>
      <c r="M6" s="28" t="s">
        <v>522</v>
      </c>
      <c r="N6" s="28" t="s">
        <v>523</v>
      </c>
      <c r="O6" s="28" t="s">
        <v>524</v>
      </c>
      <c r="P6" s="28" t="s">
        <v>525</v>
      </c>
      <c r="Q6" s="28" t="s">
        <v>526</v>
      </c>
      <c r="R6" s="28" t="s">
        <v>527</v>
      </c>
      <c r="S6" s="28" t="s">
        <v>528</v>
      </c>
      <c r="T6" s="28" t="s">
        <v>529</v>
      </c>
      <c r="U6" s="28" t="s">
        <v>530</v>
      </c>
      <c r="V6" s="28" t="s">
        <v>531</v>
      </c>
      <c r="W6" s="28" t="s">
        <v>532</v>
      </c>
      <c r="X6" s="28" t="s">
        <v>533</v>
      </c>
      <c r="Y6" s="28" t="s">
        <v>534</v>
      </c>
      <c r="Z6" s="28" t="s">
        <v>535</v>
      </c>
      <c r="AA6" s="28" t="s">
        <v>536</v>
      </c>
      <c r="AB6" s="28" t="s">
        <v>537</v>
      </c>
      <c r="AC6" s="28" t="s">
        <v>538</v>
      </c>
      <c r="AD6" s="28" t="s">
        <v>539</v>
      </c>
      <c r="AE6" s="28" t="s">
        <v>540</v>
      </c>
      <c r="AF6" s="28" t="s">
        <v>541</v>
      </c>
      <c r="AG6" s="28" t="s">
        <v>542</v>
      </c>
      <c r="AH6" s="28" t="s">
        <v>543</v>
      </c>
      <c r="AI6" s="28" t="s">
        <v>544</v>
      </c>
      <c r="AJ6" s="28" t="s">
        <v>545</v>
      </c>
      <c r="AK6" s="28" t="s">
        <v>546</v>
      </c>
      <c r="AL6" s="28" t="s">
        <v>547</v>
      </c>
      <c r="AM6" s="28" t="s">
        <v>548</v>
      </c>
      <c r="AN6" s="28" t="s">
        <v>549</v>
      </c>
      <c r="AO6" s="28" t="s">
        <v>550</v>
      </c>
      <c r="AP6" s="28" t="s">
        <v>551</v>
      </c>
      <c r="AQ6" s="28" t="s">
        <v>552</v>
      </c>
      <c r="AR6" s="28" t="s">
        <v>553</v>
      </c>
      <c r="AS6" s="28" t="s">
        <v>554</v>
      </c>
      <c r="AT6" s="28" t="s">
        <v>555</v>
      </c>
      <c r="AU6" s="28" t="s">
        <v>556</v>
      </c>
      <c r="AV6" s="28" t="s">
        <v>557</v>
      </c>
      <c r="AW6" s="28" t="s">
        <v>558</v>
      </c>
      <c r="AX6" s="28" t="s">
        <v>559</v>
      </c>
      <c r="AY6" s="28" t="s">
        <v>557</v>
      </c>
      <c r="AZ6" s="28" t="s">
        <v>560</v>
      </c>
      <c r="BA6" s="28" t="s">
        <v>561</v>
      </c>
      <c r="BB6" s="28" t="s">
        <v>562</v>
      </c>
      <c r="BC6" s="28" t="s">
        <v>563</v>
      </c>
      <c r="BD6" s="28" t="s">
        <v>564</v>
      </c>
      <c r="BE6" s="28" t="s">
        <v>565</v>
      </c>
      <c r="BF6" s="28" t="s">
        <v>566</v>
      </c>
      <c r="BG6" s="28" t="s">
        <v>567</v>
      </c>
      <c r="BH6" s="28" t="s">
        <v>568</v>
      </c>
      <c r="BI6" s="28" t="s">
        <v>569</v>
      </c>
      <c r="BJ6" s="28" t="s">
        <v>570</v>
      </c>
      <c r="BK6" s="28" t="s">
        <v>778</v>
      </c>
      <c r="BL6" s="28" t="s">
        <v>571</v>
      </c>
      <c r="BM6" s="28" t="s">
        <v>572</v>
      </c>
      <c r="BN6" s="28" t="s">
        <v>573</v>
      </c>
      <c r="BO6" s="28" t="s">
        <v>574</v>
      </c>
      <c r="BP6" s="28" t="s">
        <v>575</v>
      </c>
      <c r="BQ6" s="28" t="s">
        <v>576</v>
      </c>
      <c r="BR6" s="28" t="s">
        <v>577</v>
      </c>
      <c r="BS6" s="28" t="s">
        <v>578</v>
      </c>
      <c r="BT6" s="28" t="s">
        <v>579</v>
      </c>
      <c r="BU6" s="28" t="s">
        <v>580</v>
      </c>
      <c r="BV6" s="28" t="s">
        <v>581</v>
      </c>
      <c r="BW6" s="28" t="s">
        <v>582</v>
      </c>
      <c r="BX6" s="28" t="s">
        <v>583</v>
      </c>
      <c r="BY6" s="28" t="s">
        <v>584</v>
      </c>
      <c r="BZ6" s="28" t="s">
        <v>585</v>
      </c>
      <c r="CA6" s="28" t="s">
        <v>586</v>
      </c>
      <c r="CB6" s="28" t="s">
        <v>587</v>
      </c>
      <c r="CC6" s="28" t="s">
        <v>770</v>
      </c>
      <c r="CD6" s="28" t="s">
        <v>771</v>
      </c>
      <c r="CE6" s="28" t="s">
        <v>772</v>
      </c>
      <c r="CF6" s="28" t="s">
        <v>588</v>
      </c>
      <c r="CG6" s="28" t="s">
        <v>589</v>
      </c>
      <c r="CH6" s="28" t="s">
        <v>590</v>
      </c>
      <c r="CI6" s="28" t="s">
        <v>591</v>
      </c>
      <c r="CJ6" s="28" t="s">
        <v>592</v>
      </c>
      <c r="CK6" s="28" t="s">
        <v>593</v>
      </c>
      <c r="CL6" s="28" t="s">
        <v>773</v>
      </c>
      <c r="CM6" s="28" t="s">
        <v>774</v>
      </c>
      <c r="CN6" s="28" t="s">
        <v>775</v>
      </c>
      <c r="CO6" s="28" t="s">
        <v>594</v>
      </c>
      <c r="CP6" s="28" t="s">
        <v>595</v>
      </c>
      <c r="CQ6" s="28" t="s">
        <v>596</v>
      </c>
      <c r="CR6" s="28" t="s">
        <v>597</v>
      </c>
      <c r="CS6" s="28" t="s">
        <v>776</v>
      </c>
      <c r="CT6" s="28" t="s">
        <v>769</v>
      </c>
      <c r="CU6" s="28" t="s">
        <v>598</v>
      </c>
    </row>
    <row r="7" spans="1:101" x14ac:dyDescent="0.35">
      <c r="A7" s="29" t="s">
        <v>750</v>
      </c>
      <c r="B7" s="30" t="s">
        <v>25</v>
      </c>
      <c r="C7" s="30" t="s">
        <v>25</v>
      </c>
      <c r="D7" s="30" t="s">
        <v>25</v>
      </c>
      <c r="E7" s="30" t="s">
        <v>25</v>
      </c>
      <c r="F7" s="30" t="s">
        <v>25</v>
      </c>
      <c r="G7" s="30" t="s">
        <v>25</v>
      </c>
      <c r="H7" s="30" t="s">
        <v>25</v>
      </c>
      <c r="I7" s="30" t="s">
        <v>25</v>
      </c>
      <c r="J7" s="30" t="s">
        <v>25</v>
      </c>
      <c r="K7" s="30" t="s">
        <v>25</v>
      </c>
      <c r="L7" s="30" t="s">
        <v>25</v>
      </c>
      <c r="M7" s="30" t="s">
        <v>25</v>
      </c>
      <c r="N7" s="30" t="s">
        <v>25</v>
      </c>
      <c r="O7" s="30" t="s">
        <v>25</v>
      </c>
      <c r="P7" s="30" t="s">
        <v>25</v>
      </c>
      <c r="Q7" s="30" t="s">
        <v>25</v>
      </c>
      <c r="R7" s="30" t="s">
        <v>25</v>
      </c>
      <c r="S7" s="30" t="s">
        <v>25</v>
      </c>
      <c r="T7" s="30" t="s">
        <v>25</v>
      </c>
      <c r="U7" s="30" t="s">
        <v>25</v>
      </c>
      <c r="V7" s="30" t="s">
        <v>25</v>
      </c>
      <c r="W7" s="30" t="s">
        <v>25</v>
      </c>
      <c r="X7" s="30" t="s">
        <v>25</v>
      </c>
      <c r="Y7" s="30" t="s">
        <v>25</v>
      </c>
      <c r="Z7" s="30" t="s">
        <v>25</v>
      </c>
      <c r="AA7" s="30" t="s">
        <v>25</v>
      </c>
      <c r="AB7" s="30" t="s">
        <v>25</v>
      </c>
      <c r="AC7" s="30" t="s">
        <v>25</v>
      </c>
      <c r="AD7" s="30" t="s">
        <v>25</v>
      </c>
      <c r="AE7" s="30" t="s">
        <v>25</v>
      </c>
      <c r="AF7" s="30" t="s">
        <v>25</v>
      </c>
      <c r="AG7" s="30" t="s">
        <v>25</v>
      </c>
      <c r="AH7" s="30" t="s">
        <v>25</v>
      </c>
      <c r="AI7" s="30" t="s">
        <v>25</v>
      </c>
      <c r="AJ7" s="30" t="s">
        <v>25</v>
      </c>
      <c r="AK7" s="30" t="s">
        <v>25</v>
      </c>
      <c r="AL7" s="30" t="s">
        <v>25</v>
      </c>
      <c r="AM7" s="30" t="s">
        <v>25</v>
      </c>
      <c r="AN7" s="30" t="s">
        <v>25</v>
      </c>
      <c r="AO7" s="30" t="s">
        <v>25</v>
      </c>
      <c r="AP7" s="30" t="s">
        <v>25</v>
      </c>
      <c r="AQ7" s="30" t="s">
        <v>25</v>
      </c>
      <c r="AR7" s="30" t="s">
        <v>25</v>
      </c>
      <c r="AS7" s="30" t="s">
        <v>25</v>
      </c>
      <c r="AT7" s="30" t="s">
        <v>25</v>
      </c>
      <c r="AU7" s="30" t="s">
        <v>25</v>
      </c>
      <c r="AV7" s="30" t="s">
        <v>25</v>
      </c>
      <c r="AW7" s="30" t="s">
        <v>25</v>
      </c>
      <c r="AX7" s="30" t="s">
        <v>25</v>
      </c>
      <c r="AY7" s="30" t="s">
        <v>25</v>
      </c>
      <c r="AZ7" s="30" t="s">
        <v>25</v>
      </c>
      <c r="BA7" s="30" t="s">
        <v>25</v>
      </c>
      <c r="BB7" s="30" t="s">
        <v>25</v>
      </c>
      <c r="BC7" s="30" t="s">
        <v>25</v>
      </c>
      <c r="BD7" s="30" t="s">
        <v>25</v>
      </c>
      <c r="BE7" s="30" t="s">
        <v>25</v>
      </c>
      <c r="BF7" s="30" t="s">
        <v>25</v>
      </c>
      <c r="BG7" s="30" t="s">
        <v>25</v>
      </c>
      <c r="BH7" s="30" t="s">
        <v>25</v>
      </c>
      <c r="BI7" s="30" t="s">
        <v>25</v>
      </c>
      <c r="BJ7" s="30" t="s">
        <v>25</v>
      </c>
      <c r="BK7" s="30" t="s">
        <v>25</v>
      </c>
      <c r="BL7" s="30" t="s">
        <v>25</v>
      </c>
      <c r="BM7" s="30" t="s">
        <v>25</v>
      </c>
      <c r="BN7" s="30" t="s">
        <v>25</v>
      </c>
      <c r="BO7" s="30" t="s">
        <v>25</v>
      </c>
      <c r="BP7" s="30" t="s">
        <v>25</v>
      </c>
      <c r="BQ7" s="30" t="s">
        <v>25</v>
      </c>
      <c r="BR7" s="30" t="s">
        <v>25</v>
      </c>
      <c r="BS7" s="30" t="s">
        <v>25</v>
      </c>
      <c r="BT7" s="30" t="s">
        <v>25</v>
      </c>
      <c r="BU7" s="30" t="s">
        <v>25</v>
      </c>
      <c r="BV7" s="30" t="s">
        <v>25</v>
      </c>
      <c r="BW7" s="30" t="s">
        <v>25</v>
      </c>
      <c r="BX7" s="30" t="s">
        <v>25</v>
      </c>
      <c r="BY7" s="30" t="s">
        <v>25</v>
      </c>
      <c r="BZ7" s="30" t="s">
        <v>25</v>
      </c>
      <c r="CA7" s="30" t="s">
        <v>25</v>
      </c>
      <c r="CB7" s="30" t="s">
        <v>25</v>
      </c>
      <c r="CC7" s="30" t="s">
        <v>25</v>
      </c>
      <c r="CD7" s="30" t="s">
        <v>25</v>
      </c>
      <c r="CE7" s="30" t="s">
        <v>25</v>
      </c>
      <c r="CF7" s="30" t="s">
        <v>25</v>
      </c>
      <c r="CG7" s="30" t="s">
        <v>25</v>
      </c>
      <c r="CH7" s="30" t="s">
        <v>25</v>
      </c>
      <c r="CI7" s="30" t="s">
        <v>25</v>
      </c>
      <c r="CJ7" s="30" t="s">
        <v>25</v>
      </c>
      <c r="CK7" s="30" t="s">
        <v>25</v>
      </c>
      <c r="CL7" s="30" t="s">
        <v>25</v>
      </c>
      <c r="CM7" s="30" t="s">
        <v>25</v>
      </c>
      <c r="CN7" s="30" t="s">
        <v>25</v>
      </c>
      <c r="CO7" s="30" t="s">
        <v>25</v>
      </c>
      <c r="CP7" s="30" t="s">
        <v>25</v>
      </c>
      <c r="CQ7" s="30" t="s">
        <v>25</v>
      </c>
      <c r="CR7" s="30" t="s">
        <v>25</v>
      </c>
      <c r="CS7" s="30" t="s">
        <v>25</v>
      </c>
      <c r="CT7" s="30" t="s">
        <v>25</v>
      </c>
      <c r="CU7" s="30" t="s">
        <v>25</v>
      </c>
    </row>
    <row r="8" spans="1:101" x14ac:dyDescent="0.35">
      <c r="A8" s="29" t="s">
        <v>749</v>
      </c>
      <c r="B8" s="30" t="s">
        <v>25</v>
      </c>
      <c r="C8" s="30" t="s">
        <v>25</v>
      </c>
      <c r="D8" s="30" t="s">
        <v>25</v>
      </c>
      <c r="E8" s="30" t="s">
        <v>25</v>
      </c>
      <c r="F8" s="30" t="s">
        <v>25</v>
      </c>
      <c r="G8" s="30" t="s">
        <v>25</v>
      </c>
      <c r="H8" s="30" t="s">
        <v>25</v>
      </c>
      <c r="I8" s="30" t="s">
        <v>25</v>
      </c>
      <c r="J8" s="30" t="s">
        <v>25</v>
      </c>
      <c r="K8" s="30" t="s">
        <v>25</v>
      </c>
      <c r="L8" s="30" t="s">
        <v>25</v>
      </c>
      <c r="M8" s="30" t="s">
        <v>25</v>
      </c>
      <c r="N8" s="30" t="s">
        <v>25</v>
      </c>
      <c r="O8" s="30" t="s">
        <v>25</v>
      </c>
      <c r="P8" s="30" t="s">
        <v>25</v>
      </c>
      <c r="Q8" s="30" t="s">
        <v>25</v>
      </c>
      <c r="R8" s="30" t="s">
        <v>25</v>
      </c>
      <c r="S8" s="30" t="s">
        <v>25</v>
      </c>
      <c r="T8" s="30" t="s">
        <v>25</v>
      </c>
      <c r="U8" s="30" t="s">
        <v>25</v>
      </c>
      <c r="V8" s="30" t="s">
        <v>25</v>
      </c>
      <c r="W8" s="30" t="s">
        <v>25</v>
      </c>
      <c r="X8" s="30" t="s">
        <v>25</v>
      </c>
      <c r="Y8" s="30" t="s">
        <v>25</v>
      </c>
      <c r="Z8" s="30" t="s">
        <v>25</v>
      </c>
      <c r="AA8" s="30" t="s">
        <v>25</v>
      </c>
      <c r="AB8" s="30" t="s">
        <v>25</v>
      </c>
      <c r="AC8" s="30" t="s">
        <v>25</v>
      </c>
      <c r="AD8" s="30" t="s">
        <v>25</v>
      </c>
      <c r="AE8" s="30" t="s">
        <v>25</v>
      </c>
      <c r="AF8" s="30" t="s">
        <v>25</v>
      </c>
      <c r="AG8" s="30" t="s">
        <v>25</v>
      </c>
      <c r="AH8" s="30" t="s">
        <v>25</v>
      </c>
      <c r="AI8" s="30" t="s">
        <v>25</v>
      </c>
      <c r="AJ8" s="30" t="s">
        <v>25</v>
      </c>
      <c r="AK8" s="30" t="s">
        <v>25</v>
      </c>
      <c r="AL8" s="30" t="s">
        <v>25</v>
      </c>
      <c r="AM8" s="30" t="s">
        <v>25</v>
      </c>
      <c r="AN8" s="30" t="s">
        <v>25</v>
      </c>
      <c r="AO8" s="30" t="s">
        <v>25</v>
      </c>
      <c r="AP8" s="30" t="s">
        <v>25</v>
      </c>
      <c r="AQ8" s="30" t="s">
        <v>25</v>
      </c>
      <c r="AR8" s="30" t="s">
        <v>25</v>
      </c>
      <c r="AS8" s="30" t="s">
        <v>25</v>
      </c>
      <c r="AT8" s="30" t="s">
        <v>25</v>
      </c>
      <c r="AU8" s="30" t="s">
        <v>25</v>
      </c>
      <c r="AV8" s="30" t="s">
        <v>25</v>
      </c>
      <c r="AW8" s="30" t="s">
        <v>25</v>
      </c>
      <c r="AX8" s="30" t="s">
        <v>25</v>
      </c>
      <c r="AY8" s="30" t="s">
        <v>25</v>
      </c>
      <c r="AZ8" s="30" t="s">
        <v>25</v>
      </c>
      <c r="BA8" s="30" t="s">
        <v>25</v>
      </c>
      <c r="BB8" s="30" t="s">
        <v>25</v>
      </c>
      <c r="BC8" s="30" t="s">
        <v>25</v>
      </c>
      <c r="BD8" s="30" t="s">
        <v>25</v>
      </c>
      <c r="BE8" s="30" t="s">
        <v>25</v>
      </c>
      <c r="BF8" s="30" t="s">
        <v>25</v>
      </c>
      <c r="BG8" s="30" t="s">
        <v>25</v>
      </c>
      <c r="BH8" s="30" t="s">
        <v>25</v>
      </c>
      <c r="BI8" s="30" t="s">
        <v>25</v>
      </c>
      <c r="BJ8" s="30" t="s">
        <v>25</v>
      </c>
      <c r="BK8" s="30" t="s">
        <v>25</v>
      </c>
      <c r="BL8" s="30" t="s">
        <v>25</v>
      </c>
      <c r="BM8" s="30" t="s">
        <v>25</v>
      </c>
      <c r="BN8" s="30" t="s">
        <v>25</v>
      </c>
      <c r="BO8" s="30" t="s">
        <v>25</v>
      </c>
      <c r="BP8" s="30" t="s">
        <v>25</v>
      </c>
      <c r="BQ8" s="30" t="s">
        <v>25</v>
      </c>
      <c r="BR8" s="30" t="s">
        <v>25</v>
      </c>
      <c r="BS8" s="30" t="s">
        <v>25</v>
      </c>
      <c r="BT8" s="30" t="s">
        <v>25</v>
      </c>
      <c r="BU8" s="30" t="s">
        <v>25</v>
      </c>
      <c r="BV8" s="30" t="s">
        <v>25</v>
      </c>
      <c r="BW8" s="30" t="s">
        <v>25</v>
      </c>
      <c r="BX8" s="30" t="s">
        <v>25</v>
      </c>
      <c r="BY8" s="30" t="s">
        <v>25</v>
      </c>
      <c r="BZ8" s="30" t="s">
        <v>25</v>
      </c>
      <c r="CA8" s="30" t="s">
        <v>25</v>
      </c>
      <c r="CB8" s="30" t="s">
        <v>25</v>
      </c>
      <c r="CC8" s="30" t="s">
        <v>25</v>
      </c>
      <c r="CD8" s="30" t="s">
        <v>25</v>
      </c>
      <c r="CE8" s="30" t="s">
        <v>25</v>
      </c>
      <c r="CF8" s="30" t="s">
        <v>25</v>
      </c>
      <c r="CG8" s="30" t="s">
        <v>25</v>
      </c>
      <c r="CH8" s="30" t="s">
        <v>25</v>
      </c>
      <c r="CI8" s="30" t="s">
        <v>25</v>
      </c>
      <c r="CJ8" s="30" t="s">
        <v>25</v>
      </c>
      <c r="CK8" s="30" t="s">
        <v>25</v>
      </c>
      <c r="CL8" s="30" t="s">
        <v>25</v>
      </c>
      <c r="CM8" s="30" t="s">
        <v>25</v>
      </c>
      <c r="CN8" s="30" t="s">
        <v>25</v>
      </c>
      <c r="CO8" s="30" t="s">
        <v>25</v>
      </c>
      <c r="CP8" s="30" t="s">
        <v>25</v>
      </c>
      <c r="CQ8" s="30" t="s">
        <v>25</v>
      </c>
      <c r="CR8" s="30" t="s">
        <v>25</v>
      </c>
      <c r="CS8" s="30" t="s">
        <v>25</v>
      </c>
      <c r="CT8" s="30" t="s">
        <v>25</v>
      </c>
      <c r="CU8" s="30" t="s">
        <v>25</v>
      </c>
    </row>
    <row r="9" spans="1:101" x14ac:dyDescent="0.35">
      <c r="A9" s="29" t="s">
        <v>751</v>
      </c>
      <c r="B9" s="30" t="s">
        <v>25</v>
      </c>
      <c r="C9" s="30" t="s">
        <v>25</v>
      </c>
      <c r="D9" s="30" t="s">
        <v>25</v>
      </c>
      <c r="E9" s="30" t="s">
        <v>25</v>
      </c>
      <c r="F9" s="30" t="s">
        <v>25</v>
      </c>
      <c r="G9" s="30" t="s">
        <v>25</v>
      </c>
      <c r="H9" s="30" t="s">
        <v>25</v>
      </c>
      <c r="I9" s="30" t="s">
        <v>25</v>
      </c>
      <c r="J9" s="30" t="s">
        <v>25</v>
      </c>
      <c r="K9" s="30" t="s">
        <v>25</v>
      </c>
      <c r="L9" s="30" t="s">
        <v>25</v>
      </c>
      <c r="M9" s="30" t="s">
        <v>25</v>
      </c>
      <c r="N9" s="30" t="s">
        <v>25</v>
      </c>
      <c r="O9" s="30" t="s">
        <v>25</v>
      </c>
      <c r="P9" s="30" t="s">
        <v>25</v>
      </c>
      <c r="Q9" s="30" t="s">
        <v>25</v>
      </c>
      <c r="R9" s="30" t="s">
        <v>25</v>
      </c>
      <c r="S9" s="30" t="s">
        <v>25</v>
      </c>
      <c r="T9" s="30" t="s">
        <v>25</v>
      </c>
      <c r="U9" s="30" t="s">
        <v>25</v>
      </c>
      <c r="V9" s="30" t="s">
        <v>25</v>
      </c>
      <c r="W9" s="30" t="s">
        <v>25</v>
      </c>
      <c r="X9" s="30" t="s">
        <v>25</v>
      </c>
      <c r="Y9" s="30" t="s">
        <v>25</v>
      </c>
      <c r="Z9" s="30" t="s">
        <v>25</v>
      </c>
      <c r="AA9" s="30" t="s">
        <v>25</v>
      </c>
      <c r="AB9" s="30" t="s">
        <v>25</v>
      </c>
      <c r="AC9" s="30" t="s">
        <v>25</v>
      </c>
      <c r="AD9" s="30" t="s">
        <v>25</v>
      </c>
      <c r="AE9" s="30" t="s">
        <v>25</v>
      </c>
      <c r="AF9" s="30" t="s">
        <v>25</v>
      </c>
      <c r="AG9" s="30" t="s">
        <v>25</v>
      </c>
      <c r="AH9" s="30" t="s">
        <v>25</v>
      </c>
      <c r="AI9" s="30" t="s">
        <v>25</v>
      </c>
      <c r="AJ9" s="30" t="s">
        <v>25</v>
      </c>
      <c r="AK9" s="30" t="s">
        <v>25</v>
      </c>
      <c r="AL9" s="30" t="s">
        <v>25</v>
      </c>
      <c r="AM9" s="30" t="s">
        <v>25</v>
      </c>
      <c r="AN9" s="30" t="s">
        <v>25</v>
      </c>
      <c r="AO9" s="30" t="s">
        <v>25</v>
      </c>
      <c r="AP9" s="30" t="s">
        <v>25</v>
      </c>
      <c r="AQ9" s="30" t="s">
        <v>25</v>
      </c>
      <c r="AR9" s="30" t="s">
        <v>25</v>
      </c>
      <c r="AS9" s="30" t="s">
        <v>25</v>
      </c>
      <c r="AT9" s="30" t="s">
        <v>25</v>
      </c>
      <c r="AU9" s="30" t="s">
        <v>25</v>
      </c>
      <c r="AV9" s="30" t="s">
        <v>25</v>
      </c>
      <c r="AW9" s="30" t="s">
        <v>25</v>
      </c>
      <c r="AX9" s="30" t="s">
        <v>25</v>
      </c>
      <c r="AY9" s="30" t="s">
        <v>25</v>
      </c>
      <c r="AZ9" s="30" t="s">
        <v>25</v>
      </c>
      <c r="BA9" s="30" t="s">
        <v>25</v>
      </c>
      <c r="BB9" s="30" t="s">
        <v>25</v>
      </c>
      <c r="BC9" s="30" t="s">
        <v>25</v>
      </c>
      <c r="BD9" s="30" t="s">
        <v>25</v>
      </c>
      <c r="BE9" s="30" t="s">
        <v>25</v>
      </c>
      <c r="BF9" s="30" t="s">
        <v>25</v>
      </c>
      <c r="BG9" s="30" t="s">
        <v>25</v>
      </c>
      <c r="BH9" s="30" t="s">
        <v>25</v>
      </c>
      <c r="BI9" s="30" t="s">
        <v>25</v>
      </c>
      <c r="BJ9" s="30" t="s">
        <v>25</v>
      </c>
      <c r="BK9" s="30" t="s">
        <v>25</v>
      </c>
      <c r="BL9" s="30" t="s">
        <v>25</v>
      </c>
      <c r="BM9" s="30" t="s">
        <v>25</v>
      </c>
      <c r="BN9" s="30" t="s">
        <v>25</v>
      </c>
      <c r="BO9" s="30" t="s">
        <v>25</v>
      </c>
      <c r="BP9" s="30" t="s">
        <v>25</v>
      </c>
      <c r="BQ9" s="30" t="s">
        <v>25</v>
      </c>
      <c r="BR9" s="30" t="s">
        <v>25</v>
      </c>
      <c r="BS9" s="30" t="s">
        <v>25</v>
      </c>
      <c r="BT9" s="30" t="s">
        <v>25</v>
      </c>
      <c r="BU9" s="30" t="s">
        <v>25</v>
      </c>
      <c r="BV9" s="30" t="s">
        <v>25</v>
      </c>
      <c r="BW9" s="30" t="s">
        <v>25</v>
      </c>
      <c r="BX9" s="30" t="s">
        <v>25</v>
      </c>
      <c r="BY9" s="30" t="s">
        <v>25</v>
      </c>
      <c r="BZ9" s="30" t="s">
        <v>25</v>
      </c>
      <c r="CA9" s="30" t="s">
        <v>25</v>
      </c>
      <c r="CB9" s="30" t="s">
        <v>25</v>
      </c>
      <c r="CC9" s="30" t="s">
        <v>25</v>
      </c>
      <c r="CD9" s="30" t="s">
        <v>25</v>
      </c>
      <c r="CE9" s="30" t="s">
        <v>25</v>
      </c>
      <c r="CF9" s="30" t="s">
        <v>25</v>
      </c>
      <c r="CG9" s="30" t="s">
        <v>25</v>
      </c>
      <c r="CH9" s="30" t="s">
        <v>25</v>
      </c>
      <c r="CI9" s="30" t="s">
        <v>25</v>
      </c>
      <c r="CJ9" s="30" t="s">
        <v>25</v>
      </c>
      <c r="CK9" s="30" t="s">
        <v>25</v>
      </c>
      <c r="CL9" s="30" t="s">
        <v>25</v>
      </c>
      <c r="CM9" s="30" t="s">
        <v>25</v>
      </c>
      <c r="CN9" s="30" t="s">
        <v>25</v>
      </c>
      <c r="CO9" s="30" t="s">
        <v>25</v>
      </c>
      <c r="CP9" s="30" t="s">
        <v>25</v>
      </c>
      <c r="CQ9" s="30" t="s">
        <v>25</v>
      </c>
      <c r="CR9" s="30" t="s">
        <v>25</v>
      </c>
      <c r="CS9" s="30" t="s">
        <v>25</v>
      </c>
      <c r="CT9" s="30" t="s">
        <v>25</v>
      </c>
      <c r="CU9" s="30" t="s">
        <v>25</v>
      </c>
    </row>
    <row r="10" spans="1:101" x14ac:dyDescent="0.35">
      <c r="A10" s="29" t="s">
        <v>752</v>
      </c>
      <c r="B10" s="30" t="s">
        <v>25</v>
      </c>
      <c r="C10" s="30" t="s">
        <v>25</v>
      </c>
      <c r="D10" s="30" t="s">
        <v>25</v>
      </c>
      <c r="E10" s="30" t="s">
        <v>25</v>
      </c>
      <c r="F10" s="30" t="s">
        <v>25</v>
      </c>
      <c r="G10" s="30" t="s">
        <v>25</v>
      </c>
      <c r="H10" s="30" t="s">
        <v>25</v>
      </c>
      <c r="I10" s="30" t="s">
        <v>25</v>
      </c>
      <c r="J10" s="30" t="s">
        <v>25</v>
      </c>
      <c r="K10" s="30" t="s">
        <v>25</v>
      </c>
      <c r="L10" s="30" t="s">
        <v>25</v>
      </c>
      <c r="M10" s="30" t="s">
        <v>25</v>
      </c>
      <c r="N10" s="30" t="s">
        <v>25</v>
      </c>
      <c r="O10" s="30" t="s">
        <v>25</v>
      </c>
      <c r="P10" s="30" t="s">
        <v>25</v>
      </c>
      <c r="Q10" s="30" t="s">
        <v>25</v>
      </c>
      <c r="R10" s="30" t="s">
        <v>25</v>
      </c>
      <c r="S10" s="30" t="s">
        <v>25</v>
      </c>
      <c r="T10" s="30" t="s">
        <v>25</v>
      </c>
      <c r="U10" s="30" t="s">
        <v>25</v>
      </c>
      <c r="V10" s="30" t="s">
        <v>25</v>
      </c>
      <c r="W10" s="30" t="s">
        <v>25</v>
      </c>
      <c r="X10" s="30" t="s">
        <v>25</v>
      </c>
      <c r="Y10" s="30" t="s">
        <v>25</v>
      </c>
      <c r="Z10" s="30" t="s">
        <v>25</v>
      </c>
      <c r="AA10" s="30" t="s">
        <v>25</v>
      </c>
      <c r="AB10" s="30" t="s">
        <v>25</v>
      </c>
      <c r="AC10" s="30" t="s">
        <v>25</v>
      </c>
      <c r="AD10" s="30" t="s">
        <v>25</v>
      </c>
      <c r="AE10" s="30" t="s">
        <v>25</v>
      </c>
      <c r="AF10" s="30" t="s">
        <v>25</v>
      </c>
      <c r="AG10" s="30" t="s">
        <v>25</v>
      </c>
      <c r="AH10" s="30" t="s">
        <v>25</v>
      </c>
      <c r="AI10" s="30" t="s">
        <v>25</v>
      </c>
      <c r="AJ10" s="30" t="s">
        <v>25</v>
      </c>
      <c r="AK10" s="30" t="s">
        <v>25</v>
      </c>
      <c r="AL10" s="30" t="s">
        <v>25</v>
      </c>
      <c r="AM10" s="30" t="s">
        <v>25</v>
      </c>
      <c r="AN10" s="30" t="s">
        <v>25</v>
      </c>
      <c r="AO10" s="30" t="s">
        <v>25</v>
      </c>
      <c r="AP10" s="30" t="s">
        <v>25</v>
      </c>
      <c r="AQ10" s="30" t="s">
        <v>25</v>
      </c>
      <c r="AR10" s="30" t="s">
        <v>25</v>
      </c>
      <c r="AS10" s="30" t="s">
        <v>25</v>
      </c>
      <c r="AT10" s="30" t="s">
        <v>25</v>
      </c>
      <c r="AU10" s="30" t="s">
        <v>25</v>
      </c>
      <c r="AV10" s="30" t="s">
        <v>25</v>
      </c>
      <c r="AW10" s="30" t="s">
        <v>25</v>
      </c>
      <c r="AX10" s="30" t="s">
        <v>25</v>
      </c>
      <c r="AY10" s="30" t="s">
        <v>25</v>
      </c>
      <c r="AZ10" s="30" t="s">
        <v>25</v>
      </c>
      <c r="BA10" s="30" t="s">
        <v>25</v>
      </c>
      <c r="BB10" s="30" t="s">
        <v>25</v>
      </c>
      <c r="BC10" s="30" t="s">
        <v>25</v>
      </c>
      <c r="BD10" s="30" t="s">
        <v>25</v>
      </c>
      <c r="BE10" s="30" t="s">
        <v>25</v>
      </c>
      <c r="BF10" s="30" t="s">
        <v>25</v>
      </c>
      <c r="BG10" s="30" t="s">
        <v>25</v>
      </c>
      <c r="BH10" s="30" t="s">
        <v>25</v>
      </c>
      <c r="BI10" s="30" t="s">
        <v>25</v>
      </c>
      <c r="BJ10" s="30" t="s">
        <v>25</v>
      </c>
      <c r="BK10" s="30" t="s">
        <v>25</v>
      </c>
      <c r="BL10" s="30" t="s">
        <v>25</v>
      </c>
      <c r="BM10" s="30" t="s">
        <v>25</v>
      </c>
      <c r="BN10" s="30" t="s">
        <v>25</v>
      </c>
      <c r="BO10" s="30" t="s">
        <v>25</v>
      </c>
      <c r="BP10" s="30" t="s">
        <v>25</v>
      </c>
      <c r="BQ10" s="30" t="s">
        <v>25</v>
      </c>
      <c r="BR10" s="30" t="s">
        <v>25</v>
      </c>
      <c r="BS10" s="30" t="s">
        <v>25</v>
      </c>
      <c r="BT10" s="30" t="s">
        <v>25</v>
      </c>
      <c r="BU10" s="30" t="s">
        <v>25</v>
      </c>
      <c r="BV10" s="30" t="s">
        <v>25</v>
      </c>
      <c r="BW10" s="30" t="s">
        <v>25</v>
      </c>
      <c r="BX10" s="30" t="s">
        <v>25</v>
      </c>
      <c r="BY10" s="30" t="s">
        <v>25</v>
      </c>
      <c r="BZ10" s="30" t="s">
        <v>25</v>
      </c>
      <c r="CA10" s="30" t="s">
        <v>25</v>
      </c>
      <c r="CB10" s="30" t="s">
        <v>25</v>
      </c>
      <c r="CC10" s="30" t="s">
        <v>25</v>
      </c>
      <c r="CD10" s="30" t="s">
        <v>25</v>
      </c>
      <c r="CE10" s="30" t="s">
        <v>25</v>
      </c>
      <c r="CF10" s="30" t="s">
        <v>25</v>
      </c>
      <c r="CG10" s="30" t="s">
        <v>25</v>
      </c>
      <c r="CH10" s="30" t="s">
        <v>25</v>
      </c>
      <c r="CI10" s="30" t="s">
        <v>25</v>
      </c>
      <c r="CJ10" s="30" t="s">
        <v>25</v>
      </c>
      <c r="CK10" s="30" t="s">
        <v>25</v>
      </c>
      <c r="CL10" s="30" t="s">
        <v>25</v>
      </c>
      <c r="CM10" s="30" t="s">
        <v>25</v>
      </c>
      <c r="CN10" s="30" t="s">
        <v>25</v>
      </c>
      <c r="CO10" s="30" t="s">
        <v>25</v>
      </c>
      <c r="CP10" s="30" t="s">
        <v>25</v>
      </c>
      <c r="CQ10" s="30" t="s">
        <v>25</v>
      </c>
      <c r="CR10" s="30" t="s">
        <v>25</v>
      </c>
      <c r="CS10" s="30" t="s">
        <v>25</v>
      </c>
      <c r="CT10" s="30" t="s">
        <v>25</v>
      </c>
      <c r="CU10" s="30" t="s">
        <v>25</v>
      </c>
    </row>
    <row r="11" spans="1:101" x14ac:dyDescent="0.35">
      <c r="A11" s="29" t="s">
        <v>753</v>
      </c>
      <c r="B11" s="30" t="s">
        <v>25</v>
      </c>
      <c r="C11" s="30" t="s">
        <v>25</v>
      </c>
      <c r="D11" s="30" t="s">
        <v>25</v>
      </c>
      <c r="E11" s="30" t="s">
        <v>25</v>
      </c>
      <c r="F11" s="30" t="s">
        <v>25</v>
      </c>
      <c r="G11" s="30" t="s">
        <v>25</v>
      </c>
      <c r="H11" s="30" t="s">
        <v>25</v>
      </c>
      <c r="I11" s="30" t="s">
        <v>25</v>
      </c>
      <c r="J11" s="30" t="s">
        <v>25</v>
      </c>
      <c r="K11" s="30" t="s">
        <v>25</v>
      </c>
      <c r="L11" s="30" t="s">
        <v>25</v>
      </c>
      <c r="M11" s="30" t="s">
        <v>25</v>
      </c>
      <c r="N11" s="30" t="s">
        <v>25</v>
      </c>
      <c r="O11" s="30" t="s">
        <v>25</v>
      </c>
      <c r="P11" s="30" t="s">
        <v>25</v>
      </c>
      <c r="Q11" s="30" t="s">
        <v>25</v>
      </c>
      <c r="R11" s="30" t="s">
        <v>25</v>
      </c>
      <c r="S11" s="30" t="s">
        <v>25</v>
      </c>
      <c r="T11" s="30" t="s">
        <v>25</v>
      </c>
      <c r="U11" s="30" t="s">
        <v>25</v>
      </c>
      <c r="V11" s="30" t="s">
        <v>25</v>
      </c>
      <c r="W11" s="30" t="s">
        <v>25</v>
      </c>
      <c r="X11" s="30" t="s">
        <v>25</v>
      </c>
      <c r="Y11" s="30" t="s">
        <v>25</v>
      </c>
      <c r="Z11" s="30" t="s">
        <v>25</v>
      </c>
      <c r="AA11" s="30" t="s">
        <v>25</v>
      </c>
      <c r="AB11" s="30" t="s">
        <v>25</v>
      </c>
      <c r="AC11" s="30" t="s">
        <v>25</v>
      </c>
      <c r="AD11" s="30" t="s">
        <v>25</v>
      </c>
      <c r="AE11" s="30" t="s">
        <v>25</v>
      </c>
      <c r="AF11" s="30" t="s">
        <v>25</v>
      </c>
      <c r="AG11" s="30" t="s">
        <v>25</v>
      </c>
      <c r="AH11" s="30" t="s">
        <v>25</v>
      </c>
      <c r="AI11" s="30" t="s">
        <v>25</v>
      </c>
      <c r="AJ11" s="30" t="s">
        <v>25</v>
      </c>
      <c r="AK11" s="30" t="s">
        <v>25</v>
      </c>
      <c r="AL11" s="30" t="s">
        <v>25</v>
      </c>
      <c r="AM11" s="32" t="s">
        <v>29</v>
      </c>
      <c r="AN11" s="30" t="s">
        <v>25</v>
      </c>
      <c r="AO11" s="32" t="s">
        <v>29</v>
      </c>
      <c r="AP11" s="30" t="s">
        <v>25</v>
      </c>
      <c r="AQ11" s="32" t="s">
        <v>29</v>
      </c>
      <c r="AR11" s="30" t="s">
        <v>25</v>
      </c>
      <c r="AS11" s="32" t="s">
        <v>29</v>
      </c>
      <c r="AT11" s="30" t="s">
        <v>25</v>
      </c>
      <c r="AU11" s="32" t="s">
        <v>29</v>
      </c>
      <c r="AV11" s="30" t="s">
        <v>25</v>
      </c>
      <c r="AW11" s="30" t="s">
        <v>25</v>
      </c>
      <c r="AX11" s="30" t="s">
        <v>25</v>
      </c>
      <c r="AY11" s="32" t="s">
        <v>29</v>
      </c>
      <c r="AZ11" s="32" t="s">
        <v>29</v>
      </c>
      <c r="BA11" s="30" t="s">
        <v>25</v>
      </c>
      <c r="BB11" s="30" t="s">
        <v>25</v>
      </c>
      <c r="BC11" s="30" t="s">
        <v>25</v>
      </c>
      <c r="BD11" s="32" t="s">
        <v>29</v>
      </c>
      <c r="BE11" s="30" t="s">
        <v>25</v>
      </c>
      <c r="BF11" s="30" t="s">
        <v>25</v>
      </c>
      <c r="BG11" s="30" t="s">
        <v>25</v>
      </c>
      <c r="BH11" s="32" t="s">
        <v>29</v>
      </c>
      <c r="BI11" s="30" t="s">
        <v>25</v>
      </c>
      <c r="BJ11" s="30" t="s">
        <v>25</v>
      </c>
      <c r="BK11" s="31" t="s">
        <v>31</v>
      </c>
      <c r="BL11" s="30" t="s">
        <v>25</v>
      </c>
      <c r="BM11" s="32" t="s">
        <v>29</v>
      </c>
      <c r="BN11" s="30" t="s">
        <v>25</v>
      </c>
      <c r="BO11" s="32" t="s">
        <v>29</v>
      </c>
      <c r="BP11" s="30" t="s">
        <v>25</v>
      </c>
      <c r="BQ11" s="32" t="s">
        <v>29</v>
      </c>
      <c r="BR11" s="32" t="s">
        <v>29</v>
      </c>
      <c r="BS11" s="38" t="s">
        <v>29</v>
      </c>
      <c r="BT11" s="32" t="s">
        <v>29</v>
      </c>
      <c r="BU11" s="30" t="s">
        <v>25</v>
      </c>
      <c r="BV11" s="32" t="s">
        <v>29</v>
      </c>
      <c r="BW11" s="37" t="s">
        <v>27</v>
      </c>
      <c r="BX11" s="32" t="s">
        <v>29</v>
      </c>
      <c r="BY11" s="30" t="s">
        <v>25</v>
      </c>
      <c r="BZ11" s="32" t="s">
        <v>29</v>
      </c>
      <c r="CA11" s="40" t="s">
        <v>25</v>
      </c>
      <c r="CB11" s="30" t="s">
        <v>25</v>
      </c>
      <c r="CC11" s="30" t="s">
        <v>25</v>
      </c>
      <c r="CD11" s="32" t="s">
        <v>29</v>
      </c>
      <c r="CE11" s="32" t="s">
        <v>29</v>
      </c>
      <c r="CF11" s="30" t="s">
        <v>25</v>
      </c>
      <c r="CG11" s="30" t="s">
        <v>25</v>
      </c>
      <c r="CH11" s="32" t="s">
        <v>29</v>
      </c>
      <c r="CI11" s="30" t="s">
        <v>25</v>
      </c>
      <c r="CJ11" s="32" t="s">
        <v>29</v>
      </c>
      <c r="CK11" s="30" t="s">
        <v>25</v>
      </c>
      <c r="CL11" s="32" t="s">
        <v>29</v>
      </c>
      <c r="CM11" s="30" t="s">
        <v>25</v>
      </c>
      <c r="CN11" s="32" t="s">
        <v>29</v>
      </c>
      <c r="CO11" s="30" t="s">
        <v>25</v>
      </c>
      <c r="CP11" s="32" t="s">
        <v>29</v>
      </c>
      <c r="CQ11" s="30" t="s">
        <v>25</v>
      </c>
      <c r="CR11" s="32" t="s">
        <v>29</v>
      </c>
      <c r="CS11" s="30" t="s">
        <v>25</v>
      </c>
      <c r="CT11" s="32" t="s">
        <v>29</v>
      </c>
      <c r="CU11" s="30" t="s">
        <v>25</v>
      </c>
    </row>
    <row r="12" spans="1:101" x14ac:dyDescent="0.35">
      <c r="A12" s="29" t="s">
        <v>754</v>
      </c>
      <c r="B12" s="32" t="s">
        <v>29</v>
      </c>
      <c r="C12" s="32" t="s">
        <v>29</v>
      </c>
      <c r="D12" s="32" t="s">
        <v>29</v>
      </c>
      <c r="E12" s="32" t="s">
        <v>29</v>
      </c>
      <c r="F12" s="32" t="s">
        <v>29</v>
      </c>
      <c r="G12" s="32" t="s">
        <v>29</v>
      </c>
      <c r="H12" s="32" t="s">
        <v>29</v>
      </c>
      <c r="I12" s="32" t="s">
        <v>29</v>
      </c>
      <c r="J12" s="32" t="s">
        <v>29</v>
      </c>
      <c r="K12" s="32" t="s">
        <v>29</v>
      </c>
      <c r="L12" s="32" t="s">
        <v>29</v>
      </c>
      <c r="M12" s="32" t="s">
        <v>29</v>
      </c>
      <c r="N12" s="32" t="s">
        <v>29</v>
      </c>
      <c r="O12" s="32" t="s">
        <v>29</v>
      </c>
      <c r="P12" s="32" t="s">
        <v>29</v>
      </c>
      <c r="Q12" s="32" t="s">
        <v>29</v>
      </c>
      <c r="R12" s="32" t="s">
        <v>29</v>
      </c>
      <c r="S12" s="32" t="s">
        <v>29</v>
      </c>
      <c r="T12" s="32" t="s">
        <v>29</v>
      </c>
      <c r="U12" s="32" t="s">
        <v>29</v>
      </c>
      <c r="V12" s="32" t="s">
        <v>29</v>
      </c>
      <c r="W12" s="32" t="s">
        <v>29</v>
      </c>
      <c r="X12" s="32" t="s">
        <v>29</v>
      </c>
      <c r="Y12" s="32" t="s">
        <v>29</v>
      </c>
      <c r="Z12" s="32" t="s">
        <v>29</v>
      </c>
      <c r="AA12" s="32" t="s">
        <v>29</v>
      </c>
      <c r="AB12" s="32" t="s">
        <v>29</v>
      </c>
      <c r="AC12" s="32" t="s">
        <v>29</v>
      </c>
      <c r="AD12" s="32" t="s">
        <v>29</v>
      </c>
      <c r="AE12" s="32" t="s">
        <v>29</v>
      </c>
      <c r="AF12" s="32" t="s">
        <v>29</v>
      </c>
      <c r="AG12" s="32" t="s">
        <v>29</v>
      </c>
      <c r="AH12" s="32" t="s">
        <v>29</v>
      </c>
      <c r="AI12" s="32" t="s">
        <v>29</v>
      </c>
      <c r="AJ12" s="32" t="s">
        <v>29</v>
      </c>
      <c r="AK12" s="30" t="s">
        <v>25</v>
      </c>
      <c r="AL12" s="32" t="s">
        <v>29</v>
      </c>
      <c r="AM12" s="30" t="s">
        <v>25</v>
      </c>
      <c r="AN12" s="32" t="s">
        <v>29</v>
      </c>
      <c r="AO12" s="32" t="s">
        <v>29</v>
      </c>
      <c r="AP12" s="32" t="s">
        <v>29</v>
      </c>
      <c r="AQ12" s="32" t="s">
        <v>29</v>
      </c>
      <c r="AR12" s="32" t="s">
        <v>29</v>
      </c>
      <c r="AS12" s="32" t="s">
        <v>29</v>
      </c>
      <c r="AT12" s="32" t="s">
        <v>29</v>
      </c>
      <c r="AU12" s="30" t="s">
        <v>25</v>
      </c>
      <c r="AV12" s="32" t="s">
        <v>29</v>
      </c>
      <c r="AW12" s="32" t="s">
        <v>29</v>
      </c>
      <c r="AX12" s="32" t="s">
        <v>29</v>
      </c>
      <c r="AY12" s="32" t="s">
        <v>29</v>
      </c>
      <c r="AZ12" s="30" t="s">
        <v>25</v>
      </c>
      <c r="BA12" s="32" t="s">
        <v>29</v>
      </c>
      <c r="BB12" s="32" t="s">
        <v>29</v>
      </c>
      <c r="BC12" s="30" t="s">
        <v>25</v>
      </c>
      <c r="BD12" s="32" t="s">
        <v>29</v>
      </c>
      <c r="BE12" s="32" t="s">
        <v>29</v>
      </c>
      <c r="BF12" s="32" t="s">
        <v>29</v>
      </c>
      <c r="BG12" s="32" t="s">
        <v>29</v>
      </c>
      <c r="BH12" s="30" t="s">
        <v>25</v>
      </c>
      <c r="BI12" s="32" t="s">
        <v>29</v>
      </c>
      <c r="BJ12" s="32" t="s">
        <v>29</v>
      </c>
      <c r="BK12" s="32" t="s">
        <v>29</v>
      </c>
      <c r="BL12" s="32" t="s">
        <v>29</v>
      </c>
      <c r="BM12" s="32" t="s">
        <v>29</v>
      </c>
      <c r="BN12" s="32" t="s">
        <v>29</v>
      </c>
      <c r="BO12" s="32" t="s">
        <v>29</v>
      </c>
      <c r="BP12" s="32" t="s">
        <v>29</v>
      </c>
      <c r="BQ12" s="32" t="s">
        <v>29</v>
      </c>
      <c r="BR12" s="32" t="s">
        <v>29</v>
      </c>
      <c r="BS12" s="32" t="s">
        <v>29</v>
      </c>
      <c r="BT12" s="32" t="s">
        <v>29</v>
      </c>
      <c r="BU12" s="32" t="s">
        <v>29</v>
      </c>
      <c r="BV12" s="30" t="s">
        <v>25</v>
      </c>
      <c r="BW12" s="32" t="s">
        <v>29</v>
      </c>
      <c r="BX12" s="30" t="s">
        <v>25</v>
      </c>
      <c r="BY12" s="32" t="s">
        <v>29</v>
      </c>
      <c r="BZ12" s="32" t="s">
        <v>29</v>
      </c>
      <c r="CA12" s="32" t="s">
        <v>29</v>
      </c>
      <c r="CB12" s="32" t="s">
        <v>29</v>
      </c>
      <c r="CC12" s="32" t="s">
        <v>29</v>
      </c>
      <c r="CD12" s="32" t="s">
        <v>29</v>
      </c>
      <c r="CE12" s="32" t="s">
        <v>29</v>
      </c>
      <c r="CF12" s="32"/>
      <c r="CG12" s="32" t="s">
        <v>29</v>
      </c>
      <c r="CH12" s="32" t="s">
        <v>29</v>
      </c>
      <c r="CI12" s="32" t="s">
        <v>29</v>
      </c>
      <c r="CJ12" s="30" t="s">
        <v>25</v>
      </c>
      <c r="CK12" s="32" t="s">
        <v>29</v>
      </c>
      <c r="CL12" s="32" t="s">
        <v>29</v>
      </c>
      <c r="CM12" s="32" t="s">
        <v>29</v>
      </c>
      <c r="CN12" s="32" t="s">
        <v>29</v>
      </c>
      <c r="CO12" s="32" t="s">
        <v>29</v>
      </c>
      <c r="CP12" s="32" t="s">
        <v>29</v>
      </c>
      <c r="CQ12" s="32" t="s">
        <v>29</v>
      </c>
      <c r="CR12" s="32" t="s">
        <v>29</v>
      </c>
      <c r="CS12" s="32" t="s">
        <v>29</v>
      </c>
      <c r="CT12" s="32" t="s">
        <v>29</v>
      </c>
      <c r="CU12" s="32" t="s">
        <v>29</v>
      </c>
    </row>
    <row r="13" spans="1:101" x14ac:dyDescent="0.35">
      <c r="A13" s="29" t="s">
        <v>755</v>
      </c>
      <c r="B13" s="30" t="s">
        <v>25</v>
      </c>
      <c r="C13" s="30" t="s">
        <v>25</v>
      </c>
      <c r="D13" s="30" t="s">
        <v>25</v>
      </c>
      <c r="E13" s="30" t="s">
        <v>25</v>
      </c>
      <c r="F13" s="30" t="s">
        <v>25</v>
      </c>
      <c r="G13" s="30" t="s">
        <v>25</v>
      </c>
      <c r="H13" s="30" t="s">
        <v>25</v>
      </c>
      <c r="I13" s="30" t="s">
        <v>25</v>
      </c>
      <c r="J13" s="30" t="s">
        <v>25</v>
      </c>
      <c r="K13" s="30" t="s">
        <v>25</v>
      </c>
      <c r="L13" s="30" t="s">
        <v>25</v>
      </c>
      <c r="M13" s="30" t="s">
        <v>25</v>
      </c>
      <c r="N13" s="30" t="s">
        <v>25</v>
      </c>
      <c r="O13" s="30" t="s">
        <v>25</v>
      </c>
      <c r="P13" s="30" t="s">
        <v>25</v>
      </c>
      <c r="Q13" s="30" t="s">
        <v>25</v>
      </c>
      <c r="R13" s="30" t="s">
        <v>25</v>
      </c>
      <c r="S13" s="30" t="s">
        <v>25</v>
      </c>
      <c r="T13" s="30" t="s">
        <v>25</v>
      </c>
      <c r="U13" s="30" t="s">
        <v>25</v>
      </c>
      <c r="V13" s="30" t="s">
        <v>25</v>
      </c>
      <c r="W13" s="30" t="s">
        <v>25</v>
      </c>
      <c r="X13" s="30" t="s">
        <v>25</v>
      </c>
      <c r="Y13" s="30" t="s">
        <v>25</v>
      </c>
      <c r="Z13" s="30" t="s">
        <v>25</v>
      </c>
      <c r="AA13" s="30" t="s">
        <v>25</v>
      </c>
      <c r="AB13" s="30" t="s">
        <v>25</v>
      </c>
      <c r="AC13" s="30" t="s">
        <v>25</v>
      </c>
      <c r="AD13" s="30" t="s">
        <v>25</v>
      </c>
      <c r="AE13" s="30" t="s">
        <v>25</v>
      </c>
      <c r="AF13" s="30" t="s">
        <v>25</v>
      </c>
      <c r="AG13" s="30" t="s">
        <v>25</v>
      </c>
      <c r="AH13" s="30" t="s">
        <v>25</v>
      </c>
      <c r="AI13" s="30" t="s">
        <v>25</v>
      </c>
      <c r="AJ13" s="30" t="s">
        <v>25</v>
      </c>
      <c r="AK13" s="32" t="s">
        <v>29</v>
      </c>
      <c r="AL13" s="30" t="s">
        <v>25</v>
      </c>
      <c r="AM13" s="32" t="s">
        <v>29</v>
      </c>
      <c r="AN13" s="30" t="s">
        <v>25</v>
      </c>
      <c r="AO13" s="30" t="s">
        <v>25</v>
      </c>
      <c r="AP13" s="30" t="s">
        <v>25</v>
      </c>
      <c r="AQ13" s="30" t="s">
        <v>25</v>
      </c>
      <c r="AR13" s="30" t="s">
        <v>25</v>
      </c>
      <c r="AS13" s="30" t="s">
        <v>25</v>
      </c>
      <c r="AT13" s="30" t="s">
        <v>25</v>
      </c>
      <c r="AU13" s="32" t="s">
        <v>29</v>
      </c>
      <c r="AV13" s="30" t="s">
        <v>25</v>
      </c>
      <c r="AW13" s="30" t="s">
        <v>25</v>
      </c>
      <c r="AX13" s="30" t="s">
        <v>25</v>
      </c>
      <c r="AY13" s="30" t="s">
        <v>25</v>
      </c>
      <c r="AZ13" s="32" t="s">
        <v>29</v>
      </c>
      <c r="BA13" s="30" t="s">
        <v>25</v>
      </c>
      <c r="BB13" s="30" t="s">
        <v>25</v>
      </c>
      <c r="BC13" s="32" t="s">
        <v>29</v>
      </c>
      <c r="BD13" s="30" t="s">
        <v>25</v>
      </c>
      <c r="BE13" s="30" t="s">
        <v>25</v>
      </c>
      <c r="BF13" s="30" t="s">
        <v>25</v>
      </c>
      <c r="BG13" s="30" t="s">
        <v>25</v>
      </c>
      <c r="BH13" s="32" t="s">
        <v>29</v>
      </c>
      <c r="BI13" s="30" t="s">
        <v>25</v>
      </c>
      <c r="BJ13" s="30" t="s">
        <v>25</v>
      </c>
      <c r="BK13" s="30" t="s">
        <v>25</v>
      </c>
      <c r="BL13" s="30" t="s">
        <v>25</v>
      </c>
      <c r="BM13" s="30" t="s">
        <v>25</v>
      </c>
      <c r="BN13" s="30" t="s">
        <v>25</v>
      </c>
      <c r="BO13" s="30" t="s">
        <v>25</v>
      </c>
      <c r="BP13" s="30" t="s">
        <v>25</v>
      </c>
      <c r="BQ13" s="30" t="s">
        <v>25</v>
      </c>
      <c r="BR13" s="30" t="s">
        <v>25</v>
      </c>
      <c r="BS13" s="30" t="s">
        <v>25</v>
      </c>
      <c r="BT13" s="30" t="s">
        <v>25</v>
      </c>
      <c r="BU13" s="30" t="s">
        <v>25</v>
      </c>
      <c r="BV13" s="32" t="s">
        <v>29</v>
      </c>
      <c r="BW13" s="30" t="s">
        <v>25</v>
      </c>
      <c r="BX13" s="32" t="s">
        <v>29</v>
      </c>
      <c r="BY13" s="30" t="s">
        <v>25</v>
      </c>
      <c r="BZ13" s="30" t="s">
        <v>25</v>
      </c>
      <c r="CA13" s="30" t="s">
        <v>25</v>
      </c>
      <c r="CB13" s="30" t="s">
        <v>25</v>
      </c>
      <c r="CC13" s="30" t="s">
        <v>25</v>
      </c>
      <c r="CD13" s="30" t="s">
        <v>25</v>
      </c>
      <c r="CE13" s="30" t="s">
        <v>25</v>
      </c>
      <c r="CF13" s="30" t="s">
        <v>25</v>
      </c>
      <c r="CG13" s="30" t="s">
        <v>25</v>
      </c>
      <c r="CH13" s="30" t="s">
        <v>25</v>
      </c>
      <c r="CI13" s="30" t="s">
        <v>25</v>
      </c>
      <c r="CJ13" s="32" t="s">
        <v>29</v>
      </c>
      <c r="CK13" s="30" t="s">
        <v>25</v>
      </c>
      <c r="CL13" s="30" t="s">
        <v>25</v>
      </c>
      <c r="CM13" s="30" t="s">
        <v>25</v>
      </c>
      <c r="CN13" s="30" t="s">
        <v>25</v>
      </c>
      <c r="CO13" s="30" t="s">
        <v>25</v>
      </c>
      <c r="CP13" s="30" t="s">
        <v>25</v>
      </c>
      <c r="CQ13" s="30" t="s">
        <v>25</v>
      </c>
      <c r="CR13" s="30" t="s">
        <v>25</v>
      </c>
      <c r="CS13" s="30" t="s">
        <v>25</v>
      </c>
      <c r="CT13" s="30" t="s">
        <v>25</v>
      </c>
      <c r="CU13" s="30" t="s">
        <v>25</v>
      </c>
    </row>
    <row r="14" spans="1:101" x14ac:dyDescent="0.35">
      <c r="A14" s="29" t="s">
        <v>756</v>
      </c>
      <c r="B14" s="30" t="s">
        <v>25</v>
      </c>
      <c r="C14" s="30" t="s">
        <v>25</v>
      </c>
      <c r="D14" s="30" t="s">
        <v>25</v>
      </c>
      <c r="E14" s="30" t="s">
        <v>25</v>
      </c>
      <c r="F14" s="30" t="s">
        <v>25</v>
      </c>
      <c r="G14" s="30" t="s">
        <v>25</v>
      </c>
      <c r="H14" s="30" t="s">
        <v>25</v>
      </c>
      <c r="I14" s="30" t="s">
        <v>25</v>
      </c>
      <c r="J14" s="30" t="s">
        <v>25</v>
      </c>
      <c r="K14" s="30" t="s">
        <v>25</v>
      </c>
      <c r="L14" s="30" t="s">
        <v>25</v>
      </c>
      <c r="M14" s="30" t="s">
        <v>25</v>
      </c>
      <c r="N14" s="30" t="s">
        <v>25</v>
      </c>
      <c r="O14" s="30" t="s">
        <v>25</v>
      </c>
      <c r="P14" s="30" t="s">
        <v>25</v>
      </c>
      <c r="Q14" s="30" t="s">
        <v>25</v>
      </c>
      <c r="R14" s="30" t="s">
        <v>25</v>
      </c>
      <c r="S14" s="30" t="s">
        <v>25</v>
      </c>
      <c r="T14" s="30" t="s">
        <v>25</v>
      </c>
      <c r="U14" s="30" t="s">
        <v>25</v>
      </c>
      <c r="V14" s="30" t="s">
        <v>25</v>
      </c>
      <c r="W14" s="30" t="s">
        <v>25</v>
      </c>
      <c r="X14" s="30" t="s">
        <v>25</v>
      </c>
      <c r="Y14" s="30" t="s">
        <v>25</v>
      </c>
      <c r="Z14" s="30" t="s">
        <v>25</v>
      </c>
      <c r="AA14" s="30" t="s">
        <v>25</v>
      </c>
      <c r="AB14" s="30" t="s">
        <v>25</v>
      </c>
      <c r="AC14" s="30" t="s">
        <v>25</v>
      </c>
      <c r="AD14" s="30" t="s">
        <v>25</v>
      </c>
      <c r="AE14" s="30" t="s">
        <v>25</v>
      </c>
      <c r="AF14" s="30" t="s">
        <v>25</v>
      </c>
      <c r="AG14" s="30" t="s">
        <v>25</v>
      </c>
      <c r="AH14" s="30" t="s">
        <v>25</v>
      </c>
      <c r="AI14" s="30" t="s">
        <v>25</v>
      </c>
      <c r="AJ14" s="30" t="s">
        <v>25</v>
      </c>
      <c r="AK14" s="32" t="s">
        <v>29</v>
      </c>
      <c r="AL14" s="30" t="s">
        <v>25</v>
      </c>
      <c r="AM14" s="32" t="s">
        <v>29</v>
      </c>
      <c r="AN14" s="30" t="s">
        <v>25</v>
      </c>
      <c r="AO14" s="30" t="s">
        <v>25</v>
      </c>
      <c r="AP14" s="30" t="s">
        <v>25</v>
      </c>
      <c r="AQ14" s="30" t="s">
        <v>25</v>
      </c>
      <c r="AR14" s="30" t="s">
        <v>25</v>
      </c>
      <c r="AS14" s="30" t="s">
        <v>25</v>
      </c>
      <c r="AT14" s="30" t="s">
        <v>25</v>
      </c>
      <c r="AU14" s="32" t="s">
        <v>29</v>
      </c>
      <c r="AV14" s="30" t="s">
        <v>25</v>
      </c>
      <c r="AW14" s="30" t="s">
        <v>25</v>
      </c>
      <c r="AX14" s="30" t="s">
        <v>25</v>
      </c>
      <c r="AY14" s="30" t="s">
        <v>25</v>
      </c>
      <c r="AZ14" s="32" t="s">
        <v>29</v>
      </c>
      <c r="BA14" s="30" t="s">
        <v>25</v>
      </c>
      <c r="BB14" s="30" t="s">
        <v>25</v>
      </c>
      <c r="BC14" s="32" t="s">
        <v>29</v>
      </c>
      <c r="BD14" s="30" t="s">
        <v>25</v>
      </c>
      <c r="BE14" s="30" t="s">
        <v>25</v>
      </c>
      <c r="BF14" s="30" t="s">
        <v>25</v>
      </c>
      <c r="BG14" s="30" t="s">
        <v>25</v>
      </c>
      <c r="BH14" s="32" t="s">
        <v>29</v>
      </c>
      <c r="BI14" s="30" t="s">
        <v>25</v>
      </c>
      <c r="BJ14" s="30" t="s">
        <v>25</v>
      </c>
      <c r="BK14" s="30" t="s">
        <v>25</v>
      </c>
      <c r="BL14" s="30" t="s">
        <v>25</v>
      </c>
      <c r="BM14" s="30" t="s">
        <v>25</v>
      </c>
      <c r="BN14" s="30" t="s">
        <v>25</v>
      </c>
      <c r="BO14" s="30" t="s">
        <v>25</v>
      </c>
      <c r="BP14" s="30" t="s">
        <v>25</v>
      </c>
      <c r="BQ14" s="30" t="s">
        <v>25</v>
      </c>
      <c r="BR14" s="30" t="s">
        <v>25</v>
      </c>
      <c r="BS14" s="30" t="s">
        <v>25</v>
      </c>
      <c r="BT14" s="30" t="s">
        <v>25</v>
      </c>
      <c r="BU14" s="30" t="s">
        <v>25</v>
      </c>
      <c r="BV14" s="32" t="s">
        <v>29</v>
      </c>
      <c r="BW14" s="30" t="s">
        <v>25</v>
      </c>
      <c r="BX14" s="32" t="s">
        <v>29</v>
      </c>
      <c r="BY14" s="30" t="s">
        <v>25</v>
      </c>
      <c r="BZ14" s="30" t="s">
        <v>25</v>
      </c>
      <c r="CA14" s="30" t="s">
        <v>25</v>
      </c>
      <c r="CB14" s="30" t="s">
        <v>25</v>
      </c>
      <c r="CC14" s="30" t="s">
        <v>25</v>
      </c>
      <c r="CD14" s="30" t="s">
        <v>25</v>
      </c>
      <c r="CE14" s="30" t="s">
        <v>25</v>
      </c>
      <c r="CF14" s="30" t="s">
        <v>25</v>
      </c>
      <c r="CG14" s="30" t="s">
        <v>25</v>
      </c>
      <c r="CH14" s="30" t="s">
        <v>25</v>
      </c>
      <c r="CI14" s="30" t="s">
        <v>25</v>
      </c>
      <c r="CJ14" s="32" t="s">
        <v>29</v>
      </c>
      <c r="CK14" s="30" t="s">
        <v>25</v>
      </c>
      <c r="CL14" s="30" t="s">
        <v>25</v>
      </c>
      <c r="CM14" s="30" t="s">
        <v>25</v>
      </c>
      <c r="CN14" s="30" t="s">
        <v>25</v>
      </c>
      <c r="CO14" s="30" t="s">
        <v>25</v>
      </c>
      <c r="CP14" s="30" t="s">
        <v>25</v>
      </c>
      <c r="CQ14" s="30" t="s">
        <v>25</v>
      </c>
      <c r="CR14" s="30" t="s">
        <v>25</v>
      </c>
      <c r="CS14" s="30" t="s">
        <v>25</v>
      </c>
      <c r="CT14" s="30" t="s">
        <v>25</v>
      </c>
      <c r="CU14" s="30" t="s">
        <v>25</v>
      </c>
    </row>
    <row r="15" spans="1:101" x14ac:dyDescent="0.35">
      <c r="A15" s="29" t="s">
        <v>757</v>
      </c>
      <c r="B15" s="30" t="s">
        <v>25</v>
      </c>
      <c r="C15" s="30" t="s">
        <v>25</v>
      </c>
      <c r="D15" s="30" t="s">
        <v>25</v>
      </c>
      <c r="E15" s="30" t="s">
        <v>25</v>
      </c>
      <c r="F15" s="30" t="s">
        <v>25</v>
      </c>
      <c r="G15" s="30" t="s">
        <v>25</v>
      </c>
      <c r="H15" s="30" t="s">
        <v>25</v>
      </c>
      <c r="I15" s="30" t="s">
        <v>25</v>
      </c>
      <c r="J15" s="30" t="s">
        <v>25</v>
      </c>
      <c r="K15" s="30" t="s">
        <v>25</v>
      </c>
      <c r="L15" s="30" t="s">
        <v>25</v>
      </c>
      <c r="M15" s="30" t="s">
        <v>25</v>
      </c>
      <c r="N15" s="30" t="s">
        <v>25</v>
      </c>
      <c r="O15" s="30" t="s">
        <v>25</v>
      </c>
      <c r="P15" s="30" t="s">
        <v>25</v>
      </c>
      <c r="Q15" s="30" t="s">
        <v>25</v>
      </c>
      <c r="R15" s="30" t="s">
        <v>25</v>
      </c>
      <c r="S15" s="30" t="s">
        <v>25</v>
      </c>
      <c r="T15" s="30" t="s">
        <v>25</v>
      </c>
      <c r="U15" s="30" t="s">
        <v>25</v>
      </c>
      <c r="V15" s="30" t="s">
        <v>25</v>
      </c>
      <c r="W15" s="30" t="s">
        <v>25</v>
      </c>
      <c r="X15" s="30" t="s">
        <v>25</v>
      </c>
      <c r="Y15" s="30" t="s">
        <v>25</v>
      </c>
      <c r="Z15" s="30" t="s">
        <v>25</v>
      </c>
      <c r="AA15" s="30" t="s">
        <v>25</v>
      </c>
      <c r="AB15" s="30" t="s">
        <v>25</v>
      </c>
      <c r="AC15" s="30" t="s">
        <v>25</v>
      </c>
      <c r="AD15" s="30" t="s">
        <v>25</v>
      </c>
      <c r="AE15" s="30" t="s">
        <v>25</v>
      </c>
      <c r="AF15" s="30" t="s">
        <v>25</v>
      </c>
      <c r="AG15" s="30" t="s">
        <v>25</v>
      </c>
      <c r="AH15" s="30" t="s">
        <v>25</v>
      </c>
      <c r="AI15" s="30" t="s">
        <v>25</v>
      </c>
      <c r="AJ15" s="30" t="s">
        <v>25</v>
      </c>
      <c r="AK15" s="30" t="s">
        <v>25</v>
      </c>
      <c r="AL15" s="30" t="s">
        <v>25</v>
      </c>
      <c r="AM15" s="30" t="s">
        <v>25</v>
      </c>
      <c r="AN15" s="30" t="s">
        <v>25</v>
      </c>
      <c r="AO15" s="30" t="s">
        <v>25</v>
      </c>
      <c r="AP15" s="30" t="s">
        <v>25</v>
      </c>
      <c r="AQ15" s="30" t="s">
        <v>25</v>
      </c>
      <c r="AR15" s="30" t="s">
        <v>25</v>
      </c>
      <c r="AS15" s="30" t="s">
        <v>25</v>
      </c>
      <c r="AT15" s="30" t="s">
        <v>25</v>
      </c>
      <c r="AU15" s="30" t="s">
        <v>25</v>
      </c>
      <c r="AV15" s="30" t="s">
        <v>25</v>
      </c>
      <c r="AW15" s="30" t="s">
        <v>25</v>
      </c>
      <c r="AX15" s="30" t="s">
        <v>25</v>
      </c>
      <c r="AY15" s="30" t="s">
        <v>25</v>
      </c>
      <c r="AZ15" s="30" t="s">
        <v>25</v>
      </c>
      <c r="BA15" s="30" t="s">
        <v>25</v>
      </c>
      <c r="BB15" s="30" t="s">
        <v>25</v>
      </c>
      <c r="BC15" s="30" t="s">
        <v>25</v>
      </c>
      <c r="BD15" s="30" t="s">
        <v>25</v>
      </c>
      <c r="BE15" s="30" t="s">
        <v>25</v>
      </c>
      <c r="BF15" s="30" t="s">
        <v>25</v>
      </c>
      <c r="BG15" s="30" t="s">
        <v>25</v>
      </c>
      <c r="BH15" s="30" t="s">
        <v>25</v>
      </c>
      <c r="BI15" s="30" t="s">
        <v>25</v>
      </c>
      <c r="BJ15" s="30" t="s">
        <v>25</v>
      </c>
      <c r="BK15" s="30" t="s">
        <v>25</v>
      </c>
      <c r="BL15" s="30" t="s">
        <v>25</v>
      </c>
      <c r="BM15" s="30" t="s">
        <v>25</v>
      </c>
      <c r="BN15" s="30" t="s">
        <v>25</v>
      </c>
      <c r="BO15" s="30" t="s">
        <v>25</v>
      </c>
      <c r="BP15" s="30" t="s">
        <v>25</v>
      </c>
      <c r="BQ15" s="30" t="s">
        <v>25</v>
      </c>
      <c r="BR15" s="30" t="s">
        <v>25</v>
      </c>
      <c r="BS15" s="30" t="s">
        <v>25</v>
      </c>
      <c r="BT15" s="30" t="s">
        <v>25</v>
      </c>
      <c r="BU15" s="30" t="s">
        <v>25</v>
      </c>
      <c r="BV15" s="39" t="s">
        <v>31</v>
      </c>
      <c r="BW15" s="31" t="s">
        <v>31</v>
      </c>
      <c r="BX15" s="30" t="s">
        <v>25</v>
      </c>
      <c r="BY15" s="30" t="s">
        <v>25</v>
      </c>
      <c r="BZ15" s="30" t="s">
        <v>25</v>
      </c>
      <c r="CA15" s="30" t="s">
        <v>25</v>
      </c>
      <c r="CB15" s="30" t="s">
        <v>25</v>
      </c>
      <c r="CC15" s="30" t="s">
        <v>25</v>
      </c>
      <c r="CD15" s="30" t="s">
        <v>25</v>
      </c>
      <c r="CE15" s="30" t="s">
        <v>25</v>
      </c>
      <c r="CF15" s="30"/>
      <c r="CG15" s="30" t="s">
        <v>25</v>
      </c>
      <c r="CH15" s="30" t="s">
        <v>25</v>
      </c>
      <c r="CI15" s="30" t="s">
        <v>25</v>
      </c>
      <c r="CJ15" s="30" t="s">
        <v>25</v>
      </c>
      <c r="CK15" s="30" t="s">
        <v>25</v>
      </c>
      <c r="CL15" s="30" t="s">
        <v>25</v>
      </c>
      <c r="CM15" s="30" t="s">
        <v>25</v>
      </c>
      <c r="CN15" s="30" t="s">
        <v>25</v>
      </c>
      <c r="CO15" s="30" t="s">
        <v>25</v>
      </c>
      <c r="CP15" s="30" t="s">
        <v>25</v>
      </c>
      <c r="CQ15" s="30" t="s">
        <v>25</v>
      </c>
      <c r="CR15" s="30" t="s">
        <v>25</v>
      </c>
      <c r="CS15" s="30" t="s">
        <v>25</v>
      </c>
      <c r="CT15" s="30" t="s">
        <v>25</v>
      </c>
      <c r="CU15" s="30" t="s">
        <v>25</v>
      </c>
    </row>
    <row r="16" spans="1:101" x14ac:dyDescent="0.35">
      <c r="A16" s="29" t="s">
        <v>758</v>
      </c>
      <c r="B16" s="30" t="s">
        <v>25</v>
      </c>
      <c r="C16" s="30" t="s">
        <v>25</v>
      </c>
      <c r="D16" s="30" t="s">
        <v>25</v>
      </c>
      <c r="E16" s="30" t="s">
        <v>25</v>
      </c>
      <c r="F16" s="30" t="s">
        <v>25</v>
      </c>
      <c r="G16" s="30" t="s">
        <v>25</v>
      </c>
      <c r="H16" s="30" t="s">
        <v>25</v>
      </c>
      <c r="I16" s="30" t="s">
        <v>25</v>
      </c>
      <c r="J16" s="30" t="s">
        <v>25</v>
      </c>
      <c r="K16" s="30" t="s">
        <v>25</v>
      </c>
      <c r="L16" s="30" t="s">
        <v>25</v>
      </c>
      <c r="M16" s="30" t="s">
        <v>25</v>
      </c>
      <c r="N16" s="30" t="s">
        <v>25</v>
      </c>
      <c r="O16" s="30" t="s">
        <v>25</v>
      </c>
      <c r="P16" s="30" t="s">
        <v>25</v>
      </c>
      <c r="Q16" s="30" t="s">
        <v>25</v>
      </c>
      <c r="R16" s="30" t="s">
        <v>25</v>
      </c>
      <c r="S16" s="30" t="s">
        <v>25</v>
      </c>
      <c r="T16" s="30" t="s">
        <v>25</v>
      </c>
      <c r="U16" s="30" t="s">
        <v>25</v>
      </c>
      <c r="V16" s="30" t="s">
        <v>25</v>
      </c>
      <c r="W16" s="30" t="s">
        <v>25</v>
      </c>
      <c r="X16" s="30" t="s">
        <v>25</v>
      </c>
      <c r="Y16" s="30" t="s">
        <v>25</v>
      </c>
      <c r="Z16" s="30" t="s">
        <v>25</v>
      </c>
      <c r="AA16" s="30" t="s">
        <v>25</v>
      </c>
      <c r="AB16" s="30" t="s">
        <v>25</v>
      </c>
      <c r="AC16" s="30" t="s">
        <v>25</v>
      </c>
      <c r="AD16" s="30" t="s">
        <v>25</v>
      </c>
      <c r="AE16" s="30" t="s">
        <v>25</v>
      </c>
      <c r="AF16" s="30" t="s">
        <v>25</v>
      </c>
      <c r="AG16" s="30" t="s">
        <v>25</v>
      </c>
      <c r="AH16" s="30" t="s">
        <v>25</v>
      </c>
      <c r="AI16" s="30" t="s">
        <v>25</v>
      </c>
      <c r="AJ16" s="30" t="s">
        <v>25</v>
      </c>
      <c r="AK16" s="30" t="s">
        <v>25</v>
      </c>
      <c r="AL16" s="30" t="s">
        <v>25</v>
      </c>
      <c r="AM16" s="30" t="s">
        <v>25</v>
      </c>
      <c r="AN16" s="30" t="s">
        <v>25</v>
      </c>
      <c r="AO16" s="30" t="s">
        <v>25</v>
      </c>
      <c r="AP16" s="30" t="s">
        <v>25</v>
      </c>
      <c r="AQ16" s="30" t="s">
        <v>25</v>
      </c>
      <c r="AR16" s="30" t="s">
        <v>25</v>
      </c>
      <c r="AS16" s="30" t="s">
        <v>25</v>
      </c>
      <c r="AT16" s="30" t="s">
        <v>25</v>
      </c>
      <c r="AU16" s="30" t="s">
        <v>25</v>
      </c>
      <c r="AV16" s="30" t="s">
        <v>25</v>
      </c>
      <c r="AW16" s="30" t="s">
        <v>25</v>
      </c>
      <c r="AX16" s="30" t="s">
        <v>25</v>
      </c>
      <c r="AY16" s="30" t="s">
        <v>25</v>
      </c>
      <c r="AZ16" s="30" t="s">
        <v>25</v>
      </c>
      <c r="BA16" s="30" t="s">
        <v>25</v>
      </c>
      <c r="BB16" s="30" t="s">
        <v>25</v>
      </c>
      <c r="BC16" s="30" t="s">
        <v>25</v>
      </c>
      <c r="BD16" s="30" t="s">
        <v>25</v>
      </c>
      <c r="BE16" s="30" t="s">
        <v>25</v>
      </c>
      <c r="BF16" s="30" t="s">
        <v>25</v>
      </c>
      <c r="BG16" s="30" t="s">
        <v>25</v>
      </c>
      <c r="BH16" s="30" t="s">
        <v>25</v>
      </c>
      <c r="BI16" s="30" t="s">
        <v>25</v>
      </c>
      <c r="BJ16" s="30" t="s">
        <v>25</v>
      </c>
      <c r="BK16" s="30" t="s">
        <v>25</v>
      </c>
      <c r="BL16" s="30" t="s">
        <v>25</v>
      </c>
      <c r="BM16" s="30" t="s">
        <v>25</v>
      </c>
      <c r="BN16" s="30" t="s">
        <v>25</v>
      </c>
      <c r="BO16" s="30" t="s">
        <v>25</v>
      </c>
      <c r="BP16" s="31" t="s">
        <v>31</v>
      </c>
      <c r="BQ16" s="30" t="s">
        <v>25</v>
      </c>
      <c r="BR16" s="31" t="s">
        <v>31</v>
      </c>
      <c r="BS16" s="30" t="s">
        <v>25</v>
      </c>
      <c r="BT16" s="30" t="s">
        <v>25</v>
      </c>
      <c r="BU16" s="33" t="s">
        <v>27</v>
      </c>
      <c r="BV16" s="31" t="s">
        <v>31</v>
      </c>
      <c r="BW16" s="31" t="s">
        <v>31</v>
      </c>
      <c r="BX16" s="31" t="s">
        <v>31</v>
      </c>
      <c r="BY16" s="31" t="s">
        <v>31</v>
      </c>
      <c r="BZ16" s="30" t="s">
        <v>25</v>
      </c>
      <c r="CA16" s="31" t="s">
        <v>31</v>
      </c>
      <c r="CB16" s="33" t="s">
        <v>27</v>
      </c>
      <c r="CC16" s="30" t="s">
        <v>25</v>
      </c>
      <c r="CD16" s="30" t="s">
        <v>25</v>
      </c>
      <c r="CE16" s="30" t="s">
        <v>25</v>
      </c>
      <c r="CF16" s="30" t="s">
        <v>25</v>
      </c>
      <c r="CG16" s="33" t="s">
        <v>27</v>
      </c>
      <c r="CH16" s="31" t="s">
        <v>31</v>
      </c>
      <c r="CI16" s="33" t="s">
        <v>27</v>
      </c>
      <c r="CJ16" s="31" t="s">
        <v>31</v>
      </c>
      <c r="CK16" s="30" t="s">
        <v>25</v>
      </c>
      <c r="CL16" s="30" t="s">
        <v>25</v>
      </c>
      <c r="CM16" s="30" t="s">
        <v>25</v>
      </c>
      <c r="CN16" s="30" t="s">
        <v>25</v>
      </c>
      <c r="CO16" s="30" t="s">
        <v>25</v>
      </c>
      <c r="CP16" s="30" t="s">
        <v>25</v>
      </c>
      <c r="CQ16" s="30" t="s">
        <v>25</v>
      </c>
      <c r="CR16" s="30" t="s">
        <v>25</v>
      </c>
      <c r="CS16" s="30" t="s">
        <v>25</v>
      </c>
      <c r="CT16" s="30" t="s">
        <v>25</v>
      </c>
      <c r="CU16" s="30" t="s">
        <v>25</v>
      </c>
    </row>
    <row r="17" spans="1:99" x14ac:dyDescent="0.35">
      <c r="A17" s="29" t="s">
        <v>759</v>
      </c>
      <c r="B17" s="30" t="s">
        <v>25</v>
      </c>
      <c r="C17" s="30" t="s">
        <v>25</v>
      </c>
      <c r="D17" s="30" t="s">
        <v>25</v>
      </c>
      <c r="E17" s="30" t="s">
        <v>25</v>
      </c>
      <c r="F17" s="30" t="s">
        <v>25</v>
      </c>
      <c r="G17" s="30" t="s">
        <v>25</v>
      </c>
      <c r="H17" s="30" t="s">
        <v>25</v>
      </c>
      <c r="I17" s="30" t="s">
        <v>25</v>
      </c>
      <c r="J17" s="30" t="s">
        <v>25</v>
      </c>
      <c r="K17" s="30" t="s">
        <v>25</v>
      </c>
      <c r="L17" s="30" t="s">
        <v>25</v>
      </c>
      <c r="M17" s="30" t="s">
        <v>25</v>
      </c>
      <c r="N17" s="30" t="s">
        <v>25</v>
      </c>
      <c r="O17" s="30" t="s">
        <v>25</v>
      </c>
      <c r="P17" s="30" t="s">
        <v>25</v>
      </c>
      <c r="Q17" s="30" t="s">
        <v>25</v>
      </c>
      <c r="R17" s="30" t="s">
        <v>25</v>
      </c>
      <c r="S17" s="30" t="s">
        <v>25</v>
      </c>
      <c r="T17" s="30" t="s">
        <v>25</v>
      </c>
      <c r="U17" s="30" t="s">
        <v>25</v>
      </c>
      <c r="V17" s="30" t="s">
        <v>25</v>
      </c>
      <c r="W17" s="30" t="s">
        <v>25</v>
      </c>
      <c r="X17" s="30" t="s">
        <v>25</v>
      </c>
      <c r="Y17" s="30" t="s">
        <v>25</v>
      </c>
      <c r="Z17" s="30" t="s">
        <v>25</v>
      </c>
      <c r="AA17" s="30" t="s">
        <v>25</v>
      </c>
      <c r="AB17" s="30" t="s">
        <v>25</v>
      </c>
      <c r="AC17" s="30" t="s">
        <v>25</v>
      </c>
      <c r="AD17" s="30" t="s">
        <v>25</v>
      </c>
      <c r="AE17" s="30" t="s">
        <v>25</v>
      </c>
      <c r="AF17" s="30" t="s">
        <v>25</v>
      </c>
      <c r="AG17" s="30" t="s">
        <v>25</v>
      </c>
      <c r="AH17" s="30" t="s">
        <v>25</v>
      </c>
      <c r="AI17" s="30" t="s">
        <v>25</v>
      </c>
      <c r="AJ17" s="30" t="s">
        <v>25</v>
      </c>
      <c r="AK17" s="30" t="s">
        <v>25</v>
      </c>
      <c r="AL17" s="30" t="s">
        <v>25</v>
      </c>
      <c r="AM17" s="30" t="s">
        <v>25</v>
      </c>
      <c r="AN17" s="30" t="s">
        <v>25</v>
      </c>
      <c r="AO17" s="30" t="s">
        <v>25</v>
      </c>
      <c r="AP17" s="30" t="s">
        <v>25</v>
      </c>
      <c r="AQ17" s="30" t="s">
        <v>25</v>
      </c>
      <c r="AR17" s="30" t="s">
        <v>25</v>
      </c>
      <c r="AS17" s="30" t="s">
        <v>25</v>
      </c>
      <c r="AT17" s="30" t="s">
        <v>25</v>
      </c>
      <c r="AU17" s="30" t="s">
        <v>25</v>
      </c>
      <c r="AV17" s="30" t="s">
        <v>25</v>
      </c>
      <c r="AW17" s="30" t="s">
        <v>25</v>
      </c>
      <c r="AX17" s="30" t="s">
        <v>25</v>
      </c>
      <c r="AY17" s="30" t="s">
        <v>25</v>
      </c>
      <c r="AZ17" s="30" t="s">
        <v>25</v>
      </c>
      <c r="BA17" s="30" t="s">
        <v>25</v>
      </c>
      <c r="BB17" s="30" t="s">
        <v>25</v>
      </c>
      <c r="BC17" s="30" t="s">
        <v>25</v>
      </c>
      <c r="BD17" s="30" t="s">
        <v>25</v>
      </c>
      <c r="BE17" s="30" t="s">
        <v>25</v>
      </c>
      <c r="BF17" s="30" t="s">
        <v>25</v>
      </c>
      <c r="BG17" s="30" t="s">
        <v>25</v>
      </c>
      <c r="BH17" s="30" t="s">
        <v>25</v>
      </c>
      <c r="BI17" s="30" t="s">
        <v>25</v>
      </c>
      <c r="BJ17" s="30" t="s">
        <v>25</v>
      </c>
      <c r="BK17" s="31" t="s">
        <v>31</v>
      </c>
      <c r="BL17" s="30" t="s">
        <v>25</v>
      </c>
      <c r="BM17" s="30" t="s">
        <v>25</v>
      </c>
      <c r="BN17" s="30" t="s">
        <v>25</v>
      </c>
      <c r="BO17" s="30" t="s">
        <v>25</v>
      </c>
      <c r="BP17" s="30" t="s">
        <v>25</v>
      </c>
      <c r="BQ17" s="30" t="s">
        <v>25</v>
      </c>
      <c r="BR17" s="30" t="s">
        <v>25</v>
      </c>
      <c r="BS17" s="30" t="s">
        <v>25</v>
      </c>
      <c r="BT17" s="30" t="s">
        <v>25</v>
      </c>
      <c r="BU17" s="30" t="s">
        <v>25</v>
      </c>
      <c r="BV17" s="33" t="s">
        <v>27</v>
      </c>
      <c r="BW17" s="30" t="s">
        <v>27</v>
      </c>
      <c r="BX17" s="30" t="s">
        <v>25</v>
      </c>
      <c r="BY17" s="33" t="s">
        <v>27</v>
      </c>
      <c r="BZ17" s="30" t="s">
        <v>25</v>
      </c>
      <c r="CA17" s="33" t="s">
        <v>27</v>
      </c>
      <c r="CB17" s="30" t="s">
        <v>25</v>
      </c>
      <c r="CC17" s="30" t="s">
        <v>25</v>
      </c>
      <c r="CD17" s="30" t="s">
        <v>25</v>
      </c>
      <c r="CE17" s="30" t="s">
        <v>25</v>
      </c>
      <c r="CF17" s="33" t="s">
        <v>27</v>
      </c>
      <c r="CG17" s="30" t="s">
        <v>25</v>
      </c>
      <c r="CH17" s="30" t="s">
        <v>25</v>
      </c>
      <c r="CI17" s="30" t="s">
        <v>25</v>
      </c>
      <c r="CJ17" s="33" t="s">
        <v>27</v>
      </c>
      <c r="CK17" s="30" t="s">
        <v>25</v>
      </c>
      <c r="CL17" s="30" t="s">
        <v>25</v>
      </c>
      <c r="CM17" s="30" t="s">
        <v>25</v>
      </c>
      <c r="CN17" s="30" t="s">
        <v>25</v>
      </c>
      <c r="CO17" s="30" t="s">
        <v>25</v>
      </c>
      <c r="CP17" s="30" t="s">
        <v>25</v>
      </c>
      <c r="CQ17" s="30" t="s">
        <v>25</v>
      </c>
      <c r="CR17" s="30" t="s">
        <v>25</v>
      </c>
      <c r="CS17" s="30" t="s">
        <v>25</v>
      </c>
      <c r="CT17" s="30" t="s">
        <v>25</v>
      </c>
      <c r="CU17" s="30" t="s">
        <v>25</v>
      </c>
    </row>
    <row r="18" spans="1:99" x14ac:dyDescent="0.35">
      <c r="A18" s="29" t="s">
        <v>760</v>
      </c>
      <c r="B18" s="32" t="s">
        <v>29</v>
      </c>
      <c r="C18" s="32" t="s">
        <v>29</v>
      </c>
      <c r="D18" s="32" t="s">
        <v>29</v>
      </c>
      <c r="E18" s="32" t="s">
        <v>29</v>
      </c>
      <c r="F18" s="32" t="s">
        <v>29</v>
      </c>
      <c r="G18" s="32" t="s">
        <v>29</v>
      </c>
      <c r="H18" s="32" t="s">
        <v>29</v>
      </c>
      <c r="I18" s="32" t="s">
        <v>29</v>
      </c>
      <c r="J18" s="32" t="s">
        <v>29</v>
      </c>
      <c r="K18" s="32" t="s">
        <v>29</v>
      </c>
      <c r="L18" s="32" t="s">
        <v>29</v>
      </c>
      <c r="M18" s="32" t="s">
        <v>29</v>
      </c>
      <c r="N18" s="32" t="s">
        <v>29</v>
      </c>
      <c r="O18" s="32" t="s">
        <v>29</v>
      </c>
      <c r="P18" s="32" t="s">
        <v>29</v>
      </c>
      <c r="Q18" s="32" t="s">
        <v>29</v>
      </c>
      <c r="R18" s="32" t="s">
        <v>29</v>
      </c>
      <c r="S18" s="32" t="s">
        <v>29</v>
      </c>
      <c r="T18" s="32" t="s">
        <v>29</v>
      </c>
      <c r="U18" s="32" t="s">
        <v>29</v>
      </c>
      <c r="V18" s="32" t="s">
        <v>29</v>
      </c>
      <c r="W18" s="32" t="s">
        <v>29</v>
      </c>
      <c r="X18" s="32" t="s">
        <v>29</v>
      </c>
      <c r="Y18" s="32" t="s">
        <v>29</v>
      </c>
      <c r="Z18" s="32" t="s">
        <v>29</v>
      </c>
      <c r="AA18" s="32" t="s">
        <v>29</v>
      </c>
      <c r="AB18" s="32" t="s">
        <v>29</v>
      </c>
      <c r="AC18" s="32" t="s">
        <v>29</v>
      </c>
      <c r="AD18" s="32" t="s">
        <v>29</v>
      </c>
      <c r="AE18" s="32" t="s">
        <v>29</v>
      </c>
      <c r="AF18" s="32" t="s">
        <v>29</v>
      </c>
      <c r="AG18" s="32" t="s">
        <v>29</v>
      </c>
      <c r="AH18" s="32" t="s">
        <v>29</v>
      </c>
      <c r="AI18" s="32" t="s">
        <v>29</v>
      </c>
      <c r="AJ18" s="32" t="s">
        <v>29</v>
      </c>
      <c r="AK18" s="32" t="s">
        <v>29</v>
      </c>
      <c r="AL18" s="32" t="s">
        <v>31</v>
      </c>
      <c r="AM18" s="32" t="s">
        <v>31</v>
      </c>
      <c r="AN18" s="32" t="s">
        <v>29</v>
      </c>
      <c r="AO18" s="32" t="s">
        <v>31</v>
      </c>
      <c r="AP18" s="32" t="s">
        <v>29</v>
      </c>
      <c r="AQ18" s="32" t="s">
        <v>31</v>
      </c>
      <c r="AR18" s="32" t="s">
        <v>31</v>
      </c>
      <c r="AS18" s="32" t="s">
        <v>29</v>
      </c>
      <c r="AT18" s="32" t="s">
        <v>29</v>
      </c>
      <c r="AU18" s="32" t="s">
        <v>29</v>
      </c>
      <c r="AV18" s="32" t="s">
        <v>29</v>
      </c>
      <c r="AW18" s="32" t="s">
        <v>29</v>
      </c>
      <c r="AX18" s="32" t="s">
        <v>29</v>
      </c>
      <c r="AY18" s="32" t="s">
        <v>29</v>
      </c>
      <c r="AZ18" s="32" t="s">
        <v>29</v>
      </c>
      <c r="BA18" s="32" t="s">
        <v>29</v>
      </c>
      <c r="BB18" s="32" t="s">
        <v>29</v>
      </c>
      <c r="BC18" s="32" t="s">
        <v>29</v>
      </c>
      <c r="BD18" s="32" t="s">
        <v>29</v>
      </c>
      <c r="BE18" s="32" t="s">
        <v>29</v>
      </c>
      <c r="BF18" s="32" t="s">
        <v>29</v>
      </c>
      <c r="BG18" s="32" t="s">
        <v>31</v>
      </c>
      <c r="BH18" s="32" t="s">
        <v>31</v>
      </c>
      <c r="BI18" s="32" t="s">
        <v>29</v>
      </c>
      <c r="BJ18" s="32" t="s">
        <v>29</v>
      </c>
      <c r="BK18" s="32" t="s">
        <v>29</v>
      </c>
      <c r="BL18" s="32" t="s">
        <v>29</v>
      </c>
      <c r="BM18" s="32" t="s">
        <v>29</v>
      </c>
      <c r="BN18" s="32" t="s">
        <v>31</v>
      </c>
      <c r="BO18" s="32" t="s">
        <v>25</v>
      </c>
      <c r="BP18" s="32" t="s">
        <v>25</v>
      </c>
      <c r="BQ18" s="32" t="s">
        <v>29</v>
      </c>
      <c r="BR18" s="32" t="s">
        <v>29</v>
      </c>
      <c r="BS18" s="32" t="s">
        <v>25</v>
      </c>
      <c r="BT18" s="32" t="s">
        <v>29</v>
      </c>
      <c r="BU18" s="32" t="s">
        <v>29</v>
      </c>
      <c r="BV18" s="32" t="s">
        <v>29</v>
      </c>
      <c r="BW18" s="32" t="s">
        <v>25</v>
      </c>
      <c r="BX18" s="32" t="s">
        <v>27</v>
      </c>
      <c r="BY18" s="32" t="s">
        <v>31</v>
      </c>
      <c r="BZ18" s="32" t="s">
        <v>29</v>
      </c>
      <c r="CA18" s="32" t="s">
        <v>29</v>
      </c>
      <c r="CB18" s="32" t="s">
        <v>29</v>
      </c>
      <c r="CC18" s="32" t="s">
        <v>29</v>
      </c>
      <c r="CD18" s="32" t="s">
        <v>29</v>
      </c>
      <c r="CE18" s="32" t="s">
        <v>29</v>
      </c>
      <c r="CF18" s="32" t="s">
        <v>29</v>
      </c>
      <c r="CG18" s="32" t="s">
        <v>25</v>
      </c>
      <c r="CH18" s="32" t="s">
        <v>29</v>
      </c>
      <c r="CI18" s="32" t="s">
        <v>29</v>
      </c>
      <c r="CJ18" s="32" t="s">
        <v>25</v>
      </c>
      <c r="CK18" s="32" t="s">
        <v>29</v>
      </c>
      <c r="CL18" s="32" t="s">
        <v>29</v>
      </c>
      <c r="CM18" s="32" t="s">
        <v>29</v>
      </c>
      <c r="CN18" s="32" t="s">
        <v>29</v>
      </c>
      <c r="CO18" s="32" t="s">
        <v>29</v>
      </c>
      <c r="CP18" s="32" t="s">
        <v>29</v>
      </c>
      <c r="CQ18" s="32" t="s">
        <v>29</v>
      </c>
      <c r="CR18" s="32" t="s">
        <v>25</v>
      </c>
      <c r="CS18" s="32" t="s">
        <v>29</v>
      </c>
      <c r="CT18" s="32" t="s">
        <v>29</v>
      </c>
      <c r="CU18" s="32" t="s">
        <v>29</v>
      </c>
    </row>
    <row r="19" spans="1:99" x14ac:dyDescent="0.35">
      <c r="A19" s="29" t="s">
        <v>761</v>
      </c>
      <c r="B19" s="32" t="s">
        <v>25</v>
      </c>
      <c r="C19" s="32" t="s">
        <v>29</v>
      </c>
      <c r="D19" s="32" t="s">
        <v>29</v>
      </c>
      <c r="E19" s="32" t="s">
        <v>29</v>
      </c>
      <c r="F19" s="32" t="s">
        <v>29</v>
      </c>
      <c r="G19" s="32" t="s">
        <v>29</v>
      </c>
      <c r="H19" s="32" t="s">
        <v>29</v>
      </c>
      <c r="I19" s="32" t="s">
        <v>29</v>
      </c>
      <c r="J19" s="32" t="s">
        <v>29</v>
      </c>
      <c r="K19" s="32" t="s">
        <v>29</v>
      </c>
      <c r="L19" s="32" t="s">
        <v>29</v>
      </c>
      <c r="M19" s="32" t="s">
        <v>29</v>
      </c>
      <c r="N19" s="32" t="s">
        <v>29</v>
      </c>
      <c r="O19" s="32" t="s">
        <v>29</v>
      </c>
      <c r="P19" s="32" t="s">
        <v>29</v>
      </c>
      <c r="Q19" s="32" t="s">
        <v>29</v>
      </c>
      <c r="R19" s="32" t="s">
        <v>29</v>
      </c>
      <c r="S19" s="32" t="s">
        <v>29</v>
      </c>
      <c r="T19" s="32" t="s">
        <v>29</v>
      </c>
      <c r="U19" s="32" t="s">
        <v>29</v>
      </c>
      <c r="V19" s="32" t="s">
        <v>29</v>
      </c>
      <c r="W19" s="32" t="s">
        <v>29</v>
      </c>
      <c r="X19" s="32" t="s">
        <v>29</v>
      </c>
      <c r="Y19" s="32" t="s">
        <v>29</v>
      </c>
      <c r="Z19" s="32" t="s">
        <v>29</v>
      </c>
      <c r="AA19" s="32" t="s">
        <v>29</v>
      </c>
      <c r="AB19" s="32" t="s">
        <v>29</v>
      </c>
      <c r="AC19" s="32" t="s">
        <v>29</v>
      </c>
      <c r="AD19" s="32" t="s">
        <v>29</v>
      </c>
      <c r="AE19" s="32" t="s">
        <v>29</v>
      </c>
      <c r="AF19" s="32" t="s">
        <v>29</v>
      </c>
      <c r="AG19" s="32" t="s">
        <v>29</v>
      </c>
      <c r="AH19" s="32" t="s">
        <v>29</v>
      </c>
      <c r="AI19" s="32" t="s">
        <v>29</v>
      </c>
      <c r="AJ19" s="32" t="s">
        <v>29</v>
      </c>
      <c r="AK19" s="32" t="s">
        <v>25</v>
      </c>
      <c r="AL19" s="32" t="s">
        <v>29</v>
      </c>
      <c r="AM19" s="32" t="s">
        <v>29</v>
      </c>
      <c r="AN19" s="32" t="s">
        <v>29</v>
      </c>
      <c r="AO19" s="32" t="s">
        <v>25</v>
      </c>
      <c r="AP19" s="32" t="s">
        <v>29</v>
      </c>
      <c r="AQ19" s="32" t="s">
        <v>29</v>
      </c>
      <c r="AR19" s="32" t="s">
        <v>29</v>
      </c>
      <c r="AS19" s="32" t="s">
        <v>29</v>
      </c>
      <c r="AT19" s="32" t="s">
        <v>29</v>
      </c>
      <c r="AU19" s="32" t="s">
        <v>29</v>
      </c>
      <c r="AV19" s="32" t="s">
        <v>29</v>
      </c>
      <c r="AW19" s="32" t="s">
        <v>29</v>
      </c>
      <c r="AX19" s="32" t="s">
        <v>29</v>
      </c>
      <c r="AY19" s="32" t="s">
        <v>29</v>
      </c>
      <c r="AZ19" s="32" t="s">
        <v>29</v>
      </c>
      <c r="BA19" s="32" t="s">
        <v>29</v>
      </c>
      <c r="BB19" s="32" t="s">
        <v>29</v>
      </c>
      <c r="BC19" s="32" t="s">
        <v>29</v>
      </c>
      <c r="BD19" s="32" t="s">
        <v>25</v>
      </c>
      <c r="BE19" s="32" t="s">
        <v>29</v>
      </c>
      <c r="BF19" s="32" t="s">
        <v>29</v>
      </c>
      <c r="BG19" s="32" t="s">
        <v>29</v>
      </c>
      <c r="BH19" s="32" t="s">
        <v>29</v>
      </c>
      <c r="BI19" s="32" t="s">
        <v>29</v>
      </c>
      <c r="BJ19" s="32" t="s">
        <v>29</v>
      </c>
      <c r="BK19" s="32" t="s">
        <v>25</v>
      </c>
      <c r="BL19" s="32" t="s">
        <v>25</v>
      </c>
      <c r="BM19" s="32" t="s">
        <v>29</v>
      </c>
      <c r="BN19" s="32" t="s">
        <v>29</v>
      </c>
      <c r="BO19" s="32" t="s">
        <v>29</v>
      </c>
      <c r="BP19" s="32" t="s">
        <v>31</v>
      </c>
      <c r="BQ19" s="32" t="s">
        <v>31</v>
      </c>
      <c r="BR19" s="32" t="s">
        <v>31</v>
      </c>
      <c r="BS19" s="32" t="s">
        <v>29</v>
      </c>
      <c r="BT19" s="32" t="s">
        <v>29</v>
      </c>
      <c r="BU19" s="32" t="s">
        <v>29</v>
      </c>
      <c r="BV19" s="32" t="s">
        <v>31</v>
      </c>
      <c r="BW19" s="32" t="s">
        <v>29</v>
      </c>
      <c r="BX19" s="32" t="s">
        <v>31</v>
      </c>
      <c r="BY19" s="32" t="s">
        <v>31</v>
      </c>
      <c r="BZ19" s="32" t="s">
        <v>29</v>
      </c>
      <c r="CA19" s="32" t="s">
        <v>29</v>
      </c>
      <c r="CB19" s="32" t="s">
        <v>29</v>
      </c>
      <c r="CC19" s="32" t="s">
        <v>29</v>
      </c>
      <c r="CD19" s="32" t="s">
        <v>29</v>
      </c>
      <c r="CE19" s="32" t="s">
        <v>29</v>
      </c>
      <c r="CF19" s="32" t="s">
        <v>27</v>
      </c>
      <c r="CG19" s="32" t="s">
        <v>29</v>
      </c>
      <c r="CH19" s="32" t="s">
        <v>29</v>
      </c>
      <c r="CI19" s="32" t="s">
        <v>29</v>
      </c>
      <c r="CJ19" s="32" t="s">
        <v>29</v>
      </c>
      <c r="CK19" s="32" t="s">
        <v>29</v>
      </c>
      <c r="CL19" s="32" t="s">
        <v>29</v>
      </c>
      <c r="CM19" s="32" t="s">
        <v>29</v>
      </c>
      <c r="CN19" s="32" t="s">
        <v>29</v>
      </c>
      <c r="CO19" s="32" t="s">
        <v>29</v>
      </c>
      <c r="CP19" s="32" t="s">
        <v>29</v>
      </c>
      <c r="CQ19" s="32" t="s">
        <v>29</v>
      </c>
      <c r="CR19" s="32" t="s">
        <v>29</v>
      </c>
      <c r="CS19" s="32" t="s">
        <v>29</v>
      </c>
      <c r="CT19" s="32" t="s">
        <v>25</v>
      </c>
      <c r="CU19" s="32" t="s">
        <v>29</v>
      </c>
    </row>
    <row r="20" spans="1:99" x14ac:dyDescent="0.35">
      <c r="A20" s="29" t="s">
        <v>762</v>
      </c>
      <c r="B20" s="30" t="s">
        <v>25</v>
      </c>
      <c r="C20" s="30" t="s">
        <v>25</v>
      </c>
      <c r="D20" s="30" t="s">
        <v>25</v>
      </c>
      <c r="E20" s="30" t="s">
        <v>25</v>
      </c>
      <c r="F20" s="30" t="s">
        <v>25</v>
      </c>
      <c r="G20" s="30" t="s">
        <v>25</v>
      </c>
      <c r="H20" s="30" t="s">
        <v>25</v>
      </c>
      <c r="I20" s="30" t="s">
        <v>25</v>
      </c>
      <c r="J20" s="30" t="s">
        <v>25</v>
      </c>
      <c r="K20" s="30" t="s">
        <v>25</v>
      </c>
      <c r="L20" s="30" t="s">
        <v>25</v>
      </c>
      <c r="M20" s="30" t="s">
        <v>25</v>
      </c>
      <c r="N20" s="30" t="s">
        <v>25</v>
      </c>
      <c r="O20" s="30" t="s">
        <v>25</v>
      </c>
      <c r="P20" s="30" t="s">
        <v>25</v>
      </c>
      <c r="Q20" s="30" t="s">
        <v>25</v>
      </c>
      <c r="R20" s="30" t="s">
        <v>25</v>
      </c>
      <c r="S20" s="30" t="s">
        <v>25</v>
      </c>
      <c r="T20" s="30" t="s">
        <v>25</v>
      </c>
      <c r="U20" s="30" t="s">
        <v>25</v>
      </c>
      <c r="V20" s="30" t="s">
        <v>25</v>
      </c>
      <c r="W20" s="30" t="s">
        <v>25</v>
      </c>
      <c r="X20" s="30" t="s">
        <v>25</v>
      </c>
      <c r="Y20" s="30" t="s">
        <v>25</v>
      </c>
      <c r="Z20" s="30" t="s">
        <v>25</v>
      </c>
      <c r="AA20" s="30" t="s">
        <v>25</v>
      </c>
      <c r="AB20" s="30" t="s">
        <v>25</v>
      </c>
      <c r="AC20" s="30" t="s">
        <v>25</v>
      </c>
      <c r="AD20" s="30" t="s">
        <v>25</v>
      </c>
      <c r="AE20" s="30" t="s">
        <v>25</v>
      </c>
      <c r="AF20" s="30" t="s">
        <v>25</v>
      </c>
      <c r="AG20" s="30" t="s">
        <v>25</v>
      </c>
      <c r="AH20" s="30" t="s">
        <v>25</v>
      </c>
      <c r="AI20" s="30" t="s">
        <v>25</v>
      </c>
      <c r="AJ20" s="30" t="s">
        <v>25</v>
      </c>
      <c r="AK20" s="30" t="s">
        <v>25</v>
      </c>
      <c r="AL20" s="30" t="s">
        <v>25</v>
      </c>
      <c r="AM20" s="30" t="s">
        <v>25</v>
      </c>
      <c r="AN20" s="30" t="s">
        <v>25</v>
      </c>
      <c r="AO20" s="30" t="s">
        <v>25</v>
      </c>
      <c r="AP20" s="30" t="s">
        <v>25</v>
      </c>
      <c r="AQ20" s="30" t="s">
        <v>25</v>
      </c>
      <c r="AR20" s="30" t="s">
        <v>25</v>
      </c>
      <c r="AS20" s="30" t="s">
        <v>25</v>
      </c>
      <c r="AT20" s="30" t="s">
        <v>25</v>
      </c>
      <c r="AU20" s="30" t="s">
        <v>25</v>
      </c>
      <c r="AV20" s="30" t="s">
        <v>25</v>
      </c>
      <c r="AW20" s="30" t="s">
        <v>25</v>
      </c>
      <c r="AX20" s="30" t="s">
        <v>25</v>
      </c>
      <c r="AY20" s="30" t="s">
        <v>25</v>
      </c>
      <c r="AZ20" s="30" t="s">
        <v>25</v>
      </c>
      <c r="BA20" s="30" t="s">
        <v>25</v>
      </c>
      <c r="BB20" s="30" t="s">
        <v>25</v>
      </c>
      <c r="BC20" s="30" t="s">
        <v>25</v>
      </c>
      <c r="BD20" s="30" t="s">
        <v>25</v>
      </c>
      <c r="BE20" s="30" t="s">
        <v>25</v>
      </c>
      <c r="BF20" s="30" t="s">
        <v>25</v>
      </c>
      <c r="BG20" s="30" t="s">
        <v>25</v>
      </c>
      <c r="BH20" s="30" t="s">
        <v>25</v>
      </c>
      <c r="BI20" s="30" t="s">
        <v>25</v>
      </c>
      <c r="BJ20" s="30" t="s">
        <v>25</v>
      </c>
      <c r="BK20" s="30" t="s">
        <v>25</v>
      </c>
      <c r="BL20" s="30" t="s">
        <v>25</v>
      </c>
      <c r="BM20" s="30" t="s">
        <v>25</v>
      </c>
      <c r="BN20" s="30" t="s">
        <v>25</v>
      </c>
      <c r="BO20" s="30" t="s">
        <v>25</v>
      </c>
      <c r="BP20" s="30" t="s">
        <v>25</v>
      </c>
      <c r="BQ20" s="30" t="s">
        <v>25</v>
      </c>
      <c r="BR20" s="30" t="s">
        <v>25</v>
      </c>
      <c r="BS20" s="30" t="s">
        <v>25</v>
      </c>
      <c r="BT20" s="30" t="s">
        <v>25</v>
      </c>
      <c r="BU20" s="30" t="s">
        <v>25</v>
      </c>
      <c r="BV20" s="30" t="s">
        <v>25</v>
      </c>
      <c r="BW20" s="30" t="s">
        <v>25</v>
      </c>
      <c r="BX20" s="30" t="s">
        <v>25</v>
      </c>
      <c r="BY20" s="30" t="s">
        <v>25</v>
      </c>
      <c r="BZ20" s="30" t="s">
        <v>25</v>
      </c>
      <c r="CA20" s="30" t="s">
        <v>25</v>
      </c>
      <c r="CB20" s="30" t="s">
        <v>25</v>
      </c>
      <c r="CC20" s="30" t="s">
        <v>25</v>
      </c>
      <c r="CD20" s="30" t="s">
        <v>25</v>
      </c>
      <c r="CE20" s="30" t="s">
        <v>25</v>
      </c>
      <c r="CF20" s="30" t="s">
        <v>25</v>
      </c>
      <c r="CG20" s="30" t="s">
        <v>25</v>
      </c>
      <c r="CH20" s="30" t="s">
        <v>25</v>
      </c>
      <c r="CI20" s="30" t="s">
        <v>25</v>
      </c>
      <c r="CJ20" s="30" t="s">
        <v>25</v>
      </c>
      <c r="CK20" s="30" t="s">
        <v>25</v>
      </c>
      <c r="CL20" s="30" t="s">
        <v>25</v>
      </c>
      <c r="CM20" s="30" t="s">
        <v>25</v>
      </c>
      <c r="CN20" s="30" t="s">
        <v>25</v>
      </c>
      <c r="CO20" s="30" t="s">
        <v>25</v>
      </c>
      <c r="CP20" s="30" t="s">
        <v>25</v>
      </c>
      <c r="CQ20" s="30" t="s">
        <v>25</v>
      </c>
      <c r="CR20" s="30" t="s">
        <v>25</v>
      </c>
      <c r="CS20" s="30" t="s">
        <v>25</v>
      </c>
      <c r="CT20" s="30" t="s">
        <v>25</v>
      </c>
      <c r="CU20" s="30" t="s">
        <v>25</v>
      </c>
    </row>
    <row r="21" spans="1:99" x14ac:dyDescent="0.35">
      <c r="A21" s="29" t="s">
        <v>763</v>
      </c>
      <c r="B21" s="30" t="s">
        <v>25</v>
      </c>
      <c r="C21" s="30" t="s">
        <v>25</v>
      </c>
      <c r="D21" s="30" t="s">
        <v>25</v>
      </c>
      <c r="E21" s="30" t="s">
        <v>25</v>
      </c>
      <c r="F21" s="30" t="s">
        <v>25</v>
      </c>
      <c r="G21" s="30" t="s">
        <v>25</v>
      </c>
      <c r="H21" s="30" t="s">
        <v>25</v>
      </c>
      <c r="I21" s="30" t="s">
        <v>25</v>
      </c>
      <c r="J21" s="30" t="s">
        <v>25</v>
      </c>
      <c r="K21" s="30" t="s">
        <v>25</v>
      </c>
      <c r="L21" s="30" t="s">
        <v>25</v>
      </c>
      <c r="M21" s="30" t="s">
        <v>25</v>
      </c>
      <c r="N21" s="30" t="s">
        <v>25</v>
      </c>
      <c r="O21" s="30" t="s">
        <v>25</v>
      </c>
      <c r="P21" s="30" t="s">
        <v>25</v>
      </c>
      <c r="Q21" s="30" t="s">
        <v>25</v>
      </c>
      <c r="R21" s="30" t="s">
        <v>25</v>
      </c>
      <c r="S21" s="30" t="s">
        <v>25</v>
      </c>
      <c r="T21" s="30" t="s">
        <v>25</v>
      </c>
      <c r="U21" s="30" t="s">
        <v>25</v>
      </c>
      <c r="V21" s="30" t="s">
        <v>25</v>
      </c>
      <c r="W21" s="30" t="s">
        <v>25</v>
      </c>
      <c r="X21" s="30" t="s">
        <v>25</v>
      </c>
      <c r="Y21" s="30" t="s">
        <v>25</v>
      </c>
      <c r="Z21" s="30" t="s">
        <v>25</v>
      </c>
      <c r="AA21" s="30" t="s">
        <v>25</v>
      </c>
      <c r="AB21" s="30" t="s">
        <v>25</v>
      </c>
      <c r="AC21" s="30" t="s">
        <v>25</v>
      </c>
      <c r="AD21" s="30" t="s">
        <v>25</v>
      </c>
      <c r="AE21" s="30" t="s">
        <v>25</v>
      </c>
      <c r="AF21" s="30" t="s">
        <v>25</v>
      </c>
      <c r="AG21" s="30" t="s">
        <v>25</v>
      </c>
      <c r="AH21" s="30" t="s">
        <v>25</v>
      </c>
      <c r="AI21" s="30" t="s">
        <v>25</v>
      </c>
      <c r="AJ21" s="30" t="s">
        <v>25</v>
      </c>
      <c r="AK21" s="30" t="s">
        <v>25</v>
      </c>
      <c r="AL21" s="30" t="s">
        <v>25</v>
      </c>
      <c r="AM21" s="30" t="s">
        <v>25</v>
      </c>
      <c r="AN21" s="30" t="s">
        <v>25</v>
      </c>
      <c r="AO21" s="30" t="s">
        <v>25</v>
      </c>
      <c r="AP21" s="30" t="s">
        <v>25</v>
      </c>
      <c r="AQ21" s="30" t="s">
        <v>25</v>
      </c>
      <c r="AR21" s="30" t="s">
        <v>25</v>
      </c>
      <c r="AS21" s="30" t="s">
        <v>25</v>
      </c>
      <c r="AT21" s="30" t="s">
        <v>25</v>
      </c>
      <c r="AU21" s="30" t="s">
        <v>25</v>
      </c>
      <c r="AV21" s="30" t="s">
        <v>25</v>
      </c>
      <c r="AW21" s="30" t="s">
        <v>25</v>
      </c>
      <c r="AX21" s="30" t="s">
        <v>25</v>
      </c>
      <c r="AY21" s="30" t="s">
        <v>25</v>
      </c>
      <c r="AZ21" s="30" t="s">
        <v>25</v>
      </c>
      <c r="BA21" s="30" t="s">
        <v>25</v>
      </c>
      <c r="BB21" s="30" t="s">
        <v>25</v>
      </c>
      <c r="BC21" s="30" t="s">
        <v>25</v>
      </c>
      <c r="BD21" s="30" t="s">
        <v>25</v>
      </c>
      <c r="BE21" s="30" t="s">
        <v>25</v>
      </c>
      <c r="BF21" s="30" t="s">
        <v>25</v>
      </c>
      <c r="BG21" s="30" t="s">
        <v>25</v>
      </c>
      <c r="BH21" s="30" t="s">
        <v>25</v>
      </c>
      <c r="BI21" s="30" t="s">
        <v>25</v>
      </c>
      <c r="BJ21" s="30" t="s">
        <v>25</v>
      </c>
      <c r="BK21" s="30" t="s">
        <v>25</v>
      </c>
      <c r="BL21" s="30" t="s">
        <v>25</v>
      </c>
      <c r="BM21" s="30" t="s">
        <v>25</v>
      </c>
      <c r="BN21" s="30" t="s">
        <v>25</v>
      </c>
      <c r="BO21" s="30" t="s">
        <v>25</v>
      </c>
      <c r="BP21" s="30" t="s">
        <v>25</v>
      </c>
      <c r="BQ21" s="30" t="s">
        <v>25</v>
      </c>
      <c r="BR21" s="30" t="s">
        <v>25</v>
      </c>
      <c r="BS21" s="30" t="s">
        <v>25</v>
      </c>
      <c r="BT21" s="30" t="s">
        <v>25</v>
      </c>
      <c r="BU21" s="30" t="s">
        <v>25</v>
      </c>
      <c r="BV21" s="30" t="s">
        <v>25</v>
      </c>
      <c r="BW21" s="30" t="s">
        <v>25</v>
      </c>
      <c r="BX21" s="30" t="s">
        <v>25</v>
      </c>
      <c r="BY21" s="30" t="s">
        <v>25</v>
      </c>
      <c r="BZ21" s="30" t="s">
        <v>25</v>
      </c>
      <c r="CA21" s="30" t="s">
        <v>25</v>
      </c>
      <c r="CB21" s="30" t="s">
        <v>25</v>
      </c>
      <c r="CC21" s="30" t="s">
        <v>25</v>
      </c>
      <c r="CD21" s="30" t="s">
        <v>25</v>
      </c>
      <c r="CE21" s="30" t="s">
        <v>25</v>
      </c>
      <c r="CF21" s="30" t="s">
        <v>25</v>
      </c>
      <c r="CG21" s="30" t="s">
        <v>25</v>
      </c>
      <c r="CH21" s="30" t="s">
        <v>25</v>
      </c>
      <c r="CI21" s="30" t="s">
        <v>25</v>
      </c>
      <c r="CJ21" s="30" t="s">
        <v>25</v>
      </c>
      <c r="CK21" s="30" t="s">
        <v>25</v>
      </c>
      <c r="CL21" s="30" t="s">
        <v>25</v>
      </c>
      <c r="CM21" s="30" t="s">
        <v>25</v>
      </c>
      <c r="CN21" s="30" t="s">
        <v>25</v>
      </c>
      <c r="CO21" s="30" t="s">
        <v>25</v>
      </c>
      <c r="CP21" s="30" t="s">
        <v>25</v>
      </c>
      <c r="CQ21" s="30" t="s">
        <v>25</v>
      </c>
      <c r="CR21" s="30" t="s">
        <v>25</v>
      </c>
      <c r="CS21" s="30" t="s">
        <v>25</v>
      </c>
      <c r="CT21" s="30" t="s">
        <v>25</v>
      </c>
      <c r="CU21" s="30" t="s">
        <v>25</v>
      </c>
    </row>
    <row r="22" spans="1:99" x14ac:dyDescent="0.35">
      <c r="A22" s="29" t="s">
        <v>764</v>
      </c>
      <c r="B22" s="30" t="s">
        <v>25</v>
      </c>
      <c r="C22" s="30" t="s">
        <v>25</v>
      </c>
      <c r="D22" s="30" t="s">
        <v>25</v>
      </c>
      <c r="E22" s="30" t="s">
        <v>25</v>
      </c>
      <c r="F22" s="30" t="s">
        <v>25</v>
      </c>
      <c r="G22" s="30" t="s">
        <v>25</v>
      </c>
      <c r="H22" s="30" t="s">
        <v>25</v>
      </c>
      <c r="I22" s="30" t="s">
        <v>25</v>
      </c>
      <c r="J22" s="30" t="s">
        <v>25</v>
      </c>
      <c r="K22" s="30" t="s">
        <v>25</v>
      </c>
      <c r="L22" s="30" t="s">
        <v>25</v>
      </c>
      <c r="M22" s="30" t="s">
        <v>25</v>
      </c>
      <c r="N22" s="30" t="s">
        <v>25</v>
      </c>
      <c r="O22" s="30" t="s">
        <v>25</v>
      </c>
      <c r="P22" s="30" t="s">
        <v>25</v>
      </c>
      <c r="Q22" s="30" t="s">
        <v>25</v>
      </c>
      <c r="R22" s="30" t="s">
        <v>25</v>
      </c>
      <c r="S22" s="30" t="s">
        <v>25</v>
      </c>
      <c r="T22" s="30" t="s">
        <v>25</v>
      </c>
      <c r="U22" s="30" t="s">
        <v>25</v>
      </c>
      <c r="V22" s="30" t="s">
        <v>25</v>
      </c>
      <c r="W22" s="30" t="s">
        <v>25</v>
      </c>
      <c r="X22" s="30" t="s">
        <v>25</v>
      </c>
      <c r="Y22" s="30" t="s">
        <v>25</v>
      </c>
      <c r="Z22" s="30" t="s">
        <v>25</v>
      </c>
      <c r="AA22" s="30" t="s">
        <v>25</v>
      </c>
      <c r="AB22" s="30" t="s">
        <v>25</v>
      </c>
      <c r="AC22" s="30" t="s">
        <v>25</v>
      </c>
      <c r="AD22" s="30" t="s">
        <v>25</v>
      </c>
      <c r="AE22" s="30" t="s">
        <v>25</v>
      </c>
      <c r="AF22" s="30" t="s">
        <v>25</v>
      </c>
      <c r="AG22" s="30" t="s">
        <v>25</v>
      </c>
      <c r="AH22" s="30" t="s">
        <v>25</v>
      </c>
      <c r="AI22" s="30" t="s">
        <v>25</v>
      </c>
      <c r="AJ22" s="30" t="s">
        <v>25</v>
      </c>
      <c r="AK22" s="30" t="s">
        <v>25</v>
      </c>
      <c r="AL22" s="30" t="s">
        <v>25</v>
      </c>
      <c r="AM22" s="30" t="s">
        <v>25</v>
      </c>
      <c r="AN22" s="30" t="s">
        <v>25</v>
      </c>
      <c r="AO22" s="30" t="s">
        <v>25</v>
      </c>
      <c r="AP22" s="30" t="s">
        <v>25</v>
      </c>
      <c r="AQ22" s="30" t="s">
        <v>25</v>
      </c>
      <c r="AR22" s="30" t="s">
        <v>25</v>
      </c>
      <c r="AS22" s="30" t="s">
        <v>25</v>
      </c>
      <c r="AT22" s="30" t="s">
        <v>25</v>
      </c>
      <c r="AU22" s="30" t="s">
        <v>25</v>
      </c>
      <c r="AV22" s="30" t="s">
        <v>25</v>
      </c>
      <c r="AW22" s="30" t="s">
        <v>25</v>
      </c>
      <c r="AX22" s="30" t="s">
        <v>25</v>
      </c>
      <c r="AY22" s="30" t="s">
        <v>25</v>
      </c>
      <c r="AZ22" s="30" t="s">
        <v>25</v>
      </c>
      <c r="BA22" s="30" t="s">
        <v>25</v>
      </c>
      <c r="BB22" s="30" t="s">
        <v>25</v>
      </c>
      <c r="BC22" s="30" t="s">
        <v>25</v>
      </c>
      <c r="BD22" s="30" t="s">
        <v>25</v>
      </c>
      <c r="BE22" s="30" t="s">
        <v>25</v>
      </c>
      <c r="BF22" s="30" t="s">
        <v>25</v>
      </c>
      <c r="BG22" s="30" t="s">
        <v>25</v>
      </c>
      <c r="BH22" s="30" t="s">
        <v>25</v>
      </c>
      <c r="BI22" s="30" t="s">
        <v>25</v>
      </c>
      <c r="BJ22" s="30" t="s">
        <v>25</v>
      </c>
      <c r="BK22" s="30" t="s">
        <v>25</v>
      </c>
      <c r="BL22" s="30" t="s">
        <v>25</v>
      </c>
      <c r="BM22" s="30" t="s">
        <v>25</v>
      </c>
      <c r="BN22" s="30" t="s">
        <v>25</v>
      </c>
      <c r="BO22" s="30" t="s">
        <v>25</v>
      </c>
      <c r="BP22" s="30" t="s">
        <v>25</v>
      </c>
      <c r="BQ22" s="30" t="s">
        <v>25</v>
      </c>
      <c r="BR22" s="30" t="s">
        <v>25</v>
      </c>
      <c r="BS22" s="30" t="s">
        <v>25</v>
      </c>
      <c r="BT22" s="30" t="s">
        <v>25</v>
      </c>
      <c r="BU22" s="30" t="s">
        <v>25</v>
      </c>
      <c r="BV22" s="30" t="s">
        <v>25</v>
      </c>
      <c r="BW22" s="30" t="s">
        <v>25</v>
      </c>
      <c r="BX22" s="30" t="s">
        <v>25</v>
      </c>
      <c r="BY22" s="30" t="s">
        <v>25</v>
      </c>
      <c r="BZ22" s="30" t="s">
        <v>25</v>
      </c>
      <c r="CA22" s="30" t="s">
        <v>25</v>
      </c>
      <c r="CB22" s="30" t="s">
        <v>25</v>
      </c>
      <c r="CC22" s="30" t="s">
        <v>25</v>
      </c>
      <c r="CD22" s="30" t="s">
        <v>25</v>
      </c>
      <c r="CE22" s="30" t="s">
        <v>25</v>
      </c>
      <c r="CF22" s="30" t="s">
        <v>25</v>
      </c>
      <c r="CG22" s="30" t="s">
        <v>25</v>
      </c>
      <c r="CH22" s="30" t="s">
        <v>25</v>
      </c>
      <c r="CI22" s="30" t="s">
        <v>25</v>
      </c>
      <c r="CJ22" s="30" t="s">
        <v>25</v>
      </c>
      <c r="CK22" s="30" t="s">
        <v>25</v>
      </c>
      <c r="CL22" s="30" t="s">
        <v>25</v>
      </c>
      <c r="CM22" s="30" t="s">
        <v>25</v>
      </c>
      <c r="CN22" s="30" t="s">
        <v>25</v>
      </c>
      <c r="CO22" s="30" t="s">
        <v>25</v>
      </c>
      <c r="CP22" s="30" t="s">
        <v>25</v>
      </c>
      <c r="CQ22" s="30" t="s">
        <v>25</v>
      </c>
      <c r="CR22" s="30" t="s">
        <v>25</v>
      </c>
      <c r="CS22" s="30" t="s">
        <v>25</v>
      </c>
      <c r="CT22" s="30" t="s">
        <v>25</v>
      </c>
      <c r="CU22" s="30" t="s">
        <v>25</v>
      </c>
    </row>
    <row r="23" spans="1:99" x14ac:dyDescent="0.35">
      <c r="A23" s="29" t="s">
        <v>765</v>
      </c>
      <c r="B23" s="32" t="s">
        <v>31</v>
      </c>
      <c r="C23" s="32" t="s">
        <v>31</v>
      </c>
      <c r="D23" s="32" t="s">
        <v>31</v>
      </c>
      <c r="E23" s="32" t="s">
        <v>31</v>
      </c>
      <c r="F23" s="32" t="s">
        <v>31</v>
      </c>
      <c r="G23" s="32" t="s">
        <v>31</v>
      </c>
      <c r="H23" s="32" t="s">
        <v>31</v>
      </c>
      <c r="I23" s="32" t="s">
        <v>31</v>
      </c>
      <c r="J23" s="32" t="s">
        <v>31</v>
      </c>
      <c r="K23" s="32" t="s">
        <v>31</v>
      </c>
      <c r="L23" s="32" t="s">
        <v>25</v>
      </c>
      <c r="M23" s="32" t="s">
        <v>25</v>
      </c>
      <c r="N23" s="32" t="s">
        <v>25</v>
      </c>
      <c r="O23" s="32" t="s">
        <v>25</v>
      </c>
      <c r="P23" s="32" t="s">
        <v>25</v>
      </c>
      <c r="Q23" s="32" t="s">
        <v>25</v>
      </c>
      <c r="R23" s="32" t="s">
        <v>25</v>
      </c>
      <c r="S23" s="32" t="s">
        <v>25</v>
      </c>
      <c r="T23" s="32" t="s">
        <v>25</v>
      </c>
      <c r="U23" s="32" t="s">
        <v>25</v>
      </c>
      <c r="V23" s="32" t="s">
        <v>31</v>
      </c>
      <c r="W23" s="32" t="s">
        <v>31</v>
      </c>
      <c r="X23" s="32" t="s">
        <v>31</v>
      </c>
      <c r="Y23" s="32" t="s">
        <v>31</v>
      </c>
      <c r="Z23" s="32" t="s">
        <v>31</v>
      </c>
      <c r="AA23" s="32" t="s">
        <v>31</v>
      </c>
      <c r="AB23" s="32" t="s">
        <v>31</v>
      </c>
      <c r="AC23" s="32" t="s">
        <v>31</v>
      </c>
      <c r="AD23" s="32" t="s">
        <v>31</v>
      </c>
      <c r="AE23" s="32" t="s">
        <v>31</v>
      </c>
      <c r="AF23" s="32" t="s">
        <v>31</v>
      </c>
      <c r="AG23" s="32" t="s">
        <v>31</v>
      </c>
      <c r="AH23" s="32" t="s">
        <v>31</v>
      </c>
      <c r="AI23" s="32" t="s">
        <v>31</v>
      </c>
      <c r="AJ23" s="32" t="s">
        <v>31</v>
      </c>
      <c r="AK23" s="32" t="s">
        <v>31</v>
      </c>
      <c r="AL23" s="32" t="s">
        <v>31</v>
      </c>
      <c r="AM23" s="32" t="s">
        <v>31</v>
      </c>
      <c r="AN23" s="32" t="s">
        <v>31</v>
      </c>
      <c r="AO23" s="32" t="s">
        <v>31</v>
      </c>
      <c r="AP23" s="32" t="s">
        <v>31</v>
      </c>
      <c r="AQ23" s="32" t="s">
        <v>31</v>
      </c>
      <c r="AR23" s="32" t="s">
        <v>31</v>
      </c>
      <c r="AS23" s="32" t="s">
        <v>31</v>
      </c>
      <c r="AT23" s="32" t="s">
        <v>31</v>
      </c>
      <c r="AU23" s="32" t="s">
        <v>31</v>
      </c>
      <c r="AV23" s="32" t="s">
        <v>31</v>
      </c>
      <c r="AW23" s="32" t="s">
        <v>31</v>
      </c>
      <c r="AX23" s="32" t="s">
        <v>31</v>
      </c>
      <c r="AY23" s="32" t="s">
        <v>31</v>
      </c>
      <c r="AZ23" s="32" t="s">
        <v>31</v>
      </c>
      <c r="BA23" s="32" t="s">
        <v>31</v>
      </c>
      <c r="BB23" s="32" t="s">
        <v>31</v>
      </c>
      <c r="BC23" s="32" t="s">
        <v>31</v>
      </c>
      <c r="BD23" s="32" t="s">
        <v>31</v>
      </c>
      <c r="BE23" s="32" t="s">
        <v>31</v>
      </c>
      <c r="BF23" s="32" t="s">
        <v>31</v>
      </c>
      <c r="BG23" s="32" t="s">
        <v>31</v>
      </c>
      <c r="BH23" s="32" t="s">
        <v>25</v>
      </c>
      <c r="BI23" s="32" t="s">
        <v>25</v>
      </c>
      <c r="BJ23" s="32" t="s">
        <v>25</v>
      </c>
      <c r="BK23" s="32" t="s">
        <v>25</v>
      </c>
      <c r="BL23" s="32" t="s">
        <v>25</v>
      </c>
      <c r="BM23" s="32" t="s">
        <v>31</v>
      </c>
      <c r="BN23" s="32" t="s">
        <v>31</v>
      </c>
      <c r="BO23" s="32" t="s">
        <v>31</v>
      </c>
      <c r="BP23" s="32" t="s">
        <v>31</v>
      </c>
      <c r="BQ23" s="32" t="s">
        <v>31</v>
      </c>
      <c r="BR23" s="32" t="s">
        <v>31</v>
      </c>
      <c r="BS23" s="32" t="s">
        <v>31</v>
      </c>
      <c r="BT23" s="32" t="s">
        <v>31</v>
      </c>
      <c r="BU23" s="32" t="s">
        <v>31</v>
      </c>
      <c r="BV23" s="32" t="s">
        <v>31</v>
      </c>
      <c r="BW23" s="32" t="s">
        <v>31</v>
      </c>
      <c r="BX23" s="32" t="s">
        <v>31</v>
      </c>
      <c r="BY23" s="32" t="s">
        <v>31</v>
      </c>
      <c r="BZ23" s="32" t="s">
        <v>31</v>
      </c>
      <c r="CA23" s="32" t="s">
        <v>31</v>
      </c>
      <c r="CB23" s="32" t="s">
        <v>31</v>
      </c>
      <c r="CC23" s="32" t="s">
        <v>31</v>
      </c>
      <c r="CD23" s="32" t="s">
        <v>31</v>
      </c>
      <c r="CE23" s="32" t="s">
        <v>31</v>
      </c>
      <c r="CF23" s="32" t="s">
        <v>31</v>
      </c>
      <c r="CG23" s="32" t="s">
        <v>31</v>
      </c>
      <c r="CH23" s="32" t="s">
        <v>31</v>
      </c>
      <c r="CI23" s="32" t="s">
        <v>31</v>
      </c>
      <c r="CJ23" s="32" t="s">
        <v>31</v>
      </c>
      <c r="CK23" s="32" t="s">
        <v>31</v>
      </c>
      <c r="CL23" s="32" t="s">
        <v>31</v>
      </c>
      <c r="CM23" s="32" t="s">
        <v>31</v>
      </c>
      <c r="CN23" s="32" t="s">
        <v>31</v>
      </c>
      <c r="CO23" s="32" t="s">
        <v>31</v>
      </c>
      <c r="CP23" s="32" t="s">
        <v>31</v>
      </c>
      <c r="CQ23" s="32" t="s">
        <v>31</v>
      </c>
      <c r="CR23" s="32" t="s">
        <v>31</v>
      </c>
      <c r="CS23" s="32" t="s">
        <v>31</v>
      </c>
      <c r="CT23" s="32" t="s">
        <v>31</v>
      </c>
      <c r="CU23" s="32" t="s">
        <v>31</v>
      </c>
    </row>
    <row r="24" spans="1:99" x14ac:dyDescent="0.35">
      <c r="A24" s="29" t="s">
        <v>766</v>
      </c>
      <c r="B24" s="32" t="s">
        <v>31</v>
      </c>
      <c r="C24" s="32" t="s">
        <v>31</v>
      </c>
      <c r="D24" s="32" t="s">
        <v>31</v>
      </c>
      <c r="E24" s="32" t="s">
        <v>31</v>
      </c>
      <c r="F24" s="32" t="s">
        <v>31</v>
      </c>
      <c r="G24" s="32" t="s">
        <v>31</v>
      </c>
      <c r="H24" s="32" t="s">
        <v>31</v>
      </c>
      <c r="I24" s="32" t="s">
        <v>31</v>
      </c>
      <c r="J24" s="32" t="s">
        <v>31</v>
      </c>
      <c r="K24" s="32" t="s">
        <v>31</v>
      </c>
      <c r="L24" s="32" t="s">
        <v>31</v>
      </c>
      <c r="M24" s="32" t="s">
        <v>31</v>
      </c>
      <c r="N24" s="32" t="s">
        <v>31</v>
      </c>
      <c r="O24" s="32" t="s">
        <v>31</v>
      </c>
      <c r="P24" s="32" t="s">
        <v>31</v>
      </c>
      <c r="Q24" s="32" t="s">
        <v>31</v>
      </c>
      <c r="R24" s="32" t="s">
        <v>31</v>
      </c>
      <c r="S24" s="32" t="s">
        <v>31</v>
      </c>
      <c r="T24" s="32" t="s">
        <v>31</v>
      </c>
      <c r="U24" s="32" t="s">
        <v>31</v>
      </c>
      <c r="V24" s="32" t="s">
        <v>31</v>
      </c>
      <c r="W24" s="32" t="s">
        <v>31</v>
      </c>
      <c r="X24" s="32" t="s">
        <v>31</v>
      </c>
      <c r="Y24" s="32" t="s">
        <v>31</v>
      </c>
      <c r="Z24" s="32" t="s">
        <v>31</v>
      </c>
      <c r="AA24" s="32" t="s">
        <v>31</v>
      </c>
      <c r="AB24" s="32" t="s">
        <v>31</v>
      </c>
      <c r="AC24" s="32" t="s">
        <v>31</v>
      </c>
      <c r="AD24" s="32" t="s">
        <v>31</v>
      </c>
      <c r="AE24" s="32" t="s">
        <v>31</v>
      </c>
      <c r="AF24" s="32" t="s">
        <v>31</v>
      </c>
      <c r="AG24" s="32" t="s">
        <v>31</v>
      </c>
      <c r="AH24" s="32" t="s">
        <v>31</v>
      </c>
      <c r="AI24" s="32" t="s">
        <v>31</v>
      </c>
      <c r="AJ24" s="32" t="s">
        <v>31</v>
      </c>
      <c r="AK24" s="32" t="s">
        <v>31</v>
      </c>
      <c r="AL24" s="32" t="s">
        <v>31</v>
      </c>
      <c r="AM24" s="32" t="s">
        <v>31</v>
      </c>
      <c r="AN24" s="32" t="s">
        <v>31</v>
      </c>
      <c r="AO24" s="32" t="s">
        <v>31</v>
      </c>
      <c r="AP24" s="32" t="s">
        <v>31</v>
      </c>
      <c r="AQ24" s="32" t="s">
        <v>31</v>
      </c>
      <c r="AR24" s="32" t="s">
        <v>31</v>
      </c>
      <c r="AS24" s="32" t="s">
        <v>31</v>
      </c>
      <c r="AT24" s="32" t="s">
        <v>31</v>
      </c>
      <c r="AU24" s="32" t="s">
        <v>31</v>
      </c>
      <c r="AV24" s="32" t="s">
        <v>31</v>
      </c>
      <c r="AW24" s="32" t="s">
        <v>31</v>
      </c>
      <c r="AX24" s="32" t="s">
        <v>31</v>
      </c>
      <c r="AY24" s="32" t="s">
        <v>31</v>
      </c>
      <c r="AZ24" s="32" t="s">
        <v>31</v>
      </c>
      <c r="BA24" s="32" t="s">
        <v>31</v>
      </c>
      <c r="BB24" s="32" t="s">
        <v>31</v>
      </c>
      <c r="BC24" s="32" t="s">
        <v>31</v>
      </c>
      <c r="BD24" s="32" t="s">
        <v>31</v>
      </c>
      <c r="BE24" s="32" t="s">
        <v>31</v>
      </c>
      <c r="BF24" s="32" t="s">
        <v>31</v>
      </c>
      <c r="BG24" s="32" t="s">
        <v>31</v>
      </c>
      <c r="BH24" s="32" t="s">
        <v>31</v>
      </c>
      <c r="BI24" s="32" t="s">
        <v>31</v>
      </c>
      <c r="BJ24" s="32" t="s">
        <v>31</v>
      </c>
      <c r="BK24" s="32" t="s">
        <v>31</v>
      </c>
      <c r="BL24" s="32" t="s">
        <v>31</v>
      </c>
      <c r="BM24" s="32" t="s">
        <v>31</v>
      </c>
      <c r="BN24" s="32" t="s">
        <v>31</v>
      </c>
      <c r="BO24" s="32" t="s">
        <v>31</v>
      </c>
      <c r="BP24" s="32" t="s">
        <v>31</v>
      </c>
      <c r="BQ24" s="32" t="s">
        <v>31</v>
      </c>
      <c r="BR24" s="32" t="s">
        <v>31</v>
      </c>
      <c r="BS24" s="32" t="s">
        <v>31</v>
      </c>
      <c r="BT24" s="32" t="s">
        <v>31</v>
      </c>
      <c r="BU24" s="32" t="s">
        <v>31</v>
      </c>
      <c r="BV24" s="32" t="s">
        <v>31</v>
      </c>
      <c r="BW24" s="32" t="s">
        <v>31</v>
      </c>
      <c r="BX24" s="32" t="s">
        <v>31</v>
      </c>
      <c r="BY24" s="32" t="s">
        <v>31</v>
      </c>
      <c r="BZ24" s="32" t="s">
        <v>31</v>
      </c>
      <c r="CA24" s="32" t="s">
        <v>31</v>
      </c>
      <c r="CB24" s="32" t="s">
        <v>31</v>
      </c>
      <c r="CC24" s="32" t="s">
        <v>31</v>
      </c>
      <c r="CD24" s="32" t="s">
        <v>31</v>
      </c>
      <c r="CE24" s="32" t="s">
        <v>31</v>
      </c>
      <c r="CF24" s="32" t="s">
        <v>31</v>
      </c>
      <c r="CG24" s="32" t="s">
        <v>31</v>
      </c>
      <c r="CH24" s="32" t="s">
        <v>31</v>
      </c>
      <c r="CI24" s="32" t="s">
        <v>31</v>
      </c>
      <c r="CJ24" s="32" t="s">
        <v>31</v>
      </c>
      <c r="CK24" s="32" t="s">
        <v>31</v>
      </c>
      <c r="CL24" s="32" t="s">
        <v>31</v>
      </c>
      <c r="CM24" s="32" t="s">
        <v>31</v>
      </c>
      <c r="CN24" s="32" t="s">
        <v>31</v>
      </c>
      <c r="CO24" s="32" t="s">
        <v>31</v>
      </c>
      <c r="CP24" s="32" t="s">
        <v>31</v>
      </c>
      <c r="CQ24" s="32" t="s">
        <v>31</v>
      </c>
      <c r="CR24" s="32" t="s">
        <v>31</v>
      </c>
      <c r="CS24" s="32" t="s">
        <v>31</v>
      </c>
      <c r="CT24" s="32" t="s">
        <v>31</v>
      </c>
      <c r="CU24" s="32" t="s">
        <v>31</v>
      </c>
    </row>
    <row r="25" spans="1:99" x14ac:dyDescent="0.35">
      <c r="A25" s="29" t="s">
        <v>767</v>
      </c>
      <c r="B25" s="32" t="s">
        <v>29</v>
      </c>
      <c r="C25" s="32" t="s">
        <v>29</v>
      </c>
      <c r="D25" s="32" t="s">
        <v>29</v>
      </c>
      <c r="E25" s="32" t="s">
        <v>29</v>
      </c>
      <c r="F25" s="32" t="s">
        <v>29</v>
      </c>
      <c r="G25" s="32" t="s">
        <v>29</v>
      </c>
      <c r="H25" s="32" t="s">
        <v>29</v>
      </c>
      <c r="I25" s="32" t="s">
        <v>29</v>
      </c>
      <c r="J25" s="32" t="s">
        <v>29</v>
      </c>
      <c r="K25" s="32" t="s">
        <v>29</v>
      </c>
      <c r="L25" s="32" t="s">
        <v>29</v>
      </c>
      <c r="M25" s="32" t="s">
        <v>29</v>
      </c>
      <c r="N25" s="32" t="s">
        <v>29</v>
      </c>
      <c r="O25" s="32" t="s">
        <v>29</v>
      </c>
      <c r="P25" s="32" t="s">
        <v>29</v>
      </c>
      <c r="Q25" s="32" t="s">
        <v>29</v>
      </c>
      <c r="R25" s="32" t="s">
        <v>29</v>
      </c>
      <c r="S25" s="32" t="s">
        <v>29</v>
      </c>
      <c r="T25" s="32" t="s">
        <v>29</v>
      </c>
      <c r="U25" s="32" t="s">
        <v>29</v>
      </c>
      <c r="V25" s="32" t="s">
        <v>29</v>
      </c>
      <c r="W25" s="32" t="s">
        <v>29</v>
      </c>
      <c r="X25" s="32" t="s">
        <v>29</v>
      </c>
      <c r="Y25" s="32" t="s">
        <v>29</v>
      </c>
      <c r="Z25" s="32" t="s">
        <v>29</v>
      </c>
      <c r="AA25" s="32" t="s">
        <v>29</v>
      </c>
      <c r="AB25" s="32" t="s">
        <v>29</v>
      </c>
      <c r="AC25" s="32" t="s">
        <v>29</v>
      </c>
      <c r="AD25" s="32" t="s">
        <v>29</v>
      </c>
      <c r="AE25" s="32" t="s">
        <v>29</v>
      </c>
      <c r="AF25" s="32" t="s">
        <v>29</v>
      </c>
      <c r="AG25" s="32" t="s">
        <v>29</v>
      </c>
      <c r="AH25" s="32" t="s">
        <v>29</v>
      </c>
      <c r="AI25" s="32" t="s">
        <v>29</v>
      </c>
      <c r="AJ25" s="32" t="s">
        <v>29</v>
      </c>
      <c r="AK25" s="32" t="s">
        <v>29</v>
      </c>
      <c r="AL25" s="32" t="s">
        <v>29</v>
      </c>
      <c r="AM25" s="32" t="s">
        <v>29</v>
      </c>
      <c r="AN25" s="32" t="s">
        <v>29</v>
      </c>
      <c r="AO25" s="32" t="s">
        <v>29</v>
      </c>
      <c r="AP25" s="32" t="s">
        <v>29</v>
      </c>
      <c r="AQ25" s="32" t="s">
        <v>29</v>
      </c>
      <c r="AR25" s="32" t="s">
        <v>29</v>
      </c>
      <c r="AS25" s="32" t="s">
        <v>29</v>
      </c>
      <c r="AT25" s="32" t="s">
        <v>29</v>
      </c>
      <c r="AU25" s="32" t="s">
        <v>29</v>
      </c>
      <c r="AV25" s="32" t="s">
        <v>29</v>
      </c>
      <c r="AW25" s="32" t="s">
        <v>29</v>
      </c>
      <c r="AX25" s="32" t="s">
        <v>29</v>
      </c>
      <c r="AY25" s="32" t="s">
        <v>29</v>
      </c>
      <c r="AZ25" s="32" t="s">
        <v>29</v>
      </c>
      <c r="BA25" s="32" t="s">
        <v>29</v>
      </c>
      <c r="BB25" s="32" t="s">
        <v>29</v>
      </c>
      <c r="BC25" s="32" t="s">
        <v>29</v>
      </c>
      <c r="BD25" s="32" t="s">
        <v>29</v>
      </c>
      <c r="BE25" s="32" t="s">
        <v>29</v>
      </c>
      <c r="BF25" s="32" t="s">
        <v>29</v>
      </c>
      <c r="BG25" s="32" t="s">
        <v>29</v>
      </c>
      <c r="BH25" s="32" t="s">
        <v>29</v>
      </c>
      <c r="BI25" s="32" t="s">
        <v>29</v>
      </c>
      <c r="BJ25" s="32" t="s">
        <v>29</v>
      </c>
      <c r="BK25" s="32" t="s">
        <v>29</v>
      </c>
      <c r="BL25" s="32" t="s">
        <v>29</v>
      </c>
      <c r="BM25" s="32" t="s">
        <v>29</v>
      </c>
      <c r="BN25" s="32" t="s">
        <v>29</v>
      </c>
      <c r="BO25" s="32" t="s">
        <v>29</v>
      </c>
      <c r="BP25" s="32" t="s">
        <v>29</v>
      </c>
      <c r="BQ25" s="32" t="s">
        <v>29</v>
      </c>
      <c r="BR25" s="32" t="s">
        <v>29</v>
      </c>
      <c r="BS25" s="32" t="s">
        <v>29</v>
      </c>
      <c r="BT25" s="32" t="s">
        <v>29</v>
      </c>
      <c r="BU25" s="32" t="s">
        <v>29</v>
      </c>
      <c r="BV25" s="32" t="s">
        <v>29</v>
      </c>
      <c r="BW25" s="32" t="s">
        <v>29</v>
      </c>
      <c r="BX25" s="32" t="s">
        <v>29</v>
      </c>
      <c r="BY25" s="32" t="s">
        <v>29</v>
      </c>
      <c r="BZ25" s="32" t="s">
        <v>29</v>
      </c>
      <c r="CA25" s="32" t="s">
        <v>29</v>
      </c>
      <c r="CB25" s="32" t="s">
        <v>29</v>
      </c>
      <c r="CC25" s="32" t="s">
        <v>29</v>
      </c>
      <c r="CD25" s="32" t="s">
        <v>29</v>
      </c>
      <c r="CE25" s="32" t="s">
        <v>29</v>
      </c>
      <c r="CF25" s="32" t="s">
        <v>29</v>
      </c>
      <c r="CG25" s="32" t="s">
        <v>29</v>
      </c>
      <c r="CH25" s="32" t="s">
        <v>29</v>
      </c>
      <c r="CI25" s="32" t="s">
        <v>29</v>
      </c>
      <c r="CJ25" s="32" t="s">
        <v>29</v>
      </c>
      <c r="CK25" s="32" t="s">
        <v>29</v>
      </c>
      <c r="CL25" s="32" t="s">
        <v>29</v>
      </c>
      <c r="CM25" s="32" t="s">
        <v>29</v>
      </c>
      <c r="CN25" s="32" t="s">
        <v>29</v>
      </c>
      <c r="CO25" s="32" t="s">
        <v>29</v>
      </c>
      <c r="CP25" s="32" t="s">
        <v>29</v>
      </c>
      <c r="CQ25" s="32" t="s">
        <v>29</v>
      </c>
      <c r="CR25" s="32" t="s">
        <v>29</v>
      </c>
      <c r="CS25" s="32" t="s">
        <v>29</v>
      </c>
      <c r="CT25" s="32" t="s">
        <v>29</v>
      </c>
      <c r="CU25" s="32" t="s">
        <v>29</v>
      </c>
    </row>
    <row r="26" spans="1:99" x14ac:dyDescent="0.35">
      <c r="A26" s="34" t="s">
        <v>599</v>
      </c>
      <c r="B26" s="32" t="s">
        <v>29</v>
      </c>
      <c r="C26" s="32" t="s">
        <v>29</v>
      </c>
      <c r="D26" s="32" t="s">
        <v>29</v>
      </c>
      <c r="E26" s="32" t="s">
        <v>29</v>
      </c>
      <c r="F26" s="32" t="s">
        <v>29</v>
      </c>
      <c r="G26" s="32" t="s">
        <v>29</v>
      </c>
      <c r="H26" s="32" t="s">
        <v>29</v>
      </c>
      <c r="I26" s="35" t="s">
        <v>33</v>
      </c>
      <c r="J26" s="32" t="s">
        <v>29</v>
      </c>
      <c r="K26" s="32" t="s">
        <v>29</v>
      </c>
      <c r="L26" s="32" t="s">
        <v>29</v>
      </c>
      <c r="M26" s="32" t="s">
        <v>29</v>
      </c>
      <c r="N26" s="35" t="s">
        <v>33</v>
      </c>
      <c r="O26" s="32" t="s">
        <v>29</v>
      </c>
      <c r="P26" s="32" t="s">
        <v>29</v>
      </c>
      <c r="Q26" s="32" t="s">
        <v>29</v>
      </c>
      <c r="R26" s="32" t="s">
        <v>29</v>
      </c>
      <c r="S26" s="32" t="s">
        <v>29</v>
      </c>
      <c r="T26" s="32" t="s">
        <v>29</v>
      </c>
      <c r="U26" s="32" t="s">
        <v>29</v>
      </c>
      <c r="V26" s="32" t="s">
        <v>29</v>
      </c>
      <c r="W26" s="32" t="s">
        <v>29</v>
      </c>
      <c r="X26" s="32" t="s">
        <v>29</v>
      </c>
      <c r="Y26" s="32" t="s">
        <v>29</v>
      </c>
      <c r="Z26" s="32" t="s">
        <v>29</v>
      </c>
      <c r="AA26" s="32" t="s">
        <v>29</v>
      </c>
      <c r="AB26" s="32" t="s">
        <v>29</v>
      </c>
      <c r="AC26" s="32" t="s">
        <v>29</v>
      </c>
      <c r="AD26" s="32" t="s">
        <v>29</v>
      </c>
      <c r="AE26" s="32" t="s">
        <v>29</v>
      </c>
      <c r="AF26" s="32" t="s">
        <v>29</v>
      </c>
      <c r="AG26" s="32" t="s">
        <v>29</v>
      </c>
      <c r="AH26" s="32" t="s">
        <v>29</v>
      </c>
      <c r="AI26" s="32" t="s">
        <v>29</v>
      </c>
      <c r="AJ26" s="32" t="s">
        <v>29</v>
      </c>
      <c r="AK26" s="32" t="s">
        <v>29</v>
      </c>
      <c r="AL26" s="32" t="s">
        <v>29</v>
      </c>
      <c r="AM26" s="35" t="s">
        <v>33</v>
      </c>
      <c r="AN26" s="32" t="s">
        <v>29</v>
      </c>
      <c r="AO26" s="32" t="s">
        <v>29</v>
      </c>
      <c r="AP26" s="32" t="s">
        <v>29</v>
      </c>
      <c r="AQ26" s="32" t="s">
        <v>29</v>
      </c>
      <c r="AR26" s="32" t="s">
        <v>29</v>
      </c>
      <c r="AS26" s="32" t="s">
        <v>29</v>
      </c>
      <c r="AT26" s="32" t="s">
        <v>29</v>
      </c>
      <c r="AU26" s="35" t="s">
        <v>33</v>
      </c>
      <c r="AV26" s="32" t="s">
        <v>29</v>
      </c>
      <c r="AW26" s="32" t="s">
        <v>29</v>
      </c>
      <c r="AX26" s="32" t="s">
        <v>29</v>
      </c>
      <c r="AY26" s="32" t="s">
        <v>29</v>
      </c>
      <c r="AZ26" s="35" t="s">
        <v>33</v>
      </c>
      <c r="BA26" s="32" t="s">
        <v>29</v>
      </c>
      <c r="BB26" s="32" t="s">
        <v>29</v>
      </c>
      <c r="BC26" s="32" t="s">
        <v>29</v>
      </c>
      <c r="BD26" s="35" t="s">
        <v>33</v>
      </c>
      <c r="BE26" s="32" t="s">
        <v>29</v>
      </c>
      <c r="BF26" s="32" t="s">
        <v>29</v>
      </c>
      <c r="BG26" s="32" t="s">
        <v>29</v>
      </c>
      <c r="BH26" s="32" t="s">
        <v>29</v>
      </c>
      <c r="BI26" s="32" t="s">
        <v>29</v>
      </c>
      <c r="BJ26" s="32" t="s">
        <v>29</v>
      </c>
      <c r="BK26" s="35" t="s">
        <v>33</v>
      </c>
      <c r="BL26" s="32" t="s">
        <v>29</v>
      </c>
      <c r="BM26" s="32" t="s">
        <v>29</v>
      </c>
      <c r="BN26" s="32" t="s">
        <v>29</v>
      </c>
      <c r="BO26" s="32" t="s">
        <v>29</v>
      </c>
      <c r="BP26" s="32" t="s">
        <v>29</v>
      </c>
      <c r="BQ26" s="32" t="s">
        <v>29</v>
      </c>
      <c r="BR26" s="32" t="s">
        <v>29</v>
      </c>
      <c r="BS26" s="32" t="s">
        <v>29</v>
      </c>
      <c r="BT26" s="32" t="s">
        <v>29</v>
      </c>
      <c r="BU26" s="32" t="s">
        <v>29</v>
      </c>
      <c r="BV26" s="35" t="s">
        <v>33</v>
      </c>
      <c r="BW26" s="35" t="s">
        <v>33</v>
      </c>
      <c r="BX26" s="35" t="s">
        <v>33</v>
      </c>
      <c r="BY26" s="32" t="s">
        <v>29</v>
      </c>
      <c r="BZ26" s="32" t="s">
        <v>29</v>
      </c>
      <c r="CA26" s="32" t="s">
        <v>29</v>
      </c>
      <c r="CB26" s="32" t="s">
        <v>29</v>
      </c>
      <c r="CC26" s="32" t="s">
        <v>29</v>
      </c>
      <c r="CD26" s="32" t="s">
        <v>29</v>
      </c>
      <c r="CE26" s="32" t="s">
        <v>29</v>
      </c>
      <c r="CF26" s="46" t="s">
        <v>29</v>
      </c>
      <c r="CG26" s="32" t="s">
        <v>29</v>
      </c>
      <c r="CH26" s="32" t="s">
        <v>29</v>
      </c>
      <c r="CI26" s="32" t="s">
        <v>29</v>
      </c>
      <c r="CJ26" s="35" t="s">
        <v>33</v>
      </c>
      <c r="CK26" s="32" t="s">
        <v>29</v>
      </c>
      <c r="CL26" s="32" t="s">
        <v>29</v>
      </c>
      <c r="CM26" s="32" t="s">
        <v>29</v>
      </c>
      <c r="CN26" s="32" t="s">
        <v>29</v>
      </c>
      <c r="CO26" s="32" t="s">
        <v>29</v>
      </c>
      <c r="CP26" s="32" t="s">
        <v>29</v>
      </c>
      <c r="CQ26" s="32" t="s">
        <v>29</v>
      </c>
      <c r="CR26" s="32" t="s">
        <v>29</v>
      </c>
      <c r="CS26" s="32" t="s">
        <v>29</v>
      </c>
      <c r="CT26" s="35" t="s">
        <v>33</v>
      </c>
      <c r="CU26" s="35" t="s">
        <v>33</v>
      </c>
    </row>
    <row r="27" spans="1:99" x14ac:dyDescent="0.35">
      <c r="I27" s="47" t="s">
        <v>779</v>
      </c>
      <c r="AM27" s="47" t="s">
        <v>781</v>
      </c>
      <c r="AU27" s="47" t="s">
        <v>782</v>
      </c>
      <c r="BD27" s="47" t="s">
        <v>784</v>
      </c>
      <c r="BK27" s="47" t="s">
        <v>787</v>
      </c>
      <c r="BV27" s="47" t="s">
        <v>788</v>
      </c>
      <c r="CJ27" s="47" t="s">
        <v>791</v>
      </c>
      <c r="CT27" s="47" t="s">
        <v>792</v>
      </c>
    </row>
    <row r="28" spans="1:99" x14ac:dyDescent="0.35">
      <c r="N28" s="48" t="s">
        <v>780</v>
      </c>
      <c r="AZ28" s="47" t="s">
        <v>783</v>
      </c>
      <c r="BD28" s="48" t="s">
        <v>785</v>
      </c>
      <c r="BW28" s="47" t="s">
        <v>789</v>
      </c>
    </row>
    <row r="29" spans="1:99" x14ac:dyDescent="0.35">
      <c r="BD29" s="47" t="s">
        <v>786</v>
      </c>
      <c r="BX29" s="47" t="s">
        <v>790</v>
      </c>
    </row>
  </sheetData>
  <mergeCells count="1">
    <mergeCell ref="A1:CW1"/>
  </mergeCells>
  <conditionalFormatting sqref="B7:CU26">
    <cfRule type="cellIs" dxfId="14" priority="39" operator="equal">
      <formula>"r"</formula>
    </cfRule>
    <cfRule type="cellIs" dxfId="13" priority="38" operator="equal">
      <formula>"p"</formula>
    </cfRule>
    <cfRule type="cellIs" dxfId="12" priority="37" operator="equal">
      <formula>"n"</formula>
    </cfRule>
    <cfRule type="cellIs" dxfId="11" priority="36" operator="equal">
      <formula>"a"</formula>
    </cfRule>
    <cfRule type="cellIs" dxfId="10" priority="35" operator="equal">
      <formula>"c"</formula>
    </cfRule>
  </conditionalFormatting>
  <conditionalFormatting sqref="I27">
    <cfRule type="colorScale" priority="27">
      <colorScale>
        <cfvo type="num" val="1"/>
        <cfvo type="num" val="2"/>
        <cfvo type="num" val="3"/>
        <color rgb="FFFCC4C5"/>
        <color rgb="FFFFEB84"/>
        <color theme="6" tint="0.79998168889431442"/>
      </colorScale>
    </cfRule>
  </conditionalFormatting>
  <conditionalFormatting sqref="N28">
    <cfRule type="colorScale" priority="25">
      <colorScale>
        <cfvo type="num" val="1"/>
        <cfvo type="num" val="2"/>
        <cfvo type="num" val="3"/>
        <color rgb="FFFCC4C5"/>
        <color rgb="FFFFEB84"/>
        <color theme="6" tint="0.79998168889431442"/>
      </colorScale>
    </cfRule>
  </conditionalFormatting>
  <conditionalFormatting sqref="AM27">
    <cfRule type="colorScale" priority="23">
      <colorScale>
        <cfvo type="num" val="1"/>
        <cfvo type="num" val="2"/>
        <cfvo type="num" val="3"/>
        <color rgb="FFFCC4C5"/>
        <color rgb="FFFFEB84"/>
        <color theme="6" tint="0.79998168889431442"/>
      </colorScale>
    </cfRule>
  </conditionalFormatting>
  <conditionalFormatting sqref="AU27">
    <cfRule type="colorScale" priority="21">
      <colorScale>
        <cfvo type="num" val="1"/>
        <cfvo type="num" val="2"/>
        <cfvo type="num" val="3"/>
        <color rgb="FFFCC4C5"/>
        <color rgb="FFFFEB84"/>
        <color theme="6" tint="0.79998168889431442"/>
      </colorScale>
    </cfRule>
  </conditionalFormatting>
  <conditionalFormatting sqref="AZ28">
    <cfRule type="colorScale" priority="19">
      <colorScale>
        <cfvo type="num" val="1"/>
        <cfvo type="num" val="2"/>
        <cfvo type="num" val="3"/>
        <color rgb="FFFCC4C5"/>
        <color rgb="FFFFEB84"/>
        <color theme="6" tint="0.79998168889431442"/>
      </colorScale>
    </cfRule>
  </conditionalFormatting>
  <conditionalFormatting sqref="BD27">
    <cfRule type="colorScale" priority="17">
      <colorScale>
        <cfvo type="num" val="1"/>
        <cfvo type="num" val="2"/>
        <cfvo type="num" val="3"/>
        <color rgb="FFFCC4C5"/>
        <color rgb="FFFFEB84"/>
        <color theme="6" tint="0.79998168889431442"/>
      </colorScale>
    </cfRule>
  </conditionalFormatting>
  <conditionalFormatting sqref="BD28">
    <cfRule type="colorScale" priority="15">
      <colorScale>
        <cfvo type="num" val="1"/>
        <cfvo type="num" val="2"/>
        <cfvo type="num" val="3"/>
        <color rgb="FFFCC4C5"/>
        <color rgb="FFFFEB84"/>
        <color theme="6" tint="0.79998168889431442"/>
      </colorScale>
    </cfRule>
  </conditionalFormatting>
  <conditionalFormatting sqref="BD29">
    <cfRule type="colorScale" priority="13">
      <colorScale>
        <cfvo type="num" val="1"/>
        <cfvo type="num" val="2"/>
        <cfvo type="num" val="3"/>
        <color rgb="FFFCC4C5"/>
        <color rgb="FFFFEB84"/>
        <color theme="6" tint="0.79998168889431442"/>
      </colorScale>
    </cfRule>
  </conditionalFormatting>
  <conditionalFormatting sqref="BK27">
    <cfRule type="colorScale" priority="11">
      <colorScale>
        <cfvo type="num" val="1"/>
        <cfvo type="num" val="2"/>
        <cfvo type="num" val="3"/>
        <color rgb="FFFCC4C5"/>
        <color rgb="FFFFEB84"/>
        <color theme="6" tint="0.79998168889431442"/>
      </colorScale>
    </cfRule>
  </conditionalFormatting>
  <conditionalFormatting sqref="BV27">
    <cfRule type="colorScale" priority="9">
      <colorScale>
        <cfvo type="num" val="1"/>
        <cfvo type="num" val="2"/>
        <cfvo type="num" val="3"/>
        <color rgb="FFFCC4C5"/>
        <color rgb="FFFFEB84"/>
        <color theme="6" tint="0.79998168889431442"/>
      </colorScale>
    </cfRule>
  </conditionalFormatting>
  <conditionalFormatting sqref="BW28">
    <cfRule type="colorScale" priority="7">
      <colorScale>
        <cfvo type="num" val="1"/>
        <cfvo type="num" val="2"/>
        <cfvo type="num" val="3"/>
        <color rgb="FFFCC4C5"/>
        <color rgb="FFFFEB84"/>
        <color theme="6" tint="0.79998168889431442"/>
      </colorScale>
    </cfRule>
  </conditionalFormatting>
  <conditionalFormatting sqref="BX29">
    <cfRule type="colorScale" priority="5">
      <colorScale>
        <cfvo type="num" val="1"/>
        <cfvo type="num" val="2"/>
        <cfvo type="num" val="3"/>
        <color rgb="FFFCC4C5"/>
        <color rgb="FFFFEB84"/>
        <color theme="6" tint="0.79998168889431442"/>
      </colorScale>
    </cfRule>
  </conditionalFormatting>
  <conditionalFormatting sqref="CJ27">
    <cfRule type="colorScale" priority="3">
      <colorScale>
        <cfvo type="num" val="1"/>
        <cfvo type="num" val="2"/>
        <cfvo type="num" val="3"/>
        <color rgb="FFFCC4C5"/>
        <color rgb="FFFFEB84"/>
        <color theme="6" tint="0.79998168889431442"/>
      </colorScale>
    </cfRule>
  </conditionalFormatting>
  <conditionalFormatting sqref="CT27">
    <cfRule type="colorScale" priority="1">
      <colorScale>
        <cfvo type="num" val="1"/>
        <cfvo type="num" val="2"/>
        <cfvo type="num" val="3"/>
        <color rgb="FFFCC4C5"/>
        <color rgb="FFFFEB84"/>
        <color theme="6" tint="0.79998168889431442"/>
      </colorScale>
    </cfRule>
  </conditionalFormatting>
  <dataValidations count="2">
    <dataValidation type="list" allowBlank="1" errorTitle="Código inválido" error="Use c, a, n ou p." promptTitle="Status" prompt="c=concluído  a=andamento  n=n/a  p=pendente" sqref="B7:CU22" xr:uid="{00000000-0002-0000-0A00-000000000000}">
      <formula1>"c,a,n,p"</formula1>
    </dataValidation>
    <dataValidation type="list" allowBlank="1" errorTitle="Código inválido" error="Use n ou r." sqref="B23:CU26" xr:uid="{00000000-0002-0000-0A00-000001000000}">
      <formula1>"n,r"</formula1>
    </dataValidation>
  </dataValidations>
  <printOptions horizontalCentered="1"/>
  <pageMargins left="0.4" right="0.4" top="0.5" bottom="0.5" header="0.2" footer="0.2"/>
  <pageSetup paperSize="8" fitToHeight="0" orientation="landscape"/>
  <extLst>
    <ext xmlns:x14="http://schemas.microsoft.com/office/spreadsheetml/2009/9/main" uri="{78C0D931-6437-407d-A8EE-F0AAD7539E65}">
      <x14:conditionalFormattings>
        <x14:conditionalFormatting xmlns:xm="http://schemas.microsoft.com/office/excel/2006/main">
          <x14:cfRule type="iconSet" priority="28" id="{CFB2AF11-452D-4F11-9ED7-71F80A798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I27</xm:sqref>
        </x14:conditionalFormatting>
        <x14:conditionalFormatting xmlns:xm="http://schemas.microsoft.com/office/excel/2006/main">
          <x14:cfRule type="iconSet" priority="26" id="{7EFD31B2-7F32-4364-A3E2-66A579C14E31}">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N28</xm:sqref>
        </x14:conditionalFormatting>
        <x14:conditionalFormatting xmlns:xm="http://schemas.microsoft.com/office/excel/2006/main">
          <x14:cfRule type="iconSet" priority="24" id="{8D06A92B-6D1C-4F61-A779-2AA6CBEEE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AM27</xm:sqref>
        </x14:conditionalFormatting>
        <x14:conditionalFormatting xmlns:xm="http://schemas.microsoft.com/office/excel/2006/main">
          <x14:cfRule type="iconSet" priority="22" id="{027CEEA4-EB93-4461-AD54-9C2B7095A0B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AU27</xm:sqref>
        </x14:conditionalFormatting>
        <x14:conditionalFormatting xmlns:xm="http://schemas.microsoft.com/office/excel/2006/main">
          <x14:cfRule type="iconSet" priority="20" id="{2CC430CF-E086-42A0-A6B0-A8A3570F766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AZ28</xm:sqref>
        </x14:conditionalFormatting>
        <x14:conditionalFormatting xmlns:xm="http://schemas.microsoft.com/office/excel/2006/main">
          <x14:cfRule type="iconSet" priority="18" id="{2A0593FB-8850-4D6D-8A4E-9DB43A07A26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BD27</xm:sqref>
        </x14:conditionalFormatting>
        <x14:conditionalFormatting xmlns:xm="http://schemas.microsoft.com/office/excel/2006/main">
          <x14:cfRule type="iconSet" priority="16" id="{DA6F4362-C3A3-45AD-9A8B-63F1F12EF7F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BD28</xm:sqref>
        </x14:conditionalFormatting>
        <x14:conditionalFormatting xmlns:xm="http://schemas.microsoft.com/office/excel/2006/main">
          <x14:cfRule type="iconSet" priority="14" id="{A65C9FAE-4086-41A7-B2EA-47859817596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BD29</xm:sqref>
        </x14:conditionalFormatting>
        <x14:conditionalFormatting xmlns:xm="http://schemas.microsoft.com/office/excel/2006/main">
          <x14:cfRule type="iconSet" priority="12" id="{F85201C2-F30C-4225-873C-1C9E8FDC5A3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BK27</xm:sqref>
        </x14:conditionalFormatting>
        <x14:conditionalFormatting xmlns:xm="http://schemas.microsoft.com/office/excel/2006/main">
          <x14:cfRule type="iconSet" priority="10" id="{F4130B0A-236F-4D83-88ED-14482065C50E}">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BV27</xm:sqref>
        </x14:conditionalFormatting>
        <x14:conditionalFormatting xmlns:xm="http://schemas.microsoft.com/office/excel/2006/main">
          <x14:cfRule type="iconSet" priority="8" id="{D5B9A9C6-62D5-4530-B9B3-82992E44E81D}">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BW28</xm:sqref>
        </x14:conditionalFormatting>
        <x14:conditionalFormatting xmlns:xm="http://schemas.microsoft.com/office/excel/2006/main">
          <x14:cfRule type="iconSet" priority="6" id="{A63003DD-EB89-478C-AD4C-A49E52DFEAF6}">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BX29</xm:sqref>
        </x14:conditionalFormatting>
        <x14:conditionalFormatting xmlns:xm="http://schemas.microsoft.com/office/excel/2006/main">
          <x14:cfRule type="iconSet" priority="4" id="{44865799-C3CE-4D5C-8090-755AFA668325}">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CJ27</xm:sqref>
        </x14:conditionalFormatting>
        <x14:conditionalFormatting xmlns:xm="http://schemas.microsoft.com/office/excel/2006/main">
          <x14:cfRule type="iconSet" priority="2" id="{52BD8585-C4CA-487C-85EB-55037D3F23E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CT27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O28"/>
  <sheetViews>
    <sheetView showGridLines="0" workbookViewId="0">
      <pane xSplit="1" ySplit="6" topLeftCell="C7" activePane="bottomRight" state="frozen"/>
      <selection pane="topRight"/>
      <selection pane="bottomLeft"/>
      <selection pane="bottomRight" activeCell="T10" sqref="T10"/>
    </sheetView>
  </sheetViews>
  <sheetFormatPr defaultRowHeight="14.5" x14ac:dyDescent="0.35"/>
  <cols>
    <col min="1" max="1" width="28" customWidth="1"/>
    <col min="2" max="65" width="4" customWidth="1"/>
  </cols>
  <sheetData>
    <row r="1" spans="1:67" ht="24" customHeight="1" x14ac:dyDescent="0.35">
      <c r="A1" s="58" t="s">
        <v>600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row>
    <row r="2" spans="1:67" x14ac:dyDescent="0.35">
      <c r="A2" s="1" t="s">
        <v>420</v>
      </c>
      <c r="B2" s="20" t="s">
        <v>421</v>
      </c>
      <c r="C2" s="21" t="s">
        <v>422</v>
      </c>
      <c r="D2" s="22" t="s">
        <v>423</v>
      </c>
      <c r="E2" s="23" t="s">
        <v>424</v>
      </c>
      <c r="F2" s="24" t="s">
        <v>425</v>
      </c>
    </row>
    <row r="4" spans="1:67" ht="60" customHeight="1" x14ac:dyDescent="0.35">
      <c r="A4" s="25" t="s">
        <v>426</v>
      </c>
      <c r="B4" s="26" t="s">
        <v>601</v>
      </c>
      <c r="C4" s="26" t="s">
        <v>601</v>
      </c>
      <c r="D4" s="26" t="s">
        <v>601</v>
      </c>
      <c r="E4" s="26" t="s">
        <v>601</v>
      </c>
      <c r="F4" s="26" t="s">
        <v>601</v>
      </c>
      <c r="G4" s="26" t="s">
        <v>601</v>
      </c>
      <c r="H4" s="26" t="s">
        <v>601</v>
      </c>
      <c r="I4" s="26" t="s">
        <v>601</v>
      </c>
      <c r="J4" s="26" t="s">
        <v>601</v>
      </c>
      <c r="K4" s="26" t="s">
        <v>601</v>
      </c>
      <c r="L4" s="26" t="s">
        <v>601</v>
      </c>
      <c r="M4" s="26" t="s">
        <v>601</v>
      </c>
      <c r="N4" s="26" t="s">
        <v>601</v>
      </c>
      <c r="O4" s="26" t="s">
        <v>601</v>
      </c>
      <c r="P4" s="26" t="s">
        <v>601</v>
      </c>
      <c r="Q4" s="26" t="s">
        <v>601</v>
      </c>
      <c r="R4" s="26" t="s">
        <v>601</v>
      </c>
      <c r="S4" s="26" t="s">
        <v>601</v>
      </c>
      <c r="T4" s="26" t="s">
        <v>601</v>
      </c>
      <c r="U4" s="26" t="s">
        <v>602</v>
      </c>
      <c r="V4" s="26" t="s">
        <v>602</v>
      </c>
      <c r="W4" s="26" t="s">
        <v>602</v>
      </c>
      <c r="X4" s="26" t="s">
        <v>602</v>
      </c>
      <c r="Y4" s="26" t="s">
        <v>602</v>
      </c>
      <c r="Z4" s="26" t="s">
        <v>602</v>
      </c>
      <c r="AA4" s="26" t="s">
        <v>602</v>
      </c>
      <c r="AB4" s="26" t="s">
        <v>602</v>
      </c>
      <c r="AC4" s="26" t="s">
        <v>602</v>
      </c>
      <c r="AD4" s="26" t="s">
        <v>602</v>
      </c>
      <c r="AE4" s="26" t="s">
        <v>602</v>
      </c>
      <c r="AF4" s="26" t="s">
        <v>602</v>
      </c>
      <c r="AG4" s="26" t="s">
        <v>602</v>
      </c>
      <c r="AH4" s="26" t="s">
        <v>602</v>
      </c>
      <c r="AI4" s="26" t="s">
        <v>602</v>
      </c>
      <c r="AJ4" s="26" t="s">
        <v>602</v>
      </c>
      <c r="AK4" s="26" t="s">
        <v>602</v>
      </c>
      <c r="AL4" s="26" t="s">
        <v>602</v>
      </c>
      <c r="AM4" s="26" t="s">
        <v>602</v>
      </c>
      <c r="AN4" s="26" t="s">
        <v>602</v>
      </c>
      <c r="AO4" s="26" t="s">
        <v>602</v>
      </c>
      <c r="AP4" s="26" t="s">
        <v>602</v>
      </c>
      <c r="AQ4" s="26" t="s">
        <v>603</v>
      </c>
      <c r="AR4" s="26" t="s">
        <v>603</v>
      </c>
      <c r="AS4" s="26" t="s">
        <v>603</v>
      </c>
      <c r="AT4" s="26" t="s">
        <v>603</v>
      </c>
      <c r="AU4" s="26" t="s">
        <v>603</v>
      </c>
      <c r="AV4" s="26" t="s">
        <v>603</v>
      </c>
      <c r="AW4" s="26" t="s">
        <v>603</v>
      </c>
      <c r="AX4" s="26" t="s">
        <v>603</v>
      </c>
      <c r="AY4" s="26" t="s">
        <v>603</v>
      </c>
      <c r="AZ4" s="26" t="s">
        <v>603</v>
      </c>
      <c r="BA4" s="26" t="s">
        <v>603</v>
      </c>
      <c r="BB4" s="26" t="s">
        <v>603</v>
      </c>
      <c r="BC4" s="26" t="s">
        <v>603</v>
      </c>
      <c r="BD4" s="26" t="s">
        <v>603</v>
      </c>
      <c r="BE4" s="26" t="s">
        <v>603</v>
      </c>
      <c r="BF4" s="26" t="s">
        <v>603</v>
      </c>
      <c r="BG4" s="26" t="s">
        <v>603</v>
      </c>
      <c r="BH4" s="26" t="s">
        <v>603</v>
      </c>
      <c r="BI4" s="26" t="s">
        <v>603</v>
      </c>
      <c r="BJ4" s="26" t="s">
        <v>603</v>
      </c>
      <c r="BK4" s="26" t="s">
        <v>603</v>
      </c>
      <c r="BL4" s="26" t="s">
        <v>603</v>
      </c>
      <c r="BM4" s="26" t="s">
        <v>603</v>
      </c>
    </row>
    <row r="5" spans="1:67" x14ac:dyDescent="0.35">
      <c r="A5" s="25" t="s">
        <v>360</v>
      </c>
      <c r="B5" s="27" t="s">
        <v>452</v>
      </c>
      <c r="C5" s="27" t="s">
        <v>453</v>
      </c>
      <c r="D5" s="27" t="s">
        <v>454</v>
      </c>
      <c r="E5" s="27" t="s">
        <v>455</v>
      </c>
      <c r="F5" s="27" t="s">
        <v>457</v>
      </c>
      <c r="G5" s="27" t="s">
        <v>604</v>
      </c>
      <c r="H5" s="27" t="s">
        <v>460</v>
      </c>
      <c r="I5" s="27" t="s">
        <v>458</v>
      </c>
      <c r="J5" s="27" t="s">
        <v>462</v>
      </c>
      <c r="K5" s="27" t="s">
        <v>461</v>
      </c>
      <c r="L5" s="27" t="s">
        <v>465</v>
      </c>
      <c r="M5" s="27" t="s">
        <v>463</v>
      </c>
      <c r="N5" s="27" t="s">
        <v>467</v>
      </c>
      <c r="O5" s="27" t="s">
        <v>464</v>
      </c>
      <c r="P5" s="27" t="s">
        <v>469</v>
      </c>
      <c r="Q5" s="27" t="s">
        <v>468</v>
      </c>
      <c r="R5" s="27" t="s">
        <v>605</v>
      </c>
      <c r="S5" s="27" t="s">
        <v>470</v>
      </c>
      <c r="T5" s="27" t="s">
        <v>471</v>
      </c>
      <c r="U5" s="27" t="s">
        <v>434</v>
      </c>
      <c r="V5" s="27" t="s">
        <v>433</v>
      </c>
      <c r="W5" s="27" t="s">
        <v>436</v>
      </c>
      <c r="X5" s="27" t="s">
        <v>435</v>
      </c>
      <c r="Y5" s="27" t="s">
        <v>440</v>
      </c>
      <c r="Z5" s="27" t="s">
        <v>437</v>
      </c>
      <c r="AA5" s="27" t="s">
        <v>442</v>
      </c>
      <c r="AB5" s="27" t="s">
        <v>439</v>
      </c>
      <c r="AC5" s="27" t="s">
        <v>444</v>
      </c>
      <c r="AD5" s="27" t="s">
        <v>441</v>
      </c>
      <c r="AE5" s="27" t="s">
        <v>446</v>
      </c>
      <c r="AF5" s="27" t="s">
        <v>443</v>
      </c>
      <c r="AG5" s="27" t="s">
        <v>448</v>
      </c>
      <c r="AH5" s="27" t="s">
        <v>447</v>
      </c>
      <c r="AI5" s="27" t="s">
        <v>450</v>
      </c>
      <c r="AJ5" s="27" t="s">
        <v>449</v>
      </c>
      <c r="AK5" s="27" t="s">
        <v>452</v>
      </c>
      <c r="AL5" s="27" t="s">
        <v>453</v>
      </c>
      <c r="AM5" s="27" t="s">
        <v>454</v>
      </c>
      <c r="AN5" s="27" t="s">
        <v>455</v>
      </c>
      <c r="AO5" s="27" t="s">
        <v>456</v>
      </c>
      <c r="AP5" s="27" t="s">
        <v>604</v>
      </c>
      <c r="AQ5" s="27" t="s">
        <v>433</v>
      </c>
      <c r="AR5" s="27" t="s">
        <v>434</v>
      </c>
      <c r="AS5" s="27" t="s">
        <v>435</v>
      </c>
      <c r="AT5" s="27" t="s">
        <v>436</v>
      </c>
      <c r="AU5" s="27" t="s">
        <v>437</v>
      </c>
      <c r="AV5" s="27" t="s">
        <v>438</v>
      </c>
      <c r="AW5" s="27" t="s">
        <v>439</v>
      </c>
      <c r="AX5" s="27" t="s">
        <v>440</v>
      </c>
      <c r="AY5" s="27" t="s">
        <v>441</v>
      </c>
      <c r="AZ5" s="27" t="s">
        <v>442</v>
      </c>
      <c r="BA5" s="27" t="s">
        <v>443</v>
      </c>
      <c r="BB5" s="27" t="s">
        <v>444</v>
      </c>
      <c r="BC5" s="27" t="s">
        <v>445</v>
      </c>
      <c r="BD5" s="27" t="s">
        <v>446</v>
      </c>
      <c r="BE5" s="27" t="s">
        <v>447</v>
      </c>
      <c r="BF5" s="27" t="s">
        <v>448</v>
      </c>
      <c r="BG5" s="27" t="s">
        <v>449</v>
      </c>
      <c r="BH5" s="27" t="s">
        <v>450</v>
      </c>
      <c r="BI5" s="27" t="s">
        <v>451</v>
      </c>
      <c r="BJ5" s="27" t="s">
        <v>452</v>
      </c>
      <c r="BK5" s="27" t="s">
        <v>455</v>
      </c>
      <c r="BL5" s="27" t="s">
        <v>456</v>
      </c>
      <c r="BM5" s="27" t="s">
        <v>457</v>
      </c>
    </row>
    <row r="6" spans="1:67" ht="48" customHeight="1" x14ac:dyDescent="0.35">
      <c r="A6" s="25" t="s">
        <v>510</v>
      </c>
      <c r="B6" s="28" t="s">
        <v>606</v>
      </c>
      <c r="C6" s="28" t="s">
        <v>607</v>
      </c>
      <c r="D6" s="28" t="s">
        <v>608</v>
      </c>
      <c r="E6" s="28" t="s">
        <v>609</v>
      </c>
      <c r="F6" s="28" t="s">
        <v>610</v>
      </c>
      <c r="G6" s="28" t="s">
        <v>611</v>
      </c>
      <c r="H6" s="28" t="s">
        <v>612</v>
      </c>
      <c r="I6" s="28" t="s">
        <v>613</v>
      </c>
      <c r="J6" s="28" t="s">
        <v>614</v>
      </c>
      <c r="K6" s="28" t="s">
        <v>615</v>
      </c>
      <c r="L6" s="28" t="s">
        <v>616</v>
      </c>
      <c r="M6" s="28" t="s">
        <v>617</v>
      </c>
      <c r="N6" s="28" t="s">
        <v>618</v>
      </c>
      <c r="O6" s="28" t="s">
        <v>619</v>
      </c>
      <c r="P6" s="28" t="s">
        <v>620</v>
      </c>
      <c r="Q6" s="28" t="s">
        <v>621</v>
      </c>
      <c r="R6" s="28" t="s">
        <v>622</v>
      </c>
      <c r="S6" s="28" t="s">
        <v>623</v>
      </c>
      <c r="T6" s="28" t="s">
        <v>624</v>
      </c>
      <c r="U6" s="28" t="s">
        <v>625</v>
      </c>
      <c r="V6" s="28" t="s">
        <v>626</v>
      </c>
      <c r="W6" s="28" t="s">
        <v>627</v>
      </c>
      <c r="X6" s="28" t="s">
        <v>628</v>
      </c>
      <c r="Y6" s="28" t="s">
        <v>629</v>
      </c>
      <c r="Z6" s="28" t="s">
        <v>630</v>
      </c>
      <c r="AA6" s="28" t="s">
        <v>631</v>
      </c>
      <c r="AB6" s="28" t="s">
        <v>632</v>
      </c>
      <c r="AC6" s="28" t="s">
        <v>633</v>
      </c>
      <c r="AD6" s="28" t="s">
        <v>634</v>
      </c>
      <c r="AE6" s="28" t="s">
        <v>635</v>
      </c>
      <c r="AF6" s="28" t="s">
        <v>636</v>
      </c>
      <c r="AG6" s="28" t="s">
        <v>637</v>
      </c>
      <c r="AH6" s="28" t="s">
        <v>638</v>
      </c>
      <c r="AI6" s="28" t="s">
        <v>639</v>
      </c>
      <c r="AJ6" s="28" t="s">
        <v>640</v>
      </c>
      <c r="AK6" s="28" t="s">
        <v>641</v>
      </c>
      <c r="AL6" s="28" t="s">
        <v>642</v>
      </c>
      <c r="AM6" s="28" t="s">
        <v>643</v>
      </c>
      <c r="AN6" s="28" t="s">
        <v>644</v>
      </c>
      <c r="AO6" s="28" t="s">
        <v>645</v>
      </c>
      <c r="AP6" s="28" t="s">
        <v>646</v>
      </c>
      <c r="AQ6" s="28" t="s">
        <v>647</v>
      </c>
      <c r="AR6" s="28" t="s">
        <v>648</v>
      </c>
      <c r="AS6" s="28" t="s">
        <v>649</v>
      </c>
      <c r="AT6" s="28" t="s">
        <v>650</v>
      </c>
      <c r="AU6" s="28" t="s">
        <v>651</v>
      </c>
      <c r="AV6" s="28" t="s">
        <v>652</v>
      </c>
      <c r="AW6" s="28" t="s">
        <v>653</v>
      </c>
      <c r="AX6" s="28" t="s">
        <v>654</v>
      </c>
      <c r="AY6" s="28" t="s">
        <v>655</v>
      </c>
      <c r="AZ6" s="28" t="s">
        <v>656</v>
      </c>
      <c r="BA6" s="28" t="s">
        <v>657</v>
      </c>
      <c r="BB6" s="28" t="s">
        <v>658</v>
      </c>
      <c r="BC6" s="28" t="s">
        <v>659</v>
      </c>
      <c r="BD6" s="28" t="s">
        <v>660</v>
      </c>
      <c r="BE6" s="28" t="s">
        <v>661</v>
      </c>
      <c r="BF6" s="28" t="s">
        <v>662</v>
      </c>
      <c r="BG6" s="28" t="s">
        <v>663</v>
      </c>
      <c r="BH6" s="28" t="s">
        <v>664</v>
      </c>
      <c r="BI6" s="28" t="s">
        <v>665</v>
      </c>
      <c r="BJ6" s="28" t="s">
        <v>666</v>
      </c>
      <c r="BK6" s="28" t="s">
        <v>667</v>
      </c>
      <c r="BL6" s="28" t="s">
        <v>668</v>
      </c>
      <c r="BM6" s="28" t="s">
        <v>669</v>
      </c>
    </row>
    <row r="7" spans="1:67" x14ac:dyDescent="0.35">
      <c r="A7" s="29" t="s">
        <v>750</v>
      </c>
      <c r="B7" s="30" t="s">
        <v>25</v>
      </c>
      <c r="C7" s="30" t="s">
        <v>25</v>
      </c>
      <c r="D7" s="30" t="s">
        <v>25</v>
      </c>
      <c r="E7" s="30" t="s">
        <v>25</v>
      </c>
      <c r="F7" s="30" t="s">
        <v>25</v>
      </c>
      <c r="G7" s="30" t="s">
        <v>25</v>
      </c>
      <c r="H7" s="30" t="s">
        <v>25</v>
      </c>
      <c r="I7" s="30" t="s">
        <v>25</v>
      </c>
      <c r="J7" s="30" t="s">
        <v>25</v>
      </c>
      <c r="K7" s="30" t="s">
        <v>25</v>
      </c>
      <c r="L7" s="30" t="s">
        <v>25</v>
      </c>
      <c r="M7" s="30" t="s">
        <v>25</v>
      </c>
      <c r="N7" s="30" t="s">
        <v>25</v>
      </c>
      <c r="O7" s="30" t="s">
        <v>25</v>
      </c>
      <c r="P7" s="30" t="s">
        <v>25</v>
      </c>
      <c r="Q7" s="30" t="s">
        <v>25</v>
      </c>
      <c r="R7" s="30" t="s">
        <v>25</v>
      </c>
      <c r="S7" s="30" t="s">
        <v>25</v>
      </c>
      <c r="T7" s="30" t="s">
        <v>25</v>
      </c>
      <c r="U7" s="30" t="s">
        <v>25</v>
      </c>
      <c r="V7" s="30" t="s">
        <v>25</v>
      </c>
      <c r="W7" s="30" t="s">
        <v>25</v>
      </c>
      <c r="X7" s="30" t="s">
        <v>25</v>
      </c>
      <c r="Y7" s="30" t="s">
        <v>25</v>
      </c>
      <c r="Z7" s="30" t="s">
        <v>25</v>
      </c>
      <c r="AA7" s="30" t="s">
        <v>25</v>
      </c>
      <c r="AB7" s="30" t="s">
        <v>25</v>
      </c>
      <c r="AC7" s="30" t="s">
        <v>25</v>
      </c>
      <c r="AD7" s="30" t="s">
        <v>25</v>
      </c>
      <c r="AE7" s="30" t="s">
        <v>25</v>
      </c>
      <c r="AF7" s="30" t="s">
        <v>25</v>
      </c>
      <c r="AG7" s="30" t="s">
        <v>25</v>
      </c>
      <c r="AH7" s="30" t="s">
        <v>25</v>
      </c>
      <c r="AI7" s="30" t="s">
        <v>25</v>
      </c>
      <c r="AJ7" s="30" t="s">
        <v>25</v>
      </c>
      <c r="AK7" s="30" t="s">
        <v>25</v>
      </c>
      <c r="AL7" s="30" t="s">
        <v>25</v>
      </c>
      <c r="AM7" s="30" t="s">
        <v>25</v>
      </c>
      <c r="AN7" s="30" t="s">
        <v>25</v>
      </c>
      <c r="AO7" s="30" t="s">
        <v>25</v>
      </c>
      <c r="AP7" s="30" t="s">
        <v>25</v>
      </c>
      <c r="AQ7" s="30" t="s">
        <v>25</v>
      </c>
      <c r="AR7" s="30" t="s">
        <v>25</v>
      </c>
      <c r="AS7" s="30" t="s">
        <v>25</v>
      </c>
      <c r="AT7" s="30" t="s">
        <v>25</v>
      </c>
      <c r="AU7" s="30" t="s">
        <v>25</v>
      </c>
      <c r="AV7" s="30" t="s">
        <v>25</v>
      </c>
      <c r="AW7" s="30" t="s">
        <v>25</v>
      </c>
      <c r="AX7" s="30" t="s">
        <v>25</v>
      </c>
      <c r="AY7" s="30" t="s">
        <v>25</v>
      </c>
      <c r="AZ7" s="30" t="s">
        <v>25</v>
      </c>
      <c r="BA7" s="30" t="s">
        <v>25</v>
      </c>
      <c r="BB7" s="30" t="s">
        <v>25</v>
      </c>
      <c r="BC7" s="30" t="s">
        <v>25</v>
      </c>
      <c r="BD7" s="30" t="s">
        <v>25</v>
      </c>
      <c r="BE7" s="30" t="s">
        <v>25</v>
      </c>
      <c r="BF7" s="30" t="s">
        <v>25</v>
      </c>
      <c r="BG7" s="30" t="s">
        <v>25</v>
      </c>
      <c r="BH7" s="30" t="s">
        <v>25</v>
      </c>
      <c r="BI7" s="30" t="s">
        <v>25</v>
      </c>
      <c r="BJ7" s="30" t="s">
        <v>25</v>
      </c>
      <c r="BK7" s="30" t="s">
        <v>25</v>
      </c>
      <c r="BL7" s="30" t="s">
        <v>25</v>
      </c>
      <c r="BM7" s="30" t="s">
        <v>25</v>
      </c>
    </row>
    <row r="8" spans="1:67" x14ac:dyDescent="0.35">
      <c r="A8" s="29" t="s">
        <v>749</v>
      </c>
      <c r="B8" s="30" t="s">
        <v>25</v>
      </c>
      <c r="C8" s="30" t="s">
        <v>25</v>
      </c>
      <c r="D8" s="30" t="s">
        <v>25</v>
      </c>
      <c r="E8" s="30" t="s">
        <v>25</v>
      </c>
      <c r="F8" s="30" t="s">
        <v>25</v>
      </c>
      <c r="G8" s="30" t="s">
        <v>25</v>
      </c>
      <c r="H8" s="30" t="s">
        <v>25</v>
      </c>
      <c r="I8" s="30" t="s">
        <v>25</v>
      </c>
      <c r="J8" s="30" t="s">
        <v>25</v>
      </c>
      <c r="K8" s="30" t="s">
        <v>25</v>
      </c>
      <c r="L8" s="30" t="s">
        <v>25</v>
      </c>
      <c r="M8" s="30" t="s">
        <v>25</v>
      </c>
      <c r="N8" s="30" t="s">
        <v>25</v>
      </c>
      <c r="O8" s="30" t="s">
        <v>25</v>
      </c>
      <c r="P8" s="30" t="s">
        <v>25</v>
      </c>
      <c r="Q8" s="30" t="s">
        <v>25</v>
      </c>
      <c r="R8" s="30" t="s">
        <v>25</v>
      </c>
      <c r="S8" s="30" t="s">
        <v>25</v>
      </c>
      <c r="T8" s="30" t="s">
        <v>25</v>
      </c>
      <c r="U8" s="30" t="s">
        <v>25</v>
      </c>
      <c r="V8" s="30" t="s">
        <v>25</v>
      </c>
      <c r="W8" s="30" t="s">
        <v>25</v>
      </c>
      <c r="X8" s="30" t="s">
        <v>25</v>
      </c>
      <c r="Y8" s="30" t="s">
        <v>25</v>
      </c>
      <c r="Z8" s="30" t="s">
        <v>25</v>
      </c>
      <c r="AA8" s="30" t="s">
        <v>25</v>
      </c>
      <c r="AB8" s="30" t="s">
        <v>25</v>
      </c>
      <c r="AC8" s="30" t="s">
        <v>25</v>
      </c>
      <c r="AD8" s="30" t="s">
        <v>25</v>
      </c>
      <c r="AE8" s="30" t="s">
        <v>25</v>
      </c>
      <c r="AF8" s="30" t="s">
        <v>25</v>
      </c>
      <c r="AG8" s="30" t="s">
        <v>25</v>
      </c>
      <c r="AH8" s="30" t="s">
        <v>25</v>
      </c>
      <c r="AI8" s="30" t="s">
        <v>25</v>
      </c>
      <c r="AJ8" s="30" t="s">
        <v>25</v>
      </c>
      <c r="AK8" s="30" t="s">
        <v>25</v>
      </c>
      <c r="AL8" s="30" t="s">
        <v>25</v>
      </c>
      <c r="AM8" s="30" t="s">
        <v>25</v>
      </c>
      <c r="AN8" s="30" t="s">
        <v>25</v>
      </c>
      <c r="AO8" s="30" t="s">
        <v>25</v>
      </c>
      <c r="AP8" s="30" t="s">
        <v>25</v>
      </c>
      <c r="AQ8" s="30" t="s">
        <v>25</v>
      </c>
      <c r="AR8" s="30" t="s">
        <v>25</v>
      </c>
      <c r="AS8" s="30" t="s">
        <v>25</v>
      </c>
      <c r="AT8" s="30" t="s">
        <v>25</v>
      </c>
      <c r="AU8" s="30" t="s">
        <v>25</v>
      </c>
      <c r="AV8" s="30" t="s">
        <v>25</v>
      </c>
      <c r="AW8" s="30" t="s">
        <v>25</v>
      </c>
      <c r="AX8" s="30" t="s">
        <v>25</v>
      </c>
      <c r="AY8" s="30" t="s">
        <v>25</v>
      </c>
      <c r="AZ8" s="30" t="s">
        <v>25</v>
      </c>
      <c r="BA8" s="30" t="s">
        <v>25</v>
      </c>
      <c r="BB8" s="30" t="s">
        <v>25</v>
      </c>
      <c r="BC8" s="30" t="s">
        <v>25</v>
      </c>
      <c r="BD8" s="30" t="s">
        <v>25</v>
      </c>
      <c r="BE8" s="30" t="s">
        <v>25</v>
      </c>
      <c r="BF8" s="30" t="s">
        <v>25</v>
      </c>
      <c r="BG8" s="30" t="s">
        <v>25</v>
      </c>
      <c r="BH8" s="30" t="s">
        <v>25</v>
      </c>
      <c r="BI8" s="30" t="s">
        <v>25</v>
      </c>
      <c r="BJ8" s="30" t="s">
        <v>25</v>
      </c>
      <c r="BK8" s="30" t="s">
        <v>25</v>
      </c>
      <c r="BL8" s="30" t="s">
        <v>25</v>
      </c>
      <c r="BM8" s="30" t="s">
        <v>25</v>
      </c>
    </row>
    <row r="9" spans="1:67" x14ac:dyDescent="0.35">
      <c r="A9" s="29" t="s">
        <v>751</v>
      </c>
      <c r="B9" s="30" t="s">
        <v>25</v>
      </c>
      <c r="C9" s="30" t="s">
        <v>25</v>
      </c>
      <c r="D9" s="30" t="s">
        <v>25</v>
      </c>
      <c r="E9" s="30" t="s">
        <v>25</v>
      </c>
      <c r="F9" s="30" t="s">
        <v>25</v>
      </c>
      <c r="G9" s="30" t="s">
        <v>25</v>
      </c>
      <c r="H9" s="30" t="s">
        <v>25</v>
      </c>
      <c r="I9" s="30" t="s">
        <v>25</v>
      </c>
      <c r="J9" s="30" t="s">
        <v>25</v>
      </c>
      <c r="K9" s="30" t="s">
        <v>25</v>
      </c>
      <c r="L9" s="30" t="s">
        <v>25</v>
      </c>
      <c r="M9" s="30" t="s">
        <v>25</v>
      </c>
      <c r="N9" s="30" t="s">
        <v>25</v>
      </c>
      <c r="O9" s="30" t="s">
        <v>25</v>
      </c>
      <c r="P9" s="30" t="s">
        <v>25</v>
      </c>
      <c r="Q9" s="30" t="s">
        <v>25</v>
      </c>
      <c r="R9" s="30" t="s">
        <v>25</v>
      </c>
      <c r="S9" s="30" t="s">
        <v>25</v>
      </c>
      <c r="T9" s="30" t="s">
        <v>25</v>
      </c>
      <c r="U9" s="30" t="s">
        <v>25</v>
      </c>
      <c r="V9" s="30" t="s">
        <v>25</v>
      </c>
      <c r="W9" s="30" t="s">
        <v>25</v>
      </c>
      <c r="X9" s="30" t="s">
        <v>25</v>
      </c>
      <c r="Y9" s="30" t="s">
        <v>25</v>
      </c>
      <c r="Z9" s="30" t="s">
        <v>25</v>
      </c>
      <c r="AA9" s="30" t="s">
        <v>25</v>
      </c>
      <c r="AB9" s="30" t="s">
        <v>25</v>
      </c>
      <c r="AC9" s="30" t="s">
        <v>25</v>
      </c>
      <c r="AD9" s="30" t="s">
        <v>25</v>
      </c>
      <c r="AE9" s="30" t="s">
        <v>25</v>
      </c>
      <c r="AF9" s="30" t="s">
        <v>25</v>
      </c>
      <c r="AG9" s="30" t="s">
        <v>25</v>
      </c>
      <c r="AH9" s="30" t="s">
        <v>25</v>
      </c>
      <c r="AI9" s="30" t="s">
        <v>25</v>
      </c>
      <c r="AJ9" s="30" t="s">
        <v>25</v>
      </c>
      <c r="AK9" s="30" t="s">
        <v>25</v>
      </c>
      <c r="AL9" s="30" t="s">
        <v>25</v>
      </c>
      <c r="AM9" s="30" t="s">
        <v>25</v>
      </c>
      <c r="AN9" s="30" t="s">
        <v>25</v>
      </c>
      <c r="AO9" s="30" t="s">
        <v>25</v>
      </c>
      <c r="AP9" s="30" t="s">
        <v>25</v>
      </c>
      <c r="AQ9" s="30" t="s">
        <v>25</v>
      </c>
      <c r="AR9" s="30" t="s">
        <v>25</v>
      </c>
      <c r="AS9" s="30" t="s">
        <v>25</v>
      </c>
      <c r="AT9" s="30" t="s">
        <v>25</v>
      </c>
      <c r="AU9" s="30" t="s">
        <v>25</v>
      </c>
      <c r="AV9" s="30" t="s">
        <v>25</v>
      </c>
      <c r="AW9" s="30" t="s">
        <v>25</v>
      </c>
      <c r="AX9" s="30" t="s">
        <v>25</v>
      </c>
      <c r="AY9" s="30" t="s">
        <v>25</v>
      </c>
      <c r="AZ9" s="30" t="s">
        <v>25</v>
      </c>
      <c r="BA9" s="30" t="s">
        <v>25</v>
      </c>
      <c r="BB9" s="30" t="s">
        <v>25</v>
      </c>
      <c r="BC9" s="30" t="s">
        <v>25</v>
      </c>
      <c r="BD9" s="30" t="s">
        <v>25</v>
      </c>
      <c r="BE9" s="30" t="s">
        <v>25</v>
      </c>
      <c r="BF9" s="30" t="s">
        <v>25</v>
      </c>
      <c r="BG9" s="30" t="s">
        <v>25</v>
      </c>
      <c r="BH9" s="30" t="s">
        <v>25</v>
      </c>
      <c r="BI9" s="30" t="s">
        <v>25</v>
      </c>
      <c r="BJ9" s="30" t="s">
        <v>25</v>
      </c>
      <c r="BK9" s="30" t="s">
        <v>25</v>
      </c>
      <c r="BL9" s="30" t="s">
        <v>25</v>
      </c>
      <c r="BM9" s="30" t="s">
        <v>25</v>
      </c>
    </row>
    <row r="10" spans="1:67" x14ac:dyDescent="0.35">
      <c r="A10" s="29" t="s">
        <v>752</v>
      </c>
      <c r="B10" s="30" t="s">
        <v>25</v>
      </c>
      <c r="C10" s="30" t="s">
        <v>25</v>
      </c>
      <c r="D10" s="30" t="s">
        <v>25</v>
      </c>
      <c r="E10" s="30" t="s">
        <v>25</v>
      </c>
      <c r="F10" s="30" t="s">
        <v>25</v>
      </c>
      <c r="G10" s="30" t="s">
        <v>25</v>
      </c>
      <c r="H10" s="30" t="s">
        <v>25</v>
      </c>
      <c r="I10" s="30" t="s">
        <v>25</v>
      </c>
      <c r="J10" s="30" t="s">
        <v>25</v>
      </c>
      <c r="K10" s="30" t="s">
        <v>25</v>
      </c>
      <c r="L10" s="30" t="s">
        <v>25</v>
      </c>
      <c r="M10" s="30" t="s">
        <v>25</v>
      </c>
      <c r="N10" s="30" t="s">
        <v>25</v>
      </c>
      <c r="O10" s="30" t="s">
        <v>25</v>
      </c>
      <c r="P10" s="30" t="s">
        <v>25</v>
      </c>
      <c r="Q10" s="30" t="s">
        <v>25</v>
      </c>
      <c r="R10" s="30" t="s">
        <v>25</v>
      </c>
      <c r="S10" s="30" t="s">
        <v>25</v>
      </c>
      <c r="T10" s="30" t="s">
        <v>25</v>
      </c>
      <c r="U10" s="30" t="s">
        <v>25</v>
      </c>
      <c r="V10" s="30" t="s">
        <v>25</v>
      </c>
      <c r="W10" s="30" t="s">
        <v>25</v>
      </c>
      <c r="X10" s="30" t="s">
        <v>25</v>
      </c>
      <c r="Y10" s="30" t="s">
        <v>25</v>
      </c>
      <c r="Z10" s="30" t="s">
        <v>25</v>
      </c>
      <c r="AA10" s="30" t="s">
        <v>25</v>
      </c>
      <c r="AB10" s="30" t="s">
        <v>25</v>
      </c>
      <c r="AC10" s="30" t="s">
        <v>25</v>
      </c>
      <c r="AD10" s="30" t="s">
        <v>25</v>
      </c>
      <c r="AE10" s="30" t="s">
        <v>25</v>
      </c>
      <c r="AF10" s="30" t="s">
        <v>25</v>
      </c>
      <c r="AG10" s="30" t="s">
        <v>25</v>
      </c>
      <c r="AH10" s="30" t="s">
        <v>25</v>
      </c>
      <c r="AI10" s="30" t="s">
        <v>25</v>
      </c>
      <c r="AJ10" s="30" t="s">
        <v>25</v>
      </c>
      <c r="AK10" s="30" t="s">
        <v>25</v>
      </c>
      <c r="AL10" s="30" t="s">
        <v>25</v>
      </c>
      <c r="AM10" s="30" t="s">
        <v>25</v>
      </c>
      <c r="AN10" s="30" t="s">
        <v>25</v>
      </c>
      <c r="AO10" s="30" t="s">
        <v>25</v>
      </c>
      <c r="AP10" s="30" t="s">
        <v>25</v>
      </c>
      <c r="AQ10" s="30" t="s">
        <v>25</v>
      </c>
      <c r="AR10" s="30" t="s">
        <v>25</v>
      </c>
      <c r="AS10" s="30" t="s">
        <v>25</v>
      </c>
      <c r="AT10" s="30" t="s">
        <v>25</v>
      </c>
      <c r="AU10" s="30" t="s">
        <v>25</v>
      </c>
      <c r="AV10" s="30" t="s">
        <v>25</v>
      </c>
      <c r="AW10" s="30" t="s">
        <v>25</v>
      </c>
      <c r="AX10" s="30" t="s">
        <v>25</v>
      </c>
      <c r="AY10" s="30" t="s">
        <v>25</v>
      </c>
      <c r="AZ10" s="30" t="s">
        <v>25</v>
      </c>
      <c r="BA10" s="30" t="s">
        <v>25</v>
      </c>
      <c r="BB10" s="30" t="s">
        <v>25</v>
      </c>
      <c r="BC10" s="30" t="s">
        <v>25</v>
      </c>
      <c r="BD10" s="30" t="s">
        <v>25</v>
      </c>
      <c r="BE10" s="30" t="s">
        <v>25</v>
      </c>
      <c r="BF10" s="30" t="s">
        <v>25</v>
      </c>
      <c r="BG10" s="30" t="s">
        <v>25</v>
      </c>
      <c r="BH10" s="30" t="s">
        <v>25</v>
      </c>
      <c r="BI10" s="30" t="s">
        <v>25</v>
      </c>
      <c r="BJ10" s="30" t="s">
        <v>25</v>
      </c>
      <c r="BK10" s="30" t="s">
        <v>25</v>
      </c>
      <c r="BL10" s="30" t="s">
        <v>25</v>
      </c>
      <c r="BM10" s="30" t="s">
        <v>25</v>
      </c>
    </row>
    <row r="11" spans="1:67" x14ac:dyDescent="0.35">
      <c r="A11" s="29" t="s">
        <v>753</v>
      </c>
      <c r="B11" s="30" t="s">
        <v>25</v>
      </c>
      <c r="C11" s="32" t="s">
        <v>29</v>
      </c>
      <c r="D11" s="30" t="s">
        <v>25</v>
      </c>
      <c r="E11" s="32" t="s">
        <v>29</v>
      </c>
      <c r="F11" s="30" t="s">
        <v>25</v>
      </c>
      <c r="G11" s="32" t="s">
        <v>29</v>
      </c>
      <c r="H11" s="30" t="s">
        <v>25</v>
      </c>
      <c r="I11" s="32" t="s">
        <v>29</v>
      </c>
      <c r="J11" s="30" t="s">
        <v>25</v>
      </c>
      <c r="K11" s="32" t="s">
        <v>29</v>
      </c>
      <c r="L11" s="30" t="s">
        <v>25</v>
      </c>
      <c r="M11" s="32" t="s">
        <v>29</v>
      </c>
      <c r="N11" s="30" t="s">
        <v>25</v>
      </c>
      <c r="O11" s="32" t="s">
        <v>29</v>
      </c>
      <c r="P11" s="30" t="s">
        <v>25</v>
      </c>
      <c r="Q11" s="32" t="s">
        <v>29</v>
      </c>
      <c r="R11" s="30" t="s">
        <v>25</v>
      </c>
      <c r="S11" s="32" t="s">
        <v>29</v>
      </c>
      <c r="T11" s="30" t="s">
        <v>25</v>
      </c>
      <c r="U11" s="30" t="s">
        <v>25</v>
      </c>
      <c r="V11" s="32" t="s">
        <v>29</v>
      </c>
      <c r="W11" s="30" t="s">
        <v>25</v>
      </c>
      <c r="X11" s="32" t="s">
        <v>29</v>
      </c>
      <c r="Y11" s="30" t="s">
        <v>25</v>
      </c>
      <c r="Z11" s="32" t="s">
        <v>29</v>
      </c>
      <c r="AA11" s="30" t="s">
        <v>25</v>
      </c>
      <c r="AB11" s="32" t="s">
        <v>29</v>
      </c>
      <c r="AC11" s="30" t="s">
        <v>25</v>
      </c>
      <c r="AD11" s="32" t="s">
        <v>29</v>
      </c>
      <c r="AE11" s="30" t="s">
        <v>25</v>
      </c>
      <c r="AF11" s="32" t="s">
        <v>29</v>
      </c>
      <c r="AG11" s="30" t="s">
        <v>25</v>
      </c>
      <c r="AH11" s="32" t="s">
        <v>29</v>
      </c>
      <c r="AI11" s="30" t="s">
        <v>25</v>
      </c>
      <c r="AJ11" s="32" t="s">
        <v>29</v>
      </c>
      <c r="AK11" s="30" t="s">
        <v>25</v>
      </c>
      <c r="AL11" s="32" t="s">
        <v>29</v>
      </c>
      <c r="AM11" s="30" t="s">
        <v>25</v>
      </c>
      <c r="AN11" s="32" t="s">
        <v>29</v>
      </c>
      <c r="AO11" s="30" t="s">
        <v>25</v>
      </c>
      <c r="AP11" s="32" t="s">
        <v>29</v>
      </c>
      <c r="AQ11" s="32" t="s">
        <v>29</v>
      </c>
      <c r="AR11" s="30" t="s">
        <v>25</v>
      </c>
      <c r="AS11" s="32" t="s">
        <v>29</v>
      </c>
      <c r="AT11" s="30" t="s">
        <v>25</v>
      </c>
      <c r="AU11" s="32" t="s">
        <v>29</v>
      </c>
      <c r="AV11" s="30" t="s">
        <v>25</v>
      </c>
      <c r="AW11" s="32" t="s">
        <v>29</v>
      </c>
      <c r="AX11" s="30" t="s">
        <v>25</v>
      </c>
      <c r="AY11" s="32" t="s">
        <v>29</v>
      </c>
      <c r="AZ11" s="30" t="s">
        <v>25</v>
      </c>
      <c r="BA11" s="32" t="s">
        <v>29</v>
      </c>
      <c r="BB11" s="30" t="s">
        <v>25</v>
      </c>
      <c r="BC11" s="32" t="s">
        <v>29</v>
      </c>
      <c r="BD11" s="30" t="s">
        <v>25</v>
      </c>
      <c r="BE11" s="32" t="s">
        <v>29</v>
      </c>
      <c r="BF11" s="30" t="s">
        <v>25</v>
      </c>
      <c r="BG11" s="32" t="s">
        <v>29</v>
      </c>
      <c r="BH11" s="30" t="s">
        <v>25</v>
      </c>
      <c r="BI11" s="32" t="s">
        <v>29</v>
      </c>
      <c r="BJ11" s="30" t="s">
        <v>25</v>
      </c>
      <c r="BK11" s="32" t="s">
        <v>29</v>
      </c>
      <c r="BL11" s="30" t="s">
        <v>25</v>
      </c>
      <c r="BM11" s="30" t="s">
        <v>25</v>
      </c>
    </row>
    <row r="12" spans="1:67" x14ac:dyDescent="0.35">
      <c r="A12" s="29" t="s">
        <v>754</v>
      </c>
      <c r="B12" s="32" t="s">
        <v>29</v>
      </c>
      <c r="C12" s="32" t="s">
        <v>29</v>
      </c>
      <c r="D12" s="32" t="s">
        <v>29</v>
      </c>
      <c r="E12" s="32" t="s">
        <v>29</v>
      </c>
      <c r="F12" s="32" t="s">
        <v>29</v>
      </c>
      <c r="G12" s="32" t="s">
        <v>29</v>
      </c>
      <c r="H12" s="32" t="s">
        <v>29</v>
      </c>
      <c r="I12" s="32" t="s">
        <v>29</v>
      </c>
      <c r="J12" s="32" t="s">
        <v>29</v>
      </c>
      <c r="K12" s="32" t="s">
        <v>29</v>
      </c>
      <c r="L12" s="32" t="s">
        <v>29</v>
      </c>
      <c r="M12" s="32" t="s">
        <v>29</v>
      </c>
      <c r="N12" s="32" t="s">
        <v>29</v>
      </c>
      <c r="O12" s="32" t="s">
        <v>29</v>
      </c>
      <c r="P12" s="32" t="s">
        <v>29</v>
      </c>
      <c r="Q12" s="32" t="s">
        <v>29</v>
      </c>
      <c r="R12" s="32" t="s">
        <v>29</v>
      </c>
      <c r="S12" s="32" t="s">
        <v>29</v>
      </c>
      <c r="T12" s="32" t="s">
        <v>29</v>
      </c>
      <c r="U12" s="32" t="s">
        <v>29</v>
      </c>
      <c r="V12" s="32" t="s">
        <v>29</v>
      </c>
      <c r="W12" s="32" t="s">
        <v>29</v>
      </c>
      <c r="X12" s="32" t="s">
        <v>29</v>
      </c>
      <c r="Y12" s="32" t="s">
        <v>29</v>
      </c>
      <c r="Z12" s="32" t="s">
        <v>29</v>
      </c>
      <c r="AA12" s="32" t="s">
        <v>29</v>
      </c>
      <c r="AB12" s="32" t="s">
        <v>29</v>
      </c>
      <c r="AC12" s="32" t="s">
        <v>29</v>
      </c>
      <c r="AD12" s="32" t="s">
        <v>27</v>
      </c>
      <c r="AE12" s="32" t="s">
        <v>29</v>
      </c>
      <c r="AF12" s="32" t="s">
        <v>29</v>
      </c>
      <c r="AG12" s="32" t="s">
        <v>29</v>
      </c>
      <c r="AH12" s="32" t="s">
        <v>29</v>
      </c>
      <c r="AI12" s="32" t="s">
        <v>29</v>
      </c>
      <c r="AJ12" s="32" t="s">
        <v>29</v>
      </c>
      <c r="AK12" s="32" t="s">
        <v>29</v>
      </c>
      <c r="AL12" s="32" t="s">
        <v>29</v>
      </c>
      <c r="AM12" s="32" t="s">
        <v>29</v>
      </c>
      <c r="AN12" s="32" t="s">
        <v>25</v>
      </c>
      <c r="AO12" s="32" t="s">
        <v>29</v>
      </c>
      <c r="AP12" s="32" t="s">
        <v>29</v>
      </c>
      <c r="AQ12" s="32" t="s">
        <v>29</v>
      </c>
      <c r="AR12" s="32" t="s">
        <v>29</v>
      </c>
      <c r="AS12" s="32" t="s">
        <v>29</v>
      </c>
      <c r="AT12" s="32" t="s">
        <v>29</v>
      </c>
      <c r="AU12" s="32" t="s">
        <v>29</v>
      </c>
      <c r="AV12" s="32" t="s">
        <v>29</v>
      </c>
      <c r="AW12" s="32" t="s">
        <v>27</v>
      </c>
      <c r="AX12" s="32" t="s">
        <v>29</v>
      </c>
      <c r="AY12" s="32" t="s">
        <v>29</v>
      </c>
      <c r="AZ12" s="32" t="s">
        <v>29</v>
      </c>
      <c r="BA12" s="32" t="s">
        <v>29</v>
      </c>
      <c r="BB12" s="32" t="s">
        <v>29</v>
      </c>
      <c r="BC12" s="32" t="s">
        <v>29</v>
      </c>
      <c r="BD12" s="32" t="s">
        <v>29</v>
      </c>
      <c r="BE12" s="32" t="s">
        <v>29</v>
      </c>
      <c r="BF12" s="32" t="s">
        <v>29</v>
      </c>
      <c r="BG12" s="32" t="s">
        <v>29</v>
      </c>
      <c r="BH12" s="32" t="s">
        <v>29</v>
      </c>
      <c r="BI12" s="32" t="s">
        <v>29</v>
      </c>
      <c r="BJ12" s="32" t="s">
        <v>29</v>
      </c>
      <c r="BK12" s="32" t="s">
        <v>29</v>
      </c>
      <c r="BL12" s="32" t="s">
        <v>29</v>
      </c>
      <c r="BM12" s="32" t="s">
        <v>29</v>
      </c>
    </row>
    <row r="13" spans="1:67" x14ac:dyDescent="0.35">
      <c r="A13" s="29" t="s">
        <v>755</v>
      </c>
      <c r="B13" s="30" t="s">
        <v>25</v>
      </c>
      <c r="C13" s="30" t="s">
        <v>25</v>
      </c>
      <c r="D13" s="30" t="s">
        <v>25</v>
      </c>
      <c r="E13" s="30" t="s">
        <v>25</v>
      </c>
      <c r="F13" s="30" t="s">
        <v>25</v>
      </c>
      <c r="G13" s="30" t="s">
        <v>25</v>
      </c>
      <c r="H13" s="30" t="s">
        <v>25</v>
      </c>
      <c r="I13" s="30" t="s">
        <v>25</v>
      </c>
      <c r="J13" s="30" t="s">
        <v>25</v>
      </c>
      <c r="K13" s="30" t="s">
        <v>25</v>
      </c>
      <c r="L13" s="30" t="s">
        <v>25</v>
      </c>
      <c r="M13" s="30" t="s">
        <v>25</v>
      </c>
      <c r="N13" s="30" t="s">
        <v>25</v>
      </c>
      <c r="O13" s="30" t="s">
        <v>25</v>
      </c>
      <c r="P13" s="30" t="s">
        <v>25</v>
      </c>
      <c r="Q13" s="30" t="s">
        <v>25</v>
      </c>
      <c r="R13" s="30" t="s">
        <v>25</v>
      </c>
      <c r="S13" s="30" t="s">
        <v>25</v>
      </c>
      <c r="T13" s="30" t="s">
        <v>25</v>
      </c>
      <c r="U13" s="30" t="s">
        <v>25</v>
      </c>
      <c r="V13" s="30" t="s">
        <v>25</v>
      </c>
      <c r="W13" s="30" t="s">
        <v>25</v>
      </c>
      <c r="X13" s="30" t="s">
        <v>25</v>
      </c>
      <c r="Y13" s="30" t="s">
        <v>25</v>
      </c>
      <c r="Z13" s="30" t="s">
        <v>25</v>
      </c>
      <c r="AA13" s="30" t="s">
        <v>25</v>
      </c>
      <c r="AB13" s="30" t="s">
        <v>25</v>
      </c>
      <c r="AC13" s="30" t="s">
        <v>25</v>
      </c>
      <c r="AD13" s="30" t="s">
        <v>25</v>
      </c>
      <c r="AE13" s="30" t="s">
        <v>25</v>
      </c>
      <c r="AF13" s="30" t="s">
        <v>25</v>
      </c>
      <c r="AG13" s="30" t="s">
        <v>25</v>
      </c>
      <c r="AH13" s="30" t="s">
        <v>25</v>
      </c>
      <c r="AI13" s="30" t="s">
        <v>25</v>
      </c>
      <c r="AJ13" s="30" t="s">
        <v>25</v>
      </c>
      <c r="AK13" s="30" t="s">
        <v>25</v>
      </c>
      <c r="AL13" s="30" t="s">
        <v>25</v>
      </c>
      <c r="AM13" s="30" t="s">
        <v>25</v>
      </c>
      <c r="AN13" s="30" t="s">
        <v>25</v>
      </c>
      <c r="AO13" s="30" t="s">
        <v>25</v>
      </c>
      <c r="AP13" s="30" t="s">
        <v>25</v>
      </c>
      <c r="AQ13" s="30" t="s">
        <v>25</v>
      </c>
      <c r="AR13" s="30" t="s">
        <v>25</v>
      </c>
      <c r="AS13" s="30" t="s">
        <v>25</v>
      </c>
      <c r="AT13" s="30" t="s">
        <v>25</v>
      </c>
      <c r="AU13" s="30" t="s">
        <v>25</v>
      </c>
      <c r="AV13" s="30" t="s">
        <v>25</v>
      </c>
      <c r="AW13" s="30" t="s">
        <v>25</v>
      </c>
      <c r="AX13" s="30" t="s">
        <v>25</v>
      </c>
      <c r="AY13" s="30" t="s">
        <v>25</v>
      </c>
      <c r="AZ13" s="30" t="s">
        <v>25</v>
      </c>
      <c r="BA13" s="30" t="s">
        <v>25</v>
      </c>
      <c r="BB13" s="30" t="s">
        <v>25</v>
      </c>
      <c r="BC13" s="30" t="s">
        <v>25</v>
      </c>
      <c r="BD13" s="30" t="s">
        <v>25</v>
      </c>
      <c r="BE13" s="30" t="s">
        <v>25</v>
      </c>
      <c r="BF13" s="30" t="s">
        <v>25</v>
      </c>
      <c r="BG13" s="30" t="s">
        <v>25</v>
      </c>
      <c r="BH13" s="30" t="s">
        <v>25</v>
      </c>
      <c r="BI13" s="30" t="s">
        <v>25</v>
      </c>
      <c r="BJ13" s="30" t="s">
        <v>25</v>
      </c>
      <c r="BK13" s="30" t="s">
        <v>25</v>
      </c>
      <c r="BL13" s="30" t="s">
        <v>25</v>
      </c>
      <c r="BM13" s="30" t="s">
        <v>25</v>
      </c>
    </row>
    <row r="14" spans="1:67" x14ac:dyDescent="0.35">
      <c r="A14" s="29" t="s">
        <v>756</v>
      </c>
      <c r="B14" s="30" t="s">
        <v>25</v>
      </c>
      <c r="C14" s="30" t="s">
        <v>25</v>
      </c>
      <c r="D14" s="30" t="s">
        <v>25</v>
      </c>
      <c r="E14" s="30" t="s">
        <v>25</v>
      </c>
      <c r="F14" s="30" t="s">
        <v>25</v>
      </c>
      <c r="G14" s="30" t="s">
        <v>25</v>
      </c>
      <c r="H14" s="30" t="s">
        <v>25</v>
      </c>
      <c r="I14" s="30" t="s">
        <v>25</v>
      </c>
      <c r="J14" s="30" t="s">
        <v>25</v>
      </c>
      <c r="K14" s="30" t="s">
        <v>25</v>
      </c>
      <c r="L14" s="30" t="s">
        <v>25</v>
      </c>
      <c r="M14" s="30" t="s">
        <v>25</v>
      </c>
      <c r="N14" s="30" t="s">
        <v>25</v>
      </c>
      <c r="O14" s="30" t="s">
        <v>25</v>
      </c>
      <c r="P14" s="30" t="s">
        <v>25</v>
      </c>
      <c r="Q14" s="30" t="s">
        <v>25</v>
      </c>
      <c r="R14" s="30" t="s">
        <v>25</v>
      </c>
      <c r="S14" s="30" t="s">
        <v>25</v>
      </c>
      <c r="T14" s="30" t="s">
        <v>25</v>
      </c>
      <c r="U14" s="30" t="s">
        <v>25</v>
      </c>
      <c r="V14" s="30" t="s">
        <v>25</v>
      </c>
      <c r="W14" s="30" t="s">
        <v>25</v>
      </c>
      <c r="X14" s="30" t="s">
        <v>25</v>
      </c>
      <c r="Y14" s="30" t="s">
        <v>25</v>
      </c>
      <c r="Z14" s="30" t="s">
        <v>25</v>
      </c>
      <c r="AA14" s="30" t="s">
        <v>25</v>
      </c>
      <c r="AB14" s="30" t="s">
        <v>25</v>
      </c>
      <c r="AC14" s="30" t="s">
        <v>25</v>
      </c>
      <c r="AD14" s="30" t="s">
        <v>27</v>
      </c>
      <c r="AE14" s="30" t="s">
        <v>25</v>
      </c>
      <c r="AF14" s="30" t="s">
        <v>25</v>
      </c>
      <c r="AG14" s="30" t="s">
        <v>25</v>
      </c>
      <c r="AH14" s="30" t="s">
        <v>25</v>
      </c>
      <c r="AI14" s="30" t="s">
        <v>25</v>
      </c>
      <c r="AJ14" s="30" t="s">
        <v>25</v>
      </c>
      <c r="AK14" s="30" t="s">
        <v>25</v>
      </c>
      <c r="AL14" s="30" t="s">
        <v>25</v>
      </c>
      <c r="AM14" s="30" t="s">
        <v>25</v>
      </c>
      <c r="AN14" s="30" t="s">
        <v>25</v>
      </c>
      <c r="AO14" s="30" t="s">
        <v>25</v>
      </c>
      <c r="AP14" s="30" t="s">
        <v>25</v>
      </c>
      <c r="AQ14" s="30" t="s">
        <v>25</v>
      </c>
      <c r="AR14" s="30" t="s">
        <v>25</v>
      </c>
      <c r="AS14" s="30" t="s">
        <v>25</v>
      </c>
      <c r="AT14" s="30" t="s">
        <v>25</v>
      </c>
      <c r="AU14" s="30" t="s">
        <v>25</v>
      </c>
      <c r="AV14" s="30" t="s">
        <v>25</v>
      </c>
      <c r="AW14" s="30" t="s">
        <v>27</v>
      </c>
      <c r="AX14" s="30" t="s">
        <v>25</v>
      </c>
      <c r="AY14" s="30" t="s">
        <v>25</v>
      </c>
      <c r="AZ14" s="30" t="s">
        <v>25</v>
      </c>
      <c r="BA14" s="30" t="s">
        <v>25</v>
      </c>
      <c r="BB14" s="30" t="s">
        <v>25</v>
      </c>
      <c r="BC14" s="30" t="s">
        <v>25</v>
      </c>
      <c r="BD14" s="30" t="s">
        <v>27</v>
      </c>
      <c r="BE14" s="30" t="s">
        <v>27</v>
      </c>
      <c r="BF14" s="30" t="s">
        <v>27</v>
      </c>
      <c r="BG14" s="30" t="s">
        <v>27</v>
      </c>
      <c r="BH14" s="30" t="s">
        <v>27</v>
      </c>
      <c r="BI14" s="30" t="s">
        <v>27</v>
      </c>
      <c r="BJ14" s="30" t="s">
        <v>25</v>
      </c>
      <c r="BK14" s="30" t="s">
        <v>25</v>
      </c>
      <c r="BL14" s="30" t="s">
        <v>25</v>
      </c>
      <c r="BM14" s="30" t="s">
        <v>25</v>
      </c>
    </row>
    <row r="15" spans="1:67" x14ac:dyDescent="0.35">
      <c r="A15" s="29" t="s">
        <v>757</v>
      </c>
      <c r="B15" s="31" t="s">
        <v>25</v>
      </c>
      <c r="C15" s="31" t="s">
        <v>25</v>
      </c>
      <c r="D15" s="31" t="s">
        <v>25</v>
      </c>
      <c r="E15" s="31" t="s">
        <v>25</v>
      </c>
      <c r="F15" s="31" t="s">
        <v>25</v>
      </c>
      <c r="G15" s="31" t="s">
        <v>25</v>
      </c>
      <c r="H15" s="31" t="s">
        <v>25</v>
      </c>
      <c r="I15" s="31" t="s">
        <v>25</v>
      </c>
      <c r="J15" s="31" t="s">
        <v>25</v>
      </c>
      <c r="K15" s="31" t="s">
        <v>25</v>
      </c>
      <c r="L15" s="31" t="s">
        <v>25</v>
      </c>
      <c r="M15" s="31" t="s">
        <v>25</v>
      </c>
      <c r="N15" s="31" t="s">
        <v>25</v>
      </c>
      <c r="O15" s="31" t="s">
        <v>25</v>
      </c>
      <c r="P15" s="31" t="s">
        <v>25</v>
      </c>
      <c r="Q15" s="31" t="s">
        <v>25</v>
      </c>
      <c r="R15" s="31" t="s">
        <v>25</v>
      </c>
      <c r="S15" s="31" t="s">
        <v>25</v>
      </c>
      <c r="T15" s="31" t="s">
        <v>25</v>
      </c>
      <c r="U15" s="31" t="s">
        <v>25</v>
      </c>
      <c r="V15" s="31" t="s">
        <v>25</v>
      </c>
      <c r="W15" s="31" t="s">
        <v>25</v>
      </c>
      <c r="X15" s="31" t="s">
        <v>25</v>
      </c>
      <c r="Y15" s="31" t="s">
        <v>25</v>
      </c>
      <c r="Z15" s="31" t="s">
        <v>25</v>
      </c>
      <c r="AA15" s="31" t="s">
        <v>25</v>
      </c>
      <c r="AB15" s="31" t="s">
        <v>25</v>
      </c>
      <c r="AC15" s="31" t="s">
        <v>25</v>
      </c>
      <c r="AD15" s="31" t="s">
        <v>25</v>
      </c>
      <c r="AE15" s="31" t="s">
        <v>25</v>
      </c>
      <c r="AF15" s="31" t="s">
        <v>25</v>
      </c>
      <c r="AG15" s="31" t="s">
        <v>25</v>
      </c>
      <c r="AH15" s="31" t="s">
        <v>25</v>
      </c>
      <c r="AI15" s="31" t="s">
        <v>25</v>
      </c>
      <c r="AJ15" s="31" t="s">
        <v>25</v>
      </c>
      <c r="AK15" s="31" t="s">
        <v>25</v>
      </c>
      <c r="AL15" s="31" t="s">
        <v>25</v>
      </c>
      <c r="AM15" s="31" t="s">
        <v>25</v>
      </c>
      <c r="AN15" s="31" t="s">
        <v>25</v>
      </c>
      <c r="AO15" s="31" t="s">
        <v>25</v>
      </c>
      <c r="AP15" s="31" t="s">
        <v>25</v>
      </c>
      <c r="AQ15" s="31" t="s">
        <v>25</v>
      </c>
      <c r="AR15" s="31" t="s">
        <v>25</v>
      </c>
      <c r="AS15" s="31" t="s">
        <v>25</v>
      </c>
      <c r="AT15" s="31" t="s">
        <v>25</v>
      </c>
      <c r="AU15" s="31" t="s">
        <v>25</v>
      </c>
      <c r="AV15" s="31" t="s">
        <v>25</v>
      </c>
      <c r="AW15" s="31" t="s">
        <v>25</v>
      </c>
      <c r="AX15" s="31" t="s">
        <v>29</v>
      </c>
      <c r="AY15" s="31" t="s">
        <v>25</v>
      </c>
      <c r="AZ15" s="31" t="s">
        <v>25</v>
      </c>
      <c r="BA15" s="31" t="s">
        <v>25</v>
      </c>
      <c r="BB15" s="31" t="s">
        <v>25</v>
      </c>
      <c r="BC15" s="31" t="s">
        <v>25</v>
      </c>
      <c r="BD15" s="31" t="s">
        <v>25</v>
      </c>
      <c r="BE15" s="31" t="s">
        <v>25</v>
      </c>
      <c r="BF15" s="31" t="s">
        <v>25</v>
      </c>
      <c r="BG15" s="31" t="s">
        <v>25</v>
      </c>
      <c r="BH15" s="31" t="s">
        <v>25</v>
      </c>
      <c r="BI15" s="31" t="s">
        <v>25</v>
      </c>
      <c r="BJ15" s="31" t="s">
        <v>25</v>
      </c>
      <c r="BK15" s="31" t="s">
        <v>25</v>
      </c>
      <c r="BL15" s="31" t="s">
        <v>25</v>
      </c>
      <c r="BM15" s="31" t="s">
        <v>25</v>
      </c>
    </row>
    <row r="16" spans="1:67" x14ac:dyDescent="0.35">
      <c r="A16" s="29" t="s">
        <v>758</v>
      </c>
      <c r="B16" s="32" t="s">
        <v>29</v>
      </c>
      <c r="C16" s="32" t="s">
        <v>29</v>
      </c>
      <c r="D16" s="32" t="s">
        <v>25</v>
      </c>
      <c r="E16" s="32" t="s">
        <v>29</v>
      </c>
      <c r="F16" s="32" t="s">
        <v>25</v>
      </c>
      <c r="G16" s="32" t="s">
        <v>29</v>
      </c>
      <c r="H16" s="32" t="s">
        <v>25</v>
      </c>
      <c r="I16" s="32" t="s">
        <v>29</v>
      </c>
      <c r="J16" s="32" t="s">
        <v>25</v>
      </c>
      <c r="K16" s="32" t="s">
        <v>29</v>
      </c>
      <c r="L16" s="32" t="s">
        <v>25</v>
      </c>
      <c r="M16" s="32" t="s">
        <v>25</v>
      </c>
      <c r="N16" s="32" t="s">
        <v>25</v>
      </c>
      <c r="O16" s="32" t="s">
        <v>29</v>
      </c>
      <c r="P16" s="32" t="s">
        <v>25</v>
      </c>
      <c r="Q16" s="32" t="s">
        <v>29</v>
      </c>
      <c r="R16" s="32" t="s">
        <v>25</v>
      </c>
      <c r="S16" s="32" t="s">
        <v>29</v>
      </c>
      <c r="T16" s="32" t="s">
        <v>25</v>
      </c>
      <c r="U16" s="32" t="s">
        <v>25</v>
      </c>
      <c r="V16" s="32" t="s">
        <v>29</v>
      </c>
      <c r="W16" s="32" t="s">
        <v>29</v>
      </c>
      <c r="X16" s="32" t="s">
        <v>27</v>
      </c>
      <c r="Y16" s="32" t="s">
        <v>25</v>
      </c>
      <c r="Z16" s="32" t="s">
        <v>29</v>
      </c>
      <c r="AA16" s="32" t="s">
        <v>29</v>
      </c>
      <c r="AB16" s="32" t="s">
        <v>29</v>
      </c>
      <c r="AC16" s="32" t="s">
        <v>29</v>
      </c>
      <c r="AD16" s="30" t="s">
        <v>25</v>
      </c>
      <c r="AE16" s="32" t="s">
        <v>29</v>
      </c>
      <c r="AF16" s="32" t="s">
        <v>29</v>
      </c>
      <c r="AG16" s="32" t="s">
        <v>29</v>
      </c>
      <c r="AH16" s="32" t="s">
        <v>29</v>
      </c>
      <c r="AI16" s="32" t="s">
        <v>29</v>
      </c>
      <c r="AJ16" s="32" t="s">
        <v>29</v>
      </c>
      <c r="AK16" s="32" t="s">
        <v>29</v>
      </c>
      <c r="AL16" s="32" t="s">
        <v>29</v>
      </c>
      <c r="AM16" s="30" t="s">
        <v>25</v>
      </c>
      <c r="AN16" s="30" t="s">
        <v>25</v>
      </c>
      <c r="AO16" s="30" t="s">
        <v>25</v>
      </c>
      <c r="AP16" s="32" t="s">
        <v>29</v>
      </c>
      <c r="AQ16" s="30" t="s">
        <v>25</v>
      </c>
      <c r="AR16" s="32" t="s">
        <v>29</v>
      </c>
      <c r="AS16" s="32" t="s">
        <v>29</v>
      </c>
      <c r="AT16" s="30" t="s">
        <v>25</v>
      </c>
      <c r="AU16" s="32" t="s">
        <v>29</v>
      </c>
      <c r="AV16" s="32" t="s">
        <v>29</v>
      </c>
      <c r="AW16" s="30" t="s">
        <v>27</v>
      </c>
      <c r="AX16" s="32" t="s">
        <v>29</v>
      </c>
      <c r="AY16" s="32" t="s">
        <v>25</v>
      </c>
      <c r="AZ16" s="30" t="s">
        <v>27</v>
      </c>
      <c r="BA16" s="32" t="s">
        <v>29</v>
      </c>
      <c r="BB16" s="30" t="s">
        <v>27</v>
      </c>
      <c r="BC16" s="32" t="s">
        <v>29</v>
      </c>
      <c r="BD16" s="32" t="s">
        <v>29</v>
      </c>
      <c r="BE16" s="32" t="s">
        <v>25</v>
      </c>
      <c r="BF16" s="32" t="s">
        <v>27</v>
      </c>
      <c r="BG16" s="32" t="s">
        <v>29</v>
      </c>
      <c r="BH16" s="32" t="s">
        <v>29</v>
      </c>
      <c r="BI16" s="32" t="s">
        <v>25</v>
      </c>
      <c r="BJ16" s="32" t="s">
        <v>29</v>
      </c>
      <c r="BK16" s="32" t="s">
        <v>29</v>
      </c>
      <c r="BL16" s="32" t="s">
        <v>25</v>
      </c>
      <c r="BM16" s="32" t="s">
        <v>25</v>
      </c>
    </row>
    <row r="17" spans="1:65" x14ac:dyDescent="0.35">
      <c r="A17" s="29" t="s">
        <v>759</v>
      </c>
      <c r="B17" s="30" t="s">
        <v>25</v>
      </c>
      <c r="C17" s="30" t="s">
        <v>25</v>
      </c>
      <c r="D17" s="30" t="s">
        <v>25</v>
      </c>
      <c r="E17" s="30" t="s">
        <v>25</v>
      </c>
      <c r="F17" s="30" t="s">
        <v>25</v>
      </c>
      <c r="G17" s="30" t="s">
        <v>25</v>
      </c>
      <c r="H17" s="30" t="s">
        <v>25</v>
      </c>
      <c r="I17" s="30" t="s">
        <v>25</v>
      </c>
      <c r="J17" s="30" t="s">
        <v>25</v>
      </c>
      <c r="K17" s="30" t="s">
        <v>25</v>
      </c>
      <c r="L17" s="30" t="s">
        <v>25</v>
      </c>
      <c r="M17" s="30" t="s">
        <v>25</v>
      </c>
      <c r="N17" s="30" t="s">
        <v>25</v>
      </c>
      <c r="O17" s="30" t="s">
        <v>25</v>
      </c>
      <c r="P17" s="30" t="s">
        <v>25</v>
      </c>
      <c r="Q17" s="30" t="s">
        <v>25</v>
      </c>
      <c r="R17" s="30" t="s">
        <v>25</v>
      </c>
      <c r="S17" s="30" t="s">
        <v>25</v>
      </c>
      <c r="T17" s="30" t="s">
        <v>25</v>
      </c>
      <c r="U17" s="30" t="s">
        <v>25</v>
      </c>
      <c r="V17" s="30" t="s">
        <v>25</v>
      </c>
      <c r="W17" s="30" t="s">
        <v>25</v>
      </c>
      <c r="X17" s="30" t="s">
        <v>25</v>
      </c>
      <c r="Y17" s="30" t="s">
        <v>25</v>
      </c>
      <c r="Z17" s="30" t="s">
        <v>25</v>
      </c>
      <c r="AA17" s="30" t="s">
        <v>25</v>
      </c>
      <c r="AB17" s="30" t="s">
        <v>25</v>
      </c>
      <c r="AC17" s="30" t="s">
        <v>25</v>
      </c>
      <c r="AD17" s="30" t="s">
        <v>25</v>
      </c>
      <c r="AE17" s="30" t="s">
        <v>25</v>
      </c>
      <c r="AF17" s="30" t="s">
        <v>25</v>
      </c>
      <c r="AG17" s="30" t="s">
        <v>25</v>
      </c>
      <c r="AH17" s="30" t="s">
        <v>25</v>
      </c>
      <c r="AI17" s="30" t="s">
        <v>25</v>
      </c>
      <c r="AJ17" s="30" t="s">
        <v>25</v>
      </c>
      <c r="AK17" s="30" t="s">
        <v>25</v>
      </c>
      <c r="AL17" s="30" t="s">
        <v>25</v>
      </c>
      <c r="AM17" s="30" t="s">
        <v>25</v>
      </c>
      <c r="AN17" s="30" t="s">
        <v>25</v>
      </c>
      <c r="AO17" s="30" t="s">
        <v>25</v>
      </c>
      <c r="AP17" s="30" t="s">
        <v>25</v>
      </c>
      <c r="AQ17" s="30" t="s">
        <v>25</v>
      </c>
      <c r="AR17" s="30" t="s">
        <v>25</v>
      </c>
      <c r="AS17" s="30" t="s">
        <v>25</v>
      </c>
      <c r="AT17" s="30" t="s">
        <v>25</v>
      </c>
      <c r="AU17" s="30" t="s">
        <v>25</v>
      </c>
      <c r="AV17" s="30" t="s">
        <v>25</v>
      </c>
      <c r="AW17" s="30" t="s">
        <v>25</v>
      </c>
      <c r="AX17" s="30" t="s">
        <v>25</v>
      </c>
      <c r="AY17" s="30" t="s">
        <v>25</v>
      </c>
      <c r="AZ17" s="30" t="s">
        <v>25</v>
      </c>
      <c r="BA17" s="30" t="s">
        <v>25</v>
      </c>
      <c r="BB17" s="30" t="s">
        <v>25</v>
      </c>
      <c r="BC17" s="30" t="s">
        <v>25</v>
      </c>
      <c r="BD17" s="30" t="s">
        <v>25</v>
      </c>
      <c r="BE17" s="30" t="s">
        <v>25</v>
      </c>
      <c r="BF17" s="30" t="s">
        <v>25</v>
      </c>
      <c r="BG17" s="30" t="s">
        <v>25</v>
      </c>
      <c r="BH17" s="30" t="s">
        <v>25</v>
      </c>
      <c r="BI17" s="30" t="s">
        <v>25</v>
      </c>
      <c r="BJ17" s="30" t="s">
        <v>25</v>
      </c>
      <c r="BK17" s="30" t="s">
        <v>25</v>
      </c>
      <c r="BL17" s="30" t="s">
        <v>25</v>
      </c>
      <c r="BM17" s="30" t="s">
        <v>25</v>
      </c>
    </row>
    <row r="18" spans="1:65" x14ac:dyDescent="0.35">
      <c r="A18" s="29" t="s">
        <v>760</v>
      </c>
      <c r="B18" s="30" t="s">
        <v>25</v>
      </c>
      <c r="C18" s="30" t="s">
        <v>25</v>
      </c>
      <c r="D18" s="30" t="s">
        <v>25</v>
      </c>
      <c r="E18" s="30" t="s">
        <v>25</v>
      </c>
      <c r="F18" s="30" t="s">
        <v>25</v>
      </c>
      <c r="G18" s="30" t="s">
        <v>25</v>
      </c>
      <c r="H18" s="30" t="s">
        <v>25</v>
      </c>
      <c r="I18" s="30" t="s">
        <v>25</v>
      </c>
      <c r="J18" s="30" t="s">
        <v>25</v>
      </c>
      <c r="K18" s="30" t="s">
        <v>25</v>
      </c>
      <c r="L18" s="30" t="s">
        <v>25</v>
      </c>
      <c r="M18" s="30" t="s">
        <v>25</v>
      </c>
      <c r="N18" s="30" t="s">
        <v>25</v>
      </c>
      <c r="O18" s="30" t="s">
        <v>25</v>
      </c>
      <c r="P18" s="30" t="s">
        <v>25</v>
      </c>
      <c r="Q18" s="30" t="s">
        <v>25</v>
      </c>
      <c r="R18" s="30" t="s">
        <v>25</v>
      </c>
      <c r="S18" s="30" t="s">
        <v>25</v>
      </c>
      <c r="T18" s="30" t="s">
        <v>25</v>
      </c>
      <c r="U18" s="30" t="s">
        <v>25</v>
      </c>
      <c r="V18" s="30" t="s">
        <v>25</v>
      </c>
      <c r="W18" s="30" t="s">
        <v>25</v>
      </c>
      <c r="X18" s="30" t="s">
        <v>25</v>
      </c>
      <c r="Y18" s="30" t="s">
        <v>25</v>
      </c>
      <c r="Z18" s="30" t="s">
        <v>25</v>
      </c>
      <c r="AA18" s="30" t="s">
        <v>25</v>
      </c>
      <c r="AB18" s="30" t="s">
        <v>25</v>
      </c>
      <c r="AC18" s="30" t="s">
        <v>25</v>
      </c>
      <c r="AD18" s="30" t="s">
        <v>25</v>
      </c>
      <c r="AE18" s="30" t="s">
        <v>25</v>
      </c>
      <c r="AF18" s="30" t="s">
        <v>25</v>
      </c>
      <c r="AG18" s="30" t="s">
        <v>25</v>
      </c>
      <c r="AH18" s="30" t="s">
        <v>25</v>
      </c>
      <c r="AI18" s="30" t="s">
        <v>25</v>
      </c>
      <c r="AJ18" s="30" t="s">
        <v>25</v>
      </c>
      <c r="AK18" s="30" t="s">
        <v>25</v>
      </c>
      <c r="AL18" s="30" t="s">
        <v>25</v>
      </c>
      <c r="AM18" s="30" t="s">
        <v>25</v>
      </c>
      <c r="AN18" s="30" t="s">
        <v>25</v>
      </c>
      <c r="AO18" s="30" t="s">
        <v>25</v>
      </c>
      <c r="AP18" s="30" t="s">
        <v>25</v>
      </c>
      <c r="AQ18" s="30" t="s">
        <v>25</v>
      </c>
      <c r="AR18" s="30" t="s">
        <v>25</v>
      </c>
      <c r="AS18" s="30" t="s">
        <v>25</v>
      </c>
      <c r="AT18" s="30" t="s">
        <v>25</v>
      </c>
      <c r="AU18" s="30" t="s">
        <v>25</v>
      </c>
      <c r="AV18" s="30" t="s">
        <v>25</v>
      </c>
      <c r="AW18" s="30" t="s">
        <v>25</v>
      </c>
      <c r="AX18" s="30" t="s">
        <v>25</v>
      </c>
      <c r="AY18" s="30" t="s">
        <v>25</v>
      </c>
      <c r="AZ18" s="30" t="s">
        <v>25</v>
      </c>
      <c r="BA18" s="30" t="s">
        <v>25</v>
      </c>
      <c r="BB18" s="30" t="s">
        <v>25</v>
      </c>
      <c r="BC18" s="30" t="s">
        <v>25</v>
      </c>
      <c r="BD18" s="30" t="s">
        <v>25</v>
      </c>
      <c r="BE18" s="30" t="s">
        <v>25</v>
      </c>
      <c r="BF18" s="30" t="s">
        <v>25</v>
      </c>
      <c r="BG18" s="30" t="s">
        <v>25</v>
      </c>
      <c r="BH18" s="30" t="s">
        <v>25</v>
      </c>
      <c r="BI18" s="30" t="s">
        <v>25</v>
      </c>
      <c r="BJ18" s="30" t="s">
        <v>25</v>
      </c>
      <c r="BK18" s="30" t="s">
        <v>25</v>
      </c>
      <c r="BL18" s="30" t="s">
        <v>25</v>
      </c>
      <c r="BM18" s="30" t="s">
        <v>25</v>
      </c>
    </row>
    <row r="19" spans="1:65" x14ac:dyDescent="0.35">
      <c r="A19" s="29" t="s">
        <v>761</v>
      </c>
      <c r="B19" s="32" t="s">
        <v>29</v>
      </c>
      <c r="C19" s="32" t="s">
        <v>29</v>
      </c>
      <c r="D19" s="32" t="s">
        <v>25</v>
      </c>
      <c r="E19" s="32" t="s">
        <v>25</v>
      </c>
      <c r="F19" s="32" t="s">
        <v>29</v>
      </c>
      <c r="G19" s="32" t="s">
        <v>29</v>
      </c>
      <c r="H19" s="32" t="s">
        <v>29</v>
      </c>
      <c r="I19" s="32" t="s">
        <v>29</v>
      </c>
      <c r="J19" s="32" t="s">
        <v>25</v>
      </c>
      <c r="K19" s="32" t="s">
        <v>29</v>
      </c>
      <c r="L19" s="32" t="s">
        <v>29</v>
      </c>
      <c r="M19" s="32" t="s">
        <v>25</v>
      </c>
      <c r="N19" s="32" t="s">
        <v>29</v>
      </c>
      <c r="O19" s="32" t="s">
        <v>29</v>
      </c>
      <c r="P19" s="32" t="s">
        <v>25</v>
      </c>
      <c r="Q19" s="32" t="s">
        <v>29</v>
      </c>
      <c r="R19" s="32" t="s">
        <v>25</v>
      </c>
      <c r="S19" s="32" t="s">
        <v>25</v>
      </c>
      <c r="T19" s="32" t="s">
        <v>29</v>
      </c>
      <c r="U19" s="32" t="s">
        <v>29</v>
      </c>
      <c r="V19" s="32" t="s">
        <v>29</v>
      </c>
      <c r="W19" s="32" t="s">
        <v>25</v>
      </c>
      <c r="X19" s="32" t="s">
        <v>25</v>
      </c>
      <c r="Y19" s="32" t="s">
        <v>29</v>
      </c>
      <c r="Z19" s="32" t="s">
        <v>29</v>
      </c>
      <c r="AA19" s="32" t="s">
        <v>29</v>
      </c>
      <c r="AB19" s="32" t="s">
        <v>29</v>
      </c>
      <c r="AC19" s="32" t="s">
        <v>25</v>
      </c>
      <c r="AD19" s="32" t="s">
        <v>29</v>
      </c>
      <c r="AE19" s="32" t="s">
        <v>25</v>
      </c>
      <c r="AF19" s="32" t="s">
        <v>29</v>
      </c>
      <c r="AG19" s="32" t="s">
        <v>29</v>
      </c>
      <c r="AH19" s="32" t="s">
        <v>29</v>
      </c>
      <c r="AI19" s="32" t="s">
        <v>29</v>
      </c>
      <c r="AJ19" s="32" t="s">
        <v>25</v>
      </c>
      <c r="AK19" s="32" t="s">
        <v>29</v>
      </c>
      <c r="AL19" s="32" t="s">
        <v>29</v>
      </c>
      <c r="AM19" s="32" t="s">
        <v>29</v>
      </c>
      <c r="AN19" s="32" t="s">
        <v>25</v>
      </c>
      <c r="AO19" s="32" t="s">
        <v>29</v>
      </c>
      <c r="AP19" s="32" t="s">
        <v>29</v>
      </c>
      <c r="AQ19" s="32" t="s">
        <v>29</v>
      </c>
      <c r="AR19" s="32" t="s">
        <v>29</v>
      </c>
      <c r="AS19" s="32" t="s">
        <v>29</v>
      </c>
      <c r="AT19" s="32" t="s">
        <v>29</v>
      </c>
      <c r="AU19" s="32" t="s">
        <v>29</v>
      </c>
      <c r="AV19" s="32" t="s">
        <v>29</v>
      </c>
      <c r="AW19" s="32" t="s">
        <v>25</v>
      </c>
      <c r="AX19" s="32" t="s">
        <v>29</v>
      </c>
      <c r="AY19" s="32" t="s">
        <v>31</v>
      </c>
      <c r="AZ19" s="32" t="s">
        <v>29</v>
      </c>
      <c r="BA19" s="32" t="s">
        <v>25</v>
      </c>
      <c r="BB19" s="32" t="s">
        <v>25</v>
      </c>
      <c r="BC19" s="32" t="s">
        <v>29</v>
      </c>
      <c r="BD19" s="32" t="s">
        <v>31</v>
      </c>
      <c r="BE19" s="32" t="s">
        <v>29</v>
      </c>
      <c r="BF19" s="32" t="s">
        <v>25</v>
      </c>
      <c r="BG19" s="32" t="s">
        <v>25</v>
      </c>
      <c r="BH19" s="32" t="s">
        <v>25</v>
      </c>
      <c r="BI19" s="32" t="s">
        <v>29</v>
      </c>
      <c r="BJ19" s="32" t="s">
        <v>29</v>
      </c>
      <c r="BK19" s="32" t="s">
        <v>25</v>
      </c>
      <c r="BL19" s="32" t="s">
        <v>29</v>
      </c>
      <c r="BM19" s="32" t="s">
        <v>29</v>
      </c>
    </row>
    <row r="20" spans="1:65" x14ac:dyDescent="0.35">
      <c r="A20" s="29" t="s">
        <v>762</v>
      </c>
      <c r="B20" s="30" t="s">
        <v>25</v>
      </c>
      <c r="C20" s="30" t="s">
        <v>25</v>
      </c>
      <c r="D20" s="30" t="s">
        <v>25</v>
      </c>
      <c r="E20" s="30" t="s">
        <v>25</v>
      </c>
      <c r="F20" s="30" t="s">
        <v>25</v>
      </c>
      <c r="G20" s="30" t="s">
        <v>25</v>
      </c>
      <c r="H20" s="30" t="s">
        <v>25</v>
      </c>
      <c r="I20" s="30" t="s">
        <v>25</v>
      </c>
      <c r="J20" s="30" t="s">
        <v>25</v>
      </c>
      <c r="K20" s="30" t="s">
        <v>25</v>
      </c>
      <c r="L20" s="30" t="s">
        <v>25</v>
      </c>
      <c r="M20" s="30" t="s">
        <v>25</v>
      </c>
      <c r="N20" s="30" t="s">
        <v>25</v>
      </c>
      <c r="O20" s="30" t="s">
        <v>25</v>
      </c>
      <c r="P20" s="30" t="s">
        <v>25</v>
      </c>
      <c r="Q20" s="30" t="s">
        <v>25</v>
      </c>
      <c r="R20" s="30" t="s">
        <v>25</v>
      </c>
      <c r="S20" s="30" t="s">
        <v>25</v>
      </c>
      <c r="T20" s="30" t="s">
        <v>25</v>
      </c>
      <c r="U20" s="30" t="s">
        <v>25</v>
      </c>
      <c r="V20" s="30" t="s">
        <v>25</v>
      </c>
      <c r="W20" s="30" t="s">
        <v>25</v>
      </c>
      <c r="X20" s="30" t="s">
        <v>25</v>
      </c>
      <c r="Y20" s="30" t="s">
        <v>25</v>
      </c>
      <c r="Z20" s="30" t="s">
        <v>25</v>
      </c>
      <c r="AA20" s="30" t="s">
        <v>25</v>
      </c>
      <c r="AB20" s="30" t="s">
        <v>25</v>
      </c>
      <c r="AC20" s="30" t="s">
        <v>25</v>
      </c>
      <c r="AD20" s="30" t="s">
        <v>31</v>
      </c>
      <c r="AE20" s="30" t="s">
        <v>31</v>
      </c>
      <c r="AF20" s="30" t="s">
        <v>31</v>
      </c>
      <c r="AG20" s="30" t="s">
        <v>31</v>
      </c>
      <c r="AH20" s="30" t="s">
        <v>31</v>
      </c>
      <c r="AI20" s="30" t="s">
        <v>31</v>
      </c>
      <c r="AJ20" s="30" t="s">
        <v>31</v>
      </c>
      <c r="AK20" s="30" t="s">
        <v>31</v>
      </c>
      <c r="AL20" s="30" t="s">
        <v>31</v>
      </c>
      <c r="AM20" s="30" t="s">
        <v>31</v>
      </c>
      <c r="AN20" s="30" t="s">
        <v>31</v>
      </c>
      <c r="AO20" s="30" t="s">
        <v>31</v>
      </c>
      <c r="AP20" s="30" t="s">
        <v>31</v>
      </c>
      <c r="AQ20" s="30" t="s">
        <v>31</v>
      </c>
      <c r="AR20" s="30" t="s">
        <v>31</v>
      </c>
      <c r="AS20" s="30" t="s">
        <v>31</v>
      </c>
      <c r="AT20" s="30" t="s">
        <v>31</v>
      </c>
      <c r="AU20" s="30" t="s">
        <v>31</v>
      </c>
      <c r="AV20" s="30" t="s">
        <v>31</v>
      </c>
      <c r="AW20" s="30" t="s">
        <v>31</v>
      </c>
      <c r="AX20" s="30" t="s">
        <v>31</v>
      </c>
      <c r="AY20" s="30" t="s">
        <v>31</v>
      </c>
      <c r="AZ20" s="30" t="s">
        <v>31</v>
      </c>
      <c r="BA20" s="30" t="s">
        <v>31</v>
      </c>
      <c r="BB20" s="30" t="s">
        <v>31</v>
      </c>
      <c r="BC20" s="30" t="s">
        <v>31</v>
      </c>
      <c r="BD20" s="30" t="s">
        <v>31</v>
      </c>
      <c r="BE20" s="30" t="s">
        <v>31</v>
      </c>
      <c r="BF20" s="30" t="s">
        <v>31</v>
      </c>
      <c r="BG20" s="30" t="s">
        <v>31</v>
      </c>
      <c r="BH20" s="30" t="s">
        <v>31</v>
      </c>
      <c r="BI20" s="30" t="s">
        <v>31</v>
      </c>
      <c r="BJ20" s="30" t="s">
        <v>31</v>
      </c>
      <c r="BK20" s="30" t="s">
        <v>31</v>
      </c>
      <c r="BL20" s="30" t="s">
        <v>31</v>
      </c>
      <c r="BM20" s="30" t="s">
        <v>31</v>
      </c>
    </row>
    <row r="21" spans="1:65" x14ac:dyDescent="0.35">
      <c r="A21" s="29" t="s">
        <v>763</v>
      </c>
      <c r="B21" s="32" t="s">
        <v>29</v>
      </c>
      <c r="C21" s="32" t="s">
        <v>29</v>
      </c>
      <c r="D21" s="32" t="s">
        <v>29</v>
      </c>
      <c r="E21" s="32" t="s">
        <v>29</v>
      </c>
      <c r="F21" s="32" t="s">
        <v>29</v>
      </c>
      <c r="G21" s="32" t="s">
        <v>29</v>
      </c>
      <c r="H21" s="32" t="s">
        <v>29</v>
      </c>
      <c r="I21" s="32" t="s">
        <v>29</v>
      </c>
      <c r="J21" s="32" t="s">
        <v>29</v>
      </c>
      <c r="K21" s="32" t="s">
        <v>29</v>
      </c>
      <c r="L21" s="32" t="s">
        <v>29</v>
      </c>
      <c r="M21" s="32" t="s">
        <v>29</v>
      </c>
      <c r="N21" s="32" t="s">
        <v>29</v>
      </c>
      <c r="O21" s="32" t="s">
        <v>29</v>
      </c>
      <c r="P21" s="32" t="s">
        <v>29</v>
      </c>
      <c r="Q21" s="32" t="s">
        <v>29</v>
      </c>
      <c r="R21" s="32" t="s">
        <v>29</v>
      </c>
      <c r="S21" s="32" t="s">
        <v>29</v>
      </c>
      <c r="T21" s="32" t="s">
        <v>29</v>
      </c>
      <c r="U21" s="32" t="s">
        <v>29</v>
      </c>
      <c r="V21" s="32" t="s">
        <v>29</v>
      </c>
      <c r="W21" s="32" t="s">
        <v>29</v>
      </c>
      <c r="X21" s="32" t="s">
        <v>29</v>
      </c>
      <c r="Y21" s="32" t="s">
        <v>29</v>
      </c>
      <c r="Z21" s="32" t="s">
        <v>29</v>
      </c>
      <c r="AA21" s="32" t="s">
        <v>29</v>
      </c>
      <c r="AB21" s="32" t="s">
        <v>29</v>
      </c>
      <c r="AC21" s="32" t="s">
        <v>29</v>
      </c>
      <c r="AD21" s="32" t="s">
        <v>31</v>
      </c>
      <c r="AE21" s="32" t="s">
        <v>29</v>
      </c>
      <c r="AF21" s="32" t="s">
        <v>29</v>
      </c>
      <c r="AG21" s="32" t="s">
        <v>29</v>
      </c>
      <c r="AH21" s="32" t="s">
        <v>29</v>
      </c>
      <c r="AI21" s="32" t="s">
        <v>29</v>
      </c>
      <c r="AJ21" s="32" t="s">
        <v>29</v>
      </c>
      <c r="AK21" s="32" t="s">
        <v>29</v>
      </c>
      <c r="AL21" s="32" t="s">
        <v>29</v>
      </c>
      <c r="AM21" s="32" t="s">
        <v>29</v>
      </c>
      <c r="AN21" s="32" t="s">
        <v>29</v>
      </c>
      <c r="AO21" s="32" t="s">
        <v>29</v>
      </c>
      <c r="AP21" s="32" t="s">
        <v>29</v>
      </c>
      <c r="AQ21" s="32" t="s">
        <v>29</v>
      </c>
      <c r="AR21" s="32" t="s">
        <v>29</v>
      </c>
      <c r="AS21" s="32" t="s">
        <v>29</v>
      </c>
      <c r="AT21" s="32" t="s">
        <v>29</v>
      </c>
      <c r="AU21" s="32" t="s">
        <v>29</v>
      </c>
      <c r="AV21" s="32" t="s">
        <v>29</v>
      </c>
      <c r="AW21" s="32" t="s">
        <v>31</v>
      </c>
      <c r="AX21" s="32" t="s">
        <v>29</v>
      </c>
      <c r="AY21" s="32" t="s">
        <v>29</v>
      </c>
      <c r="AZ21" s="32" t="s">
        <v>29</v>
      </c>
      <c r="BA21" s="32" t="s">
        <v>29</v>
      </c>
      <c r="BB21" s="32" t="s">
        <v>29</v>
      </c>
      <c r="BC21" s="32" t="s">
        <v>29</v>
      </c>
      <c r="BD21" s="32" t="s">
        <v>29</v>
      </c>
      <c r="BE21" s="32" t="s">
        <v>29</v>
      </c>
      <c r="BF21" s="32" t="s">
        <v>29</v>
      </c>
      <c r="BG21" s="32" t="s">
        <v>29</v>
      </c>
      <c r="BH21" s="32" t="s">
        <v>29</v>
      </c>
      <c r="BI21" s="32" t="s">
        <v>29</v>
      </c>
      <c r="BJ21" s="32" t="s">
        <v>29</v>
      </c>
      <c r="BK21" s="32" t="s">
        <v>29</v>
      </c>
      <c r="BL21" s="32" t="s">
        <v>29</v>
      </c>
      <c r="BM21" s="32" t="s">
        <v>29</v>
      </c>
    </row>
    <row r="22" spans="1:65" x14ac:dyDescent="0.35">
      <c r="A22" s="29" t="s">
        <v>764</v>
      </c>
      <c r="B22" s="32" t="s">
        <v>25</v>
      </c>
      <c r="C22" s="32" t="s">
        <v>25</v>
      </c>
      <c r="D22" s="32" t="s">
        <v>25</v>
      </c>
      <c r="E22" s="32" t="s">
        <v>25</v>
      </c>
      <c r="F22" s="32" t="s">
        <v>25</v>
      </c>
      <c r="G22" s="32" t="s">
        <v>31</v>
      </c>
      <c r="H22" s="32" t="s">
        <v>31</v>
      </c>
      <c r="I22" s="32" t="s">
        <v>31</v>
      </c>
      <c r="J22" s="32" t="s">
        <v>31</v>
      </c>
      <c r="K22" s="32" t="s">
        <v>31</v>
      </c>
      <c r="L22" s="32" t="s">
        <v>31</v>
      </c>
      <c r="M22" s="32" t="s">
        <v>31</v>
      </c>
      <c r="N22" s="32" t="s">
        <v>31</v>
      </c>
      <c r="O22" s="32" t="s">
        <v>31</v>
      </c>
      <c r="P22" s="32" t="s">
        <v>31</v>
      </c>
      <c r="Q22" s="32" t="s">
        <v>31</v>
      </c>
      <c r="R22" s="32" t="s">
        <v>31</v>
      </c>
      <c r="S22" s="32" t="s">
        <v>31</v>
      </c>
      <c r="T22" s="32" t="s">
        <v>31</v>
      </c>
      <c r="U22" s="32" t="s">
        <v>31</v>
      </c>
      <c r="V22" s="32" t="s">
        <v>31</v>
      </c>
      <c r="W22" s="32" t="s">
        <v>31</v>
      </c>
      <c r="X22" s="32" t="s">
        <v>31</v>
      </c>
      <c r="Y22" s="32" t="s">
        <v>31</v>
      </c>
      <c r="Z22" s="32" t="s">
        <v>31</v>
      </c>
      <c r="AA22" s="32" t="s">
        <v>31</v>
      </c>
      <c r="AB22" s="32" t="s">
        <v>31</v>
      </c>
      <c r="AC22" s="32" t="s">
        <v>31</v>
      </c>
      <c r="AD22" s="32" t="s">
        <v>31</v>
      </c>
      <c r="AE22" s="32" t="s">
        <v>31</v>
      </c>
      <c r="AF22" s="32" t="s">
        <v>31</v>
      </c>
      <c r="AG22" s="32" t="s">
        <v>31</v>
      </c>
      <c r="AH22" s="32" t="s">
        <v>31</v>
      </c>
      <c r="AI22" s="32" t="s">
        <v>31</v>
      </c>
      <c r="AJ22" s="32" t="s">
        <v>31</v>
      </c>
      <c r="AK22" s="32" t="s">
        <v>31</v>
      </c>
      <c r="AL22" s="32" t="s">
        <v>31</v>
      </c>
      <c r="AM22" s="32" t="s">
        <v>31</v>
      </c>
      <c r="AN22" s="32" t="s">
        <v>31</v>
      </c>
      <c r="AO22" s="32" t="s">
        <v>31</v>
      </c>
      <c r="AP22" s="32" t="s">
        <v>31</v>
      </c>
      <c r="AQ22" s="32" t="s">
        <v>31</v>
      </c>
      <c r="AR22" s="32" t="s">
        <v>31</v>
      </c>
      <c r="AS22" s="32" t="s">
        <v>31</v>
      </c>
      <c r="AT22" s="32" t="s">
        <v>31</v>
      </c>
      <c r="AU22" s="32" t="s">
        <v>31</v>
      </c>
      <c r="AV22" s="32" t="s">
        <v>31</v>
      </c>
      <c r="AW22" s="32" t="s">
        <v>31</v>
      </c>
      <c r="AX22" s="32" t="s">
        <v>31</v>
      </c>
      <c r="AY22" s="32" t="s">
        <v>31</v>
      </c>
      <c r="AZ22" s="32" t="s">
        <v>31</v>
      </c>
      <c r="BA22" s="32" t="s">
        <v>31</v>
      </c>
      <c r="BB22" s="32" t="s">
        <v>31</v>
      </c>
      <c r="BC22" s="32" t="s">
        <v>31</v>
      </c>
      <c r="BD22" s="32" t="s">
        <v>31</v>
      </c>
      <c r="BE22" s="32" t="s">
        <v>31</v>
      </c>
      <c r="BF22" s="32" t="s">
        <v>31</v>
      </c>
      <c r="BG22" s="32" t="s">
        <v>31</v>
      </c>
      <c r="BH22" s="32" t="s">
        <v>31</v>
      </c>
      <c r="BI22" s="32" t="s">
        <v>31</v>
      </c>
      <c r="BJ22" s="32" t="s">
        <v>31</v>
      </c>
      <c r="BK22" s="32" t="s">
        <v>31</v>
      </c>
      <c r="BL22" s="32" t="s">
        <v>31</v>
      </c>
      <c r="BM22" s="32" t="s">
        <v>31</v>
      </c>
    </row>
    <row r="23" spans="1:65" x14ac:dyDescent="0.35">
      <c r="A23" s="29" t="s">
        <v>765</v>
      </c>
      <c r="B23" s="32" t="s">
        <v>31</v>
      </c>
      <c r="C23" s="32" t="s">
        <v>31</v>
      </c>
      <c r="D23" s="32" t="s">
        <v>31</v>
      </c>
      <c r="E23" s="32" t="s">
        <v>31</v>
      </c>
      <c r="F23" s="32" t="s">
        <v>31</v>
      </c>
      <c r="G23" s="32" t="s">
        <v>31</v>
      </c>
      <c r="H23" s="32" t="s">
        <v>31</v>
      </c>
      <c r="I23" s="32" t="s">
        <v>31</v>
      </c>
      <c r="J23" s="32" t="s">
        <v>31</v>
      </c>
      <c r="K23" s="32" t="s">
        <v>31</v>
      </c>
      <c r="L23" s="32" t="s">
        <v>31</v>
      </c>
      <c r="M23" s="32" t="s">
        <v>31</v>
      </c>
      <c r="N23" s="32" t="s">
        <v>31</v>
      </c>
      <c r="O23" s="32" t="s">
        <v>31</v>
      </c>
      <c r="P23" s="32" t="s">
        <v>31</v>
      </c>
      <c r="Q23" s="32" t="s">
        <v>31</v>
      </c>
      <c r="R23" s="32" t="s">
        <v>31</v>
      </c>
      <c r="S23" s="32" t="s">
        <v>31</v>
      </c>
      <c r="T23" s="32" t="s">
        <v>31</v>
      </c>
      <c r="U23" s="32" t="s">
        <v>25</v>
      </c>
      <c r="V23" s="32" t="s">
        <v>25</v>
      </c>
      <c r="W23" s="32" t="s">
        <v>25</v>
      </c>
      <c r="X23" s="32" t="s">
        <v>25</v>
      </c>
      <c r="Y23" s="32" t="s">
        <v>31</v>
      </c>
      <c r="Z23" s="32" t="s">
        <v>31</v>
      </c>
      <c r="AA23" s="32" t="s">
        <v>31</v>
      </c>
      <c r="AB23" s="32" t="s">
        <v>31</v>
      </c>
      <c r="AC23" s="32" t="s">
        <v>31</v>
      </c>
      <c r="AD23" s="32" t="s">
        <v>31</v>
      </c>
      <c r="AE23" s="32" t="s">
        <v>31</v>
      </c>
      <c r="AF23" s="32" t="s">
        <v>31</v>
      </c>
      <c r="AG23" s="32" t="s">
        <v>31</v>
      </c>
      <c r="AH23" s="32" t="s">
        <v>31</v>
      </c>
      <c r="AI23" s="32" t="s">
        <v>31</v>
      </c>
      <c r="AJ23" s="32" t="s">
        <v>31</v>
      </c>
      <c r="AK23" s="32" t="s">
        <v>31</v>
      </c>
      <c r="AL23" s="32" t="s">
        <v>31</v>
      </c>
      <c r="AM23" s="32" t="s">
        <v>25</v>
      </c>
      <c r="AN23" s="32" t="s">
        <v>25</v>
      </c>
      <c r="AO23" s="32" t="s">
        <v>25</v>
      </c>
      <c r="AP23" s="32" t="s">
        <v>25</v>
      </c>
      <c r="AQ23" s="32" t="s">
        <v>25</v>
      </c>
      <c r="AR23" s="32" t="s">
        <v>25</v>
      </c>
      <c r="AS23" s="32" t="s">
        <v>25</v>
      </c>
      <c r="AT23" s="32" t="s">
        <v>31</v>
      </c>
      <c r="AU23" s="32" t="s">
        <v>31</v>
      </c>
      <c r="AV23" s="32" t="s">
        <v>31</v>
      </c>
      <c r="AW23" s="32" t="s">
        <v>31</v>
      </c>
      <c r="AX23" s="32" t="s">
        <v>25</v>
      </c>
      <c r="AY23" s="32" t="s">
        <v>25</v>
      </c>
      <c r="AZ23" s="32" t="s">
        <v>25</v>
      </c>
      <c r="BA23" s="32" t="s">
        <v>25</v>
      </c>
      <c r="BB23" s="32" t="s">
        <v>31</v>
      </c>
      <c r="BC23" s="32" t="s">
        <v>25</v>
      </c>
      <c r="BD23" s="32" t="s">
        <v>25</v>
      </c>
      <c r="BE23" s="32" t="s">
        <v>25</v>
      </c>
      <c r="BF23" s="32" t="s">
        <v>25</v>
      </c>
      <c r="BG23" s="32" t="s">
        <v>31</v>
      </c>
      <c r="BH23" s="32" t="s">
        <v>31</v>
      </c>
      <c r="BI23" s="32" t="s">
        <v>31</v>
      </c>
      <c r="BJ23" s="32" t="s">
        <v>31</v>
      </c>
      <c r="BK23" s="32" t="s">
        <v>31</v>
      </c>
      <c r="BL23" s="32" t="s">
        <v>31</v>
      </c>
      <c r="BM23" s="32" t="s">
        <v>31</v>
      </c>
    </row>
    <row r="24" spans="1:65" x14ac:dyDescent="0.35">
      <c r="A24" s="29" t="s">
        <v>766</v>
      </c>
      <c r="B24" s="32" t="s">
        <v>31</v>
      </c>
      <c r="C24" s="32" t="s">
        <v>31</v>
      </c>
      <c r="D24" s="32" t="s">
        <v>31</v>
      </c>
      <c r="E24" s="32" t="s">
        <v>31</v>
      </c>
      <c r="F24" s="32" t="s">
        <v>31</v>
      </c>
      <c r="G24" s="32" t="s">
        <v>31</v>
      </c>
      <c r="H24" s="32" t="s">
        <v>31</v>
      </c>
      <c r="I24" s="32" t="s">
        <v>31</v>
      </c>
      <c r="J24" s="32" t="s">
        <v>31</v>
      </c>
      <c r="K24" s="32" t="s">
        <v>31</v>
      </c>
      <c r="L24" s="32" t="s">
        <v>31</v>
      </c>
      <c r="M24" s="32" t="s">
        <v>31</v>
      </c>
      <c r="N24" s="32" t="s">
        <v>31</v>
      </c>
      <c r="O24" s="32" t="s">
        <v>31</v>
      </c>
      <c r="P24" s="32" t="s">
        <v>31</v>
      </c>
      <c r="Q24" s="32" t="s">
        <v>31</v>
      </c>
      <c r="R24" s="32" t="s">
        <v>31</v>
      </c>
      <c r="S24" s="32" t="s">
        <v>31</v>
      </c>
      <c r="T24" s="32" t="s">
        <v>31</v>
      </c>
      <c r="U24" s="32" t="s">
        <v>31</v>
      </c>
      <c r="V24" s="32" t="s">
        <v>31</v>
      </c>
      <c r="W24" s="32" t="s">
        <v>31</v>
      </c>
      <c r="X24" s="32" t="s">
        <v>31</v>
      </c>
      <c r="Y24" s="32" t="s">
        <v>31</v>
      </c>
      <c r="Z24" s="32" t="s">
        <v>31</v>
      </c>
      <c r="AA24" s="32" t="s">
        <v>31</v>
      </c>
      <c r="AB24" s="32" t="s">
        <v>31</v>
      </c>
      <c r="AC24" s="32" t="s">
        <v>31</v>
      </c>
      <c r="AD24" s="32" t="s">
        <v>31</v>
      </c>
      <c r="AE24" s="32" t="s">
        <v>31</v>
      </c>
      <c r="AF24" s="32" t="s">
        <v>31</v>
      </c>
      <c r="AG24" s="32" t="s">
        <v>31</v>
      </c>
      <c r="AH24" s="32" t="s">
        <v>31</v>
      </c>
      <c r="AI24" s="32" t="s">
        <v>31</v>
      </c>
      <c r="AJ24" s="32" t="s">
        <v>31</v>
      </c>
      <c r="AK24" s="32" t="s">
        <v>31</v>
      </c>
      <c r="AL24" s="32" t="s">
        <v>31</v>
      </c>
      <c r="AM24" s="32" t="s">
        <v>31</v>
      </c>
      <c r="AN24" s="32" t="s">
        <v>31</v>
      </c>
      <c r="AO24" s="32" t="s">
        <v>31</v>
      </c>
      <c r="AP24" s="32" t="s">
        <v>31</v>
      </c>
      <c r="AQ24" s="32" t="s">
        <v>31</v>
      </c>
      <c r="AR24" s="32" t="s">
        <v>31</v>
      </c>
      <c r="AS24" s="32" t="s">
        <v>31</v>
      </c>
      <c r="AT24" s="32" t="s">
        <v>31</v>
      </c>
      <c r="AU24" s="32" t="s">
        <v>31</v>
      </c>
      <c r="AV24" s="32" t="s">
        <v>31</v>
      </c>
      <c r="AW24" s="32" t="s">
        <v>31</v>
      </c>
      <c r="AX24" s="32" t="s">
        <v>31</v>
      </c>
      <c r="AY24" s="32" t="s">
        <v>31</v>
      </c>
      <c r="AZ24" s="32" t="s">
        <v>31</v>
      </c>
      <c r="BA24" s="32" t="s">
        <v>31</v>
      </c>
      <c r="BB24" s="32" t="s">
        <v>31</v>
      </c>
      <c r="BC24" s="32" t="s">
        <v>31</v>
      </c>
      <c r="BD24" s="32" t="s">
        <v>31</v>
      </c>
      <c r="BE24" s="32" t="s">
        <v>31</v>
      </c>
      <c r="BF24" s="32" t="s">
        <v>31</v>
      </c>
      <c r="BG24" s="32" t="s">
        <v>31</v>
      </c>
      <c r="BH24" s="32" t="s">
        <v>31</v>
      </c>
      <c r="BI24" s="32" t="s">
        <v>31</v>
      </c>
      <c r="BJ24" s="32" t="s">
        <v>31</v>
      </c>
      <c r="BK24" s="32" t="s">
        <v>31</v>
      </c>
      <c r="BL24" s="32" t="s">
        <v>31</v>
      </c>
      <c r="BM24" s="32" t="s">
        <v>31</v>
      </c>
    </row>
    <row r="25" spans="1:65" x14ac:dyDescent="0.35">
      <c r="A25" s="29" t="s">
        <v>767</v>
      </c>
      <c r="B25" s="32" t="s">
        <v>29</v>
      </c>
      <c r="C25" s="32" t="s">
        <v>29</v>
      </c>
      <c r="D25" s="32" t="s">
        <v>29</v>
      </c>
      <c r="E25" s="32" t="s">
        <v>29</v>
      </c>
      <c r="F25" s="32" t="s">
        <v>29</v>
      </c>
      <c r="G25" s="32" t="s">
        <v>29</v>
      </c>
      <c r="H25" s="32" t="s">
        <v>29</v>
      </c>
      <c r="I25" s="32" t="s">
        <v>29</v>
      </c>
      <c r="J25" s="32" t="s">
        <v>29</v>
      </c>
      <c r="K25" s="32" t="s">
        <v>29</v>
      </c>
      <c r="L25" s="32" t="s">
        <v>29</v>
      </c>
      <c r="M25" s="32" t="s">
        <v>29</v>
      </c>
      <c r="N25" s="32" t="s">
        <v>29</v>
      </c>
      <c r="O25" s="32" t="s">
        <v>29</v>
      </c>
      <c r="P25" s="32" t="s">
        <v>29</v>
      </c>
      <c r="Q25" s="32" t="s">
        <v>29</v>
      </c>
      <c r="R25" s="32" t="s">
        <v>29</v>
      </c>
      <c r="S25" s="32" t="s">
        <v>29</v>
      </c>
      <c r="T25" s="32" t="s">
        <v>29</v>
      </c>
      <c r="U25" s="32" t="s">
        <v>29</v>
      </c>
      <c r="V25" s="32" t="s">
        <v>29</v>
      </c>
      <c r="W25" s="32" t="s">
        <v>29</v>
      </c>
      <c r="X25" s="32" t="s">
        <v>29</v>
      </c>
      <c r="Y25" s="32" t="s">
        <v>29</v>
      </c>
      <c r="Z25" s="32" t="s">
        <v>29</v>
      </c>
      <c r="AA25" s="32" t="s">
        <v>29</v>
      </c>
      <c r="AB25" s="32" t="s">
        <v>29</v>
      </c>
      <c r="AC25" s="32" t="s">
        <v>29</v>
      </c>
      <c r="AD25" s="32" t="s">
        <v>29</v>
      </c>
      <c r="AE25" s="32" t="s">
        <v>29</v>
      </c>
      <c r="AF25" s="32" t="s">
        <v>29</v>
      </c>
      <c r="AG25" s="32" t="s">
        <v>29</v>
      </c>
      <c r="AH25" s="32" t="s">
        <v>29</v>
      </c>
      <c r="AI25" s="32" t="s">
        <v>29</v>
      </c>
      <c r="AJ25" s="32" t="s">
        <v>29</v>
      </c>
      <c r="AK25" s="32" t="s">
        <v>29</v>
      </c>
      <c r="AL25" s="32" t="s">
        <v>29</v>
      </c>
      <c r="AM25" s="32" t="s">
        <v>29</v>
      </c>
      <c r="AN25" s="32" t="s">
        <v>29</v>
      </c>
      <c r="AO25" s="32" t="s">
        <v>29</v>
      </c>
      <c r="AP25" s="32" t="s">
        <v>29</v>
      </c>
      <c r="AQ25" s="32" t="s">
        <v>29</v>
      </c>
      <c r="AR25" s="32" t="s">
        <v>29</v>
      </c>
      <c r="AS25" s="32" t="s">
        <v>29</v>
      </c>
      <c r="AT25" s="32" t="s">
        <v>29</v>
      </c>
      <c r="AU25" s="32" t="s">
        <v>29</v>
      </c>
      <c r="AV25" s="32" t="s">
        <v>29</v>
      </c>
      <c r="AW25" s="32" t="s">
        <v>29</v>
      </c>
      <c r="AX25" s="32" t="s">
        <v>29</v>
      </c>
      <c r="AY25" s="32" t="s">
        <v>29</v>
      </c>
      <c r="AZ25" s="32" t="s">
        <v>29</v>
      </c>
      <c r="BA25" s="32" t="s">
        <v>29</v>
      </c>
      <c r="BB25" s="32" t="s">
        <v>29</v>
      </c>
      <c r="BC25" s="32" t="s">
        <v>29</v>
      </c>
      <c r="BD25" s="32" t="s">
        <v>29</v>
      </c>
      <c r="BE25" s="32" t="s">
        <v>29</v>
      </c>
      <c r="BF25" s="32" t="s">
        <v>29</v>
      </c>
      <c r="BG25" s="32" t="s">
        <v>29</v>
      </c>
      <c r="BH25" s="32" t="s">
        <v>29</v>
      </c>
      <c r="BI25" s="32" t="s">
        <v>29</v>
      </c>
      <c r="BJ25" s="32" t="s">
        <v>29</v>
      </c>
      <c r="BK25" s="32" t="s">
        <v>29</v>
      </c>
      <c r="BL25" s="32" t="s">
        <v>29</v>
      </c>
      <c r="BM25" s="32" t="s">
        <v>29</v>
      </c>
    </row>
    <row r="26" spans="1:65" x14ac:dyDescent="0.35">
      <c r="A26" s="34" t="s">
        <v>599</v>
      </c>
      <c r="B26" s="32" t="s">
        <v>29</v>
      </c>
      <c r="C26" s="32" t="s">
        <v>29</v>
      </c>
      <c r="D26" s="32" t="s">
        <v>29</v>
      </c>
      <c r="E26" s="32" t="s">
        <v>29</v>
      </c>
      <c r="F26" s="32" t="s">
        <v>29</v>
      </c>
      <c r="G26" s="32" t="s">
        <v>29</v>
      </c>
      <c r="H26" s="32" t="s">
        <v>29</v>
      </c>
      <c r="I26" s="32" t="s">
        <v>29</v>
      </c>
      <c r="J26" s="32" t="s">
        <v>29</v>
      </c>
      <c r="K26" s="32" t="s">
        <v>29</v>
      </c>
      <c r="L26" s="32" t="s">
        <v>29</v>
      </c>
      <c r="M26" s="32" t="s">
        <v>29</v>
      </c>
      <c r="N26" s="32" t="s">
        <v>29</v>
      </c>
      <c r="O26" s="32" t="s">
        <v>29</v>
      </c>
      <c r="P26" s="32" t="s">
        <v>29</v>
      </c>
      <c r="Q26" s="32" t="s">
        <v>29</v>
      </c>
      <c r="R26" s="32" t="s">
        <v>29</v>
      </c>
      <c r="S26" s="32" t="s">
        <v>29</v>
      </c>
      <c r="T26" s="32" t="s">
        <v>29</v>
      </c>
      <c r="U26" s="32" t="s">
        <v>29</v>
      </c>
      <c r="V26" s="32" t="s">
        <v>29</v>
      </c>
      <c r="W26" s="32" t="s">
        <v>29</v>
      </c>
      <c r="X26" s="35" t="s">
        <v>33</v>
      </c>
      <c r="Y26" s="32" t="s">
        <v>29</v>
      </c>
      <c r="Z26" s="32" t="s">
        <v>29</v>
      </c>
      <c r="AA26" s="32" t="s">
        <v>29</v>
      </c>
      <c r="AB26" s="32" t="s">
        <v>29</v>
      </c>
      <c r="AC26" s="32" t="s">
        <v>29</v>
      </c>
      <c r="AD26" s="35" t="s">
        <v>33</v>
      </c>
      <c r="AE26" s="32" t="s">
        <v>29</v>
      </c>
      <c r="AF26" s="32" t="s">
        <v>29</v>
      </c>
      <c r="AG26" s="32" t="s">
        <v>29</v>
      </c>
      <c r="AH26" s="32" t="s">
        <v>29</v>
      </c>
      <c r="AI26" s="32" t="s">
        <v>29</v>
      </c>
      <c r="AJ26" s="32" t="s">
        <v>29</v>
      </c>
      <c r="AK26" s="32" t="s">
        <v>29</v>
      </c>
      <c r="AL26" s="32" t="s">
        <v>29</v>
      </c>
      <c r="AM26" s="32" t="s">
        <v>29</v>
      </c>
      <c r="AN26" s="32" t="s">
        <v>29</v>
      </c>
      <c r="AO26" s="32" t="s">
        <v>29</v>
      </c>
      <c r="AP26" s="32" t="s">
        <v>29</v>
      </c>
      <c r="AQ26" s="32" t="s">
        <v>29</v>
      </c>
      <c r="AR26" s="32" t="s">
        <v>29</v>
      </c>
      <c r="AS26" s="32" t="s">
        <v>29</v>
      </c>
      <c r="AT26" s="32" t="s">
        <v>29</v>
      </c>
      <c r="AU26" s="32" t="s">
        <v>29</v>
      </c>
      <c r="AV26" s="32" t="s">
        <v>29</v>
      </c>
      <c r="AW26" s="35" t="s">
        <v>33</v>
      </c>
      <c r="AX26" s="32" t="s">
        <v>29</v>
      </c>
      <c r="AY26" s="35" t="s">
        <v>33</v>
      </c>
      <c r="AZ26" s="32" t="s">
        <v>29</v>
      </c>
      <c r="BA26" s="32" t="s">
        <v>29</v>
      </c>
      <c r="BB26" s="32" t="s">
        <v>29</v>
      </c>
      <c r="BC26" s="32" t="s">
        <v>29</v>
      </c>
      <c r="BD26" s="35" t="s">
        <v>33</v>
      </c>
      <c r="BE26" s="32" t="s">
        <v>29</v>
      </c>
      <c r="BF26" s="32" t="s">
        <v>29</v>
      </c>
      <c r="BG26" s="32" t="s">
        <v>29</v>
      </c>
      <c r="BH26" s="32" t="s">
        <v>29</v>
      </c>
      <c r="BI26" s="35" t="s">
        <v>33</v>
      </c>
      <c r="BJ26" s="32" t="s">
        <v>29</v>
      </c>
      <c r="BK26" s="32" t="s">
        <v>29</v>
      </c>
      <c r="BL26" s="32" t="s">
        <v>29</v>
      </c>
      <c r="BM26" s="32" t="s">
        <v>29</v>
      </c>
    </row>
    <row r="27" spans="1:65" x14ac:dyDescent="0.35">
      <c r="X27" s="50" t="s">
        <v>793</v>
      </c>
      <c r="AD27" s="51" t="s">
        <v>794</v>
      </c>
      <c r="AW27" s="52" t="s">
        <v>795</v>
      </c>
      <c r="AY27" s="53" t="s">
        <v>796</v>
      </c>
      <c r="BI27" s="55" t="s">
        <v>798</v>
      </c>
    </row>
    <row r="28" spans="1:65" x14ac:dyDescent="0.35">
      <c r="BD28" s="54" t="s">
        <v>797</v>
      </c>
    </row>
  </sheetData>
  <mergeCells count="1">
    <mergeCell ref="A1:BO1"/>
  </mergeCells>
  <conditionalFormatting sqref="B7:BM26">
    <cfRule type="cellIs" dxfId="9" priority="1" operator="equal">
      <formula>"c"</formula>
    </cfRule>
    <cfRule type="cellIs" dxfId="8" priority="2" operator="equal">
      <formula>"a"</formula>
    </cfRule>
    <cfRule type="cellIs" dxfId="7" priority="3" operator="equal">
      <formula>"n"</formula>
    </cfRule>
    <cfRule type="cellIs" dxfId="6" priority="4" operator="equal">
      <formula>"p"</formula>
    </cfRule>
    <cfRule type="cellIs" dxfId="5" priority="5" operator="equal">
      <formula>"r"</formula>
    </cfRule>
  </conditionalFormatting>
  <dataValidations count="2">
    <dataValidation type="list" allowBlank="1" errorTitle="Código inválido" error="Use c, a, n ou p." promptTitle="Status" prompt="c=concluído  a=andamento  n=n/a  p=pendente" sqref="B7:BM22" xr:uid="{00000000-0002-0000-0B00-000000000000}">
      <formula1>"c,a,n,p"</formula1>
    </dataValidation>
    <dataValidation type="list" allowBlank="1" errorTitle="Código inválido" error="Use n ou r." sqref="B23:BM26" xr:uid="{00000000-0002-0000-0B00-000001000000}">
      <formula1>"n,r"</formula1>
    </dataValidation>
  </dataValidations>
  <printOptions horizontalCentered="1"/>
  <pageMargins left="0.4" right="0.4" top="0.5" bottom="0.5" header="0.2" footer="0.2"/>
  <pageSetup paperSize="8"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S26"/>
  <sheetViews>
    <sheetView showGridLines="0" workbookViewId="0">
      <pane xSplit="1" ySplit="6" topLeftCell="B7" activePane="bottomRight" state="frozen"/>
      <selection pane="topRight"/>
      <selection pane="bottomLeft"/>
      <selection pane="bottomRight" activeCell="BG17" sqref="BG17"/>
    </sheetView>
  </sheetViews>
  <sheetFormatPr defaultRowHeight="14.5" x14ac:dyDescent="0.35"/>
  <cols>
    <col min="1" max="1" width="28" customWidth="1"/>
    <col min="2" max="69" width="3.453125" customWidth="1"/>
  </cols>
  <sheetData>
    <row r="1" spans="1:71" ht="24" customHeight="1" x14ac:dyDescent="0.35">
      <c r="A1" s="58" t="s">
        <v>670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row>
    <row r="2" spans="1:71" x14ac:dyDescent="0.35">
      <c r="A2" s="1" t="s">
        <v>420</v>
      </c>
      <c r="B2" s="20" t="s">
        <v>421</v>
      </c>
      <c r="C2" s="21" t="s">
        <v>422</v>
      </c>
      <c r="D2" s="22" t="s">
        <v>423</v>
      </c>
      <c r="E2" s="23" t="s">
        <v>424</v>
      </c>
      <c r="F2" s="24" t="s">
        <v>425</v>
      </c>
    </row>
    <row r="4" spans="1:71" ht="60" customHeight="1" x14ac:dyDescent="0.35">
      <c r="A4" s="25" t="s">
        <v>426</v>
      </c>
      <c r="B4" s="26" t="s">
        <v>671</v>
      </c>
      <c r="C4" s="26" t="s">
        <v>671</v>
      </c>
      <c r="D4" s="26" t="s">
        <v>671</v>
      </c>
      <c r="E4" s="26" t="s">
        <v>671</v>
      </c>
      <c r="F4" s="26" t="s">
        <v>671</v>
      </c>
      <c r="G4" s="26" t="s">
        <v>671</v>
      </c>
      <c r="H4" s="26" t="s">
        <v>671</v>
      </c>
      <c r="I4" s="26" t="s">
        <v>671</v>
      </c>
      <c r="J4" s="26" t="s">
        <v>671</v>
      </c>
      <c r="K4" s="26" t="s">
        <v>671</v>
      </c>
      <c r="L4" s="26" t="s">
        <v>671</v>
      </c>
      <c r="M4" s="26" t="s">
        <v>671</v>
      </c>
      <c r="N4" s="26" t="s">
        <v>671</v>
      </c>
      <c r="O4" s="26" t="s">
        <v>671</v>
      </c>
      <c r="P4" s="26" t="s">
        <v>671</v>
      </c>
      <c r="Q4" s="26" t="s">
        <v>671</v>
      </c>
      <c r="R4" s="26" t="s">
        <v>671</v>
      </c>
      <c r="S4" s="26" t="s">
        <v>672</v>
      </c>
      <c r="T4" s="26" t="s">
        <v>672</v>
      </c>
      <c r="U4" s="26" t="s">
        <v>672</v>
      </c>
      <c r="V4" s="26" t="s">
        <v>672</v>
      </c>
      <c r="W4" s="26" t="s">
        <v>672</v>
      </c>
      <c r="X4" s="26" t="s">
        <v>672</v>
      </c>
      <c r="Y4" s="26" t="s">
        <v>672</v>
      </c>
      <c r="Z4" s="26" t="s">
        <v>672</v>
      </c>
      <c r="AA4" s="26" t="s">
        <v>672</v>
      </c>
      <c r="AB4" s="26" t="s">
        <v>672</v>
      </c>
      <c r="AC4" s="26" t="s">
        <v>672</v>
      </c>
      <c r="AD4" s="26" t="s">
        <v>672</v>
      </c>
      <c r="AE4" s="26" t="s">
        <v>672</v>
      </c>
      <c r="AF4" s="26" t="s">
        <v>672</v>
      </c>
      <c r="AG4" s="26" t="s">
        <v>672</v>
      </c>
      <c r="AH4" s="26" t="s">
        <v>672</v>
      </c>
      <c r="AI4" s="26" t="s">
        <v>672</v>
      </c>
      <c r="AJ4" s="26" t="s">
        <v>672</v>
      </c>
      <c r="AK4" s="26" t="s">
        <v>672</v>
      </c>
      <c r="AL4" s="26" t="s">
        <v>673</v>
      </c>
      <c r="AM4" s="26" t="s">
        <v>673</v>
      </c>
      <c r="AN4" s="26" t="s">
        <v>673</v>
      </c>
      <c r="AO4" s="26" t="s">
        <v>673</v>
      </c>
      <c r="AP4" s="26" t="s">
        <v>673</v>
      </c>
      <c r="AQ4" s="26" t="s">
        <v>673</v>
      </c>
      <c r="AR4" s="26" t="s">
        <v>673</v>
      </c>
      <c r="AS4" s="26" t="s">
        <v>673</v>
      </c>
      <c r="AT4" s="26" t="s">
        <v>673</v>
      </c>
      <c r="AU4" s="26" t="s">
        <v>673</v>
      </c>
      <c r="AV4" s="26" t="s">
        <v>673</v>
      </c>
      <c r="AW4" s="26" t="s">
        <v>673</v>
      </c>
      <c r="AX4" s="26" t="s">
        <v>673</v>
      </c>
      <c r="AY4" s="26" t="s">
        <v>673</v>
      </c>
      <c r="AZ4" s="26" t="s">
        <v>673</v>
      </c>
      <c r="BA4" s="26" t="s">
        <v>673</v>
      </c>
      <c r="BB4" s="26" t="s">
        <v>673</v>
      </c>
      <c r="BC4" s="26" t="s">
        <v>673</v>
      </c>
      <c r="BD4" s="26" t="s">
        <v>673</v>
      </c>
      <c r="BE4" s="26" t="s">
        <v>673</v>
      </c>
      <c r="BF4" s="26" t="s">
        <v>673</v>
      </c>
      <c r="BG4" s="26" t="s">
        <v>673</v>
      </c>
      <c r="BH4" s="26" t="s">
        <v>674</v>
      </c>
      <c r="BI4" s="26" t="s">
        <v>674</v>
      </c>
      <c r="BJ4" s="26" t="s">
        <v>674</v>
      </c>
      <c r="BK4" s="26" t="s">
        <v>674</v>
      </c>
      <c r="BL4" s="26" t="s">
        <v>674</v>
      </c>
      <c r="BM4" s="26" t="s">
        <v>674</v>
      </c>
      <c r="BN4" s="26" t="s">
        <v>674</v>
      </c>
      <c r="BO4" s="26" t="s">
        <v>674</v>
      </c>
      <c r="BP4" s="26" t="s">
        <v>674</v>
      </c>
      <c r="BQ4" s="26" t="s">
        <v>674</v>
      </c>
    </row>
    <row r="5" spans="1:71" x14ac:dyDescent="0.35">
      <c r="A5" s="25" t="s">
        <v>360</v>
      </c>
      <c r="B5" s="27" t="s">
        <v>434</v>
      </c>
      <c r="C5" s="27" t="s">
        <v>433</v>
      </c>
      <c r="D5" s="27" t="s">
        <v>436</v>
      </c>
      <c r="E5" s="27" t="s">
        <v>435</v>
      </c>
      <c r="F5" s="27" t="s">
        <v>438</v>
      </c>
      <c r="G5" s="27" t="s">
        <v>437</v>
      </c>
      <c r="H5" s="27" t="s">
        <v>440</v>
      </c>
      <c r="I5" s="27" t="s">
        <v>439</v>
      </c>
      <c r="J5" s="27" t="s">
        <v>442</v>
      </c>
      <c r="K5" s="27" t="s">
        <v>441</v>
      </c>
      <c r="L5" s="27" t="s">
        <v>444</v>
      </c>
      <c r="M5" s="27" t="s">
        <v>443</v>
      </c>
      <c r="N5" s="27" t="s">
        <v>446</v>
      </c>
      <c r="O5" s="27" t="s">
        <v>445</v>
      </c>
      <c r="P5" s="27" t="s">
        <v>448</v>
      </c>
      <c r="Q5" s="27" t="s">
        <v>447</v>
      </c>
      <c r="R5" s="27" t="s">
        <v>450</v>
      </c>
      <c r="S5" s="27" t="s">
        <v>449</v>
      </c>
      <c r="T5" s="27" t="s">
        <v>452</v>
      </c>
      <c r="U5" s="27" t="s">
        <v>451</v>
      </c>
      <c r="V5" s="27" t="s">
        <v>454</v>
      </c>
      <c r="W5" s="27" t="s">
        <v>453</v>
      </c>
      <c r="X5" s="27" t="s">
        <v>456</v>
      </c>
      <c r="Y5" s="27" t="s">
        <v>455</v>
      </c>
      <c r="Z5" s="27" t="s">
        <v>457</v>
      </c>
      <c r="AA5" s="27" t="s">
        <v>604</v>
      </c>
      <c r="AB5" s="27" t="s">
        <v>459</v>
      </c>
      <c r="AC5" s="27" t="s">
        <v>458</v>
      </c>
      <c r="AD5" s="27" t="s">
        <v>460</v>
      </c>
      <c r="AE5" s="27" t="s">
        <v>461</v>
      </c>
      <c r="AF5" s="27" t="s">
        <v>462</v>
      </c>
      <c r="AG5" s="27" t="s">
        <v>463</v>
      </c>
      <c r="AH5" s="27" t="s">
        <v>465</v>
      </c>
      <c r="AI5" s="27" t="s">
        <v>464</v>
      </c>
      <c r="AJ5" s="27" t="s">
        <v>466</v>
      </c>
      <c r="AK5" s="27" t="s">
        <v>468</v>
      </c>
      <c r="AL5" s="27" t="s">
        <v>467</v>
      </c>
      <c r="AM5" s="27" t="s">
        <v>470</v>
      </c>
      <c r="AN5" s="27" t="s">
        <v>469</v>
      </c>
      <c r="AO5" s="27" t="s">
        <v>472</v>
      </c>
      <c r="AP5" s="27" t="s">
        <v>605</v>
      </c>
      <c r="AQ5" s="27" t="s">
        <v>474</v>
      </c>
      <c r="AR5" s="27" t="s">
        <v>471</v>
      </c>
      <c r="AS5" s="27" t="s">
        <v>476</v>
      </c>
      <c r="AT5" s="27" t="s">
        <v>473</v>
      </c>
      <c r="AU5" s="27" t="s">
        <v>478</v>
      </c>
      <c r="AV5" s="27" t="s">
        <v>475</v>
      </c>
      <c r="AW5" s="27" t="s">
        <v>482</v>
      </c>
      <c r="AX5" s="27" t="s">
        <v>477</v>
      </c>
      <c r="AY5" s="27" t="s">
        <v>483</v>
      </c>
      <c r="AZ5" s="27" t="s">
        <v>485</v>
      </c>
      <c r="BA5" s="27" t="s">
        <v>479</v>
      </c>
      <c r="BB5" s="27" t="s">
        <v>487</v>
      </c>
      <c r="BC5" s="27" t="s">
        <v>480</v>
      </c>
      <c r="BD5" s="27" t="s">
        <v>489</v>
      </c>
      <c r="BE5" s="27" t="s">
        <v>481</v>
      </c>
      <c r="BF5" s="27" t="s">
        <v>491</v>
      </c>
      <c r="BG5" s="27" t="s">
        <v>486</v>
      </c>
      <c r="BH5" s="27" t="s">
        <v>492</v>
      </c>
      <c r="BI5" s="27" t="s">
        <v>488</v>
      </c>
      <c r="BJ5" s="27" t="s">
        <v>493</v>
      </c>
      <c r="BK5" s="27" t="s">
        <v>490</v>
      </c>
      <c r="BL5" s="27" t="s">
        <v>675</v>
      </c>
      <c r="BM5" s="27" t="s">
        <v>676</v>
      </c>
      <c r="BN5" s="27" t="s">
        <v>677</v>
      </c>
      <c r="BO5" s="27" t="s">
        <v>678</v>
      </c>
      <c r="BP5" s="27" t="s">
        <v>679</v>
      </c>
      <c r="BQ5" s="27" t="s">
        <v>680</v>
      </c>
    </row>
    <row r="6" spans="1:71" ht="48" customHeight="1" x14ac:dyDescent="0.35">
      <c r="A6" s="25" t="s">
        <v>510</v>
      </c>
      <c r="B6" s="28" t="s">
        <v>681</v>
      </c>
      <c r="C6" s="28" t="s">
        <v>682</v>
      </c>
      <c r="D6" s="28" t="s">
        <v>683</v>
      </c>
      <c r="E6" s="28" t="s">
        <v>684</v>
      </c>
      <c r="F6" s="28" t="s">
        <v>685</v>
      </c>
      <c r="G6" s="28" t="s">
        <v>686</v>
      </c>
      <c r="H6" s="28" t="s">
        <v>687</v>
      </c>
      <c r="I6" s="28" t="s">
        <v>688</v>
      </c>
      <c r="J6" s="28" t="s">
        <v>689</v>
      </c>
      <c r="K6" s="28" t="s">
        <v>690</v>
      </c>
      <c r="L6" s="28" t="s">
        <v>691</v>
      </c>
      <c r="M6" s="28" t="s">
        <v>692</v>
      </c>
      <c r="N6" s="28" t="s">
        <v>693</v>
      </c>
      <c r="O6" s="28" t="s">
        <v>694</v>
      </c>
      <c r="P6" s="28" t="s">
        <v>695</v>
      </c>
      <c r="Q6" s="28" t="s">
        <v>696</v>
      </c>
      <c r="R6" s="28" t="s">
        <v>697</v>
      </c>
      <c r="S6" s="28" t="s">
        <v>698</v>
      </c>
      <c r="T6" s="28" t="s">
        <v>699</v>
      </c>
      <c r="U6" s="28" t="s">
        <v>700</v>
      </c>
      <c r="V6" s="28" t="s">
        <v>701</v>
      </c>
      <c r="W6" s="28" t="s">
        <v>702</v>
      </c>
      <c r="X6" s="28" t="s">
        <v>703</v>
      </c>
      <c r="Y6" s="28" t="s">
        <v>704</v>
      </c>
      <c r="Z6" s="28" t="s">
        <v>705</v>
      </c>
      <c r="AA6" s="28" t="s">
        <v>706</v>
      </c>
      <c r="AB6" s="28" t="s">
        <v>707</v>
      </c>
      <c r="AC6" s="28" t="s">
        <v>708</v>
      </c>
      <c r="AD6" s="28" t="s">
        <v>709</v>
      </c>
      <c r="AE6" s="28" t="s">
        <v>710</v>
      </c>
      <c r="AF6" s="28" t="s">
        <v>711</v>
      </c>
      <c r="AG6" s="28" t="s">
        <v>712</v>
      </c>
      <c r="AH6" s="28" t="s">
        <v>713</v>
      </c>
      <c r="AI6" s="28" t="s">
        <v>714</v>
      </c>
      <c r="AJ6" s="28" t="s">
        <v>715</v>
      </c>
      <c r="AK6" s="28" t="s">
        <v>716</v>
      </c>
      <c r="AL6" s="28" t="s">
        <v>717</v>
      </c>
      <c r="AM6" s="28" t="s">
        <v>718</v>
      </c>
      <c r="AN6" s="28" t="s">
        <v>719</v>
      </c>
      <c r="AO6" s="28" t="s">
        <v>720</v>
      </c>
      <c r="AP6" s="28" t="s">
        <v>721</v>
      </c>
      <c r="AQ6" s="28" t="s">
        <v>722</v>
      </c>
      <c r="AR6" s="28" t="s">
        <v>723</v>
      </c>
      <c r="AS6" s="28" t="s">
        <v>724</v>
      </c>
      <c r="AT6" s="28" t="s">
        <v>725</v>
      </c>
      <c r="AU6" s="28" t="s">
        <v>726</v>
      </c>
      <c r="AV6" s="28" t="s">
        <v>727</v>
      </c>
      <c r="AW6" s="28" t="s">
        <v>728</v>
      </c>
      <c r="AX6" s="28" t="s">
        <v>729</v>
      </c>
      <c r="AY6" s="28" t="s">
        <v>730</v>
      </c>
      <c r="AZ6" s="28" t="s">
        <v>731</v>
      </c>
      <c r="BA6" s="28" t="s">
        <v>732</v>
      </c>
      <c r="BB6" s="28" t="s">
        <v>733</v>
      </c>
      <c r="BC6" s="28" t="s">
        <v>734</v>
      </c>
      <c r="BD6" s="28" t="s">
        <v>735</v>
      </c>
      <c r="BE6" s="28" t="s">
        <v>736</v>
      </c>
      <c r="BF6" s="28" t="s">
        <v>737</v>
      </c>
      <c r="BG6" s="28" t="s">
        <v>738</v>
      </c>
      <c r="BH6" s="28" t="s">
        <v>739</v>
      </c>
      <c r="BI6" s="28" t="s">
        <v>740</v>
      </c>
      <c r="BJ6" s="28" t="s">
        <v>741</v>
      </c>
      <c r="BK6" s="28" t="s">
        <v>742</v>
      </c>
      <c r="BL6" s="28" t="s">
        <v>743</v>
      </c>
      <c r="BM6" s="28" t="s">
        <v>744</v>
      </c>
      <c r="BN6" s="28" t="s">
        <v>745</v>
      </c>
      <c r="BO6" s="28" t="s">
        <v>746</v>
      </c>
      <c r="BP6" s="28" t="s">
        <v>747</v>
      </c>
      <c r="BQ6" s="28" t="s">
        <v>748</v>
      </c>
    </row>
    <row r="7" spans="1:71" x14ac:dyDescent="0.35">
      <c r="A7" s="29" t="s">
        <v>750</v>
      </c>
      <c r="B7" s="56" t="s">
        <v>31</v>
      </c>
      <c r="C7" s="30" t="s">
        <v>25</v>
      </c>
      <c r="D7" s="30" t="s">
        <v>25</v>
      </c>
      <c r="E7" s="30" t="s">
        <v>25</v>
      </c>
      <c r="F7" s="30" t="s">
        <v>25</v>
      </c>
      <c r="G7" s="30" t="s">
        <v>25</v>
      </c>
      <c r="H7" s="30" t="s">
        <v>25</v>
      </c>
      <c r="I7" s="30" t="s">
        <v>25</v>
      </c>
      <c r="J7" s="30" t="s">
        <v>25</v>
      </c>
      <c r="K7" s="30" t="s">
        <v>25</v>
      </c>
      <c r="L7" s="30" t="s">
        <v>25</v>
      </c>
      <c r="M7" s="30" t="s">
        <v>25</v>
      </c>
      <c r="N7" s="30" t="s">
        <v>25</v>
      </c>
      <c r="O7" s="30" t="s">
        <v>25</v>
      </c>
      <c r="P7" s="30" t="s">
        <v>25</v>
      </c>
      <c r="Q7" s="30" t="s">
        <v>25</v>
      </c>
      <c r="R7" s="30" t="s">
        <v>25</v>
      </c>
      <c r="S7" s="30" t="s">
        <v>25</v>
      </c>
      <c r="T7" s="30" t="s">
        <v>25</v>
      </c>
      <c r="U7" s="30" t="s">
        <v>25</v>
      </c>
      <c r="V7" s="30" t="s">
        <v>25</v>
      </c>
      <c r="W7" s="30" t="s">
        <v>25</v>
      </c>
      <c r="X7" s="30" t="s">
        <v>25</v>
      </c>
      <c r="Y7" s="30" t="s">
        <v>25</v>
      </c>
      <c r="Z7" s="30" t="s">
        <v>25</v>
      </c>
      <c r="AA7" s="30" t="s">
        <v>25</v>
      </c>
      <c r="AB7" s="30" t="s">
        <v>25</v>
      </c>
      <c r="AC7" s="30" t="s">
        <v>25</v>
      </c>
      <c r="AD7" s="30" t="s">
        <v>25</v>
      </c>
      <c r="AE7" s="30" t="s">
        <v>25</v>
      </c>
      <c r="AF7" s="30" t="s">
        <v>25</v>
      </c>
      <c r="AG7" s="30" t="s">
        <v>25</v>
      </c>
      <c r="AH7" s="30" t="s">
        <v>25</v>
      </c>
      <c r="AI7" s="30" t="s">
        <v>25</v>
      </c>
      <c r="AJ7" s="30" t="s">
        <v>25</v>
      </c>
      <c r="AK7" s="30" t="s">
        <v>25</v>
      </c>
      <c r="AL7" s="30" t="s">
        <v>25</v>
      </c>
      <c r="AM7" s="30" t="s">
        <v>25</v>
      </c>
      <c r="AN7" s="30" t="s">
        <v>25</v>
      </c>
      <c r="AO7" s="30" t="s">
        <v>25</v>
      </c>
      <c r="AP7" s="30" t="s">
        <v>25</v>
      </c>
      <c r="AQ7" s="30" t="s">
        <v>25</v>
      </c>
      <c r="AR7" s="30" t="s">
        <v>25</v>
      </c>
      <c r="AS7" s="30" t="s">
        <v>25</v>
      </c>
      <c r="AT7" s="30" t="s">
        <v>25</v>
      </c>
      <c r="AU7" s="30" t="s">
        <v>25</v>
      </c>
      <c r="AV7" s="30" t="s">
        <v>25</v>
      </c>
      <c r="AW7" s="30" t="s">
        <v>25</v>
      </c>
      <c r="AX7" s="30" t="s">
        <v>25</v>
      </c>
      <c r="AY7" s="30" t="s">
        <v>25</v>
      </c>
      <c r="AZ7" s="30" t="s">
        <v>25</v>
      </c>
      <c r="BA7" s="30" t="s">
        <v>25</v>
      </c>
      <c r="BB7" s="30" t="s">
        <v>25</v>
      </c>
      <c r="BC7" s="30" t="s">
        <v>25</v>
      </c>
      <c r="BD7" s="30" t="s">
        <v>25</v>
      </c>
      <c r="BE7" s="30" t="s">
        <v>25</v>
      </c>
      <c r="BF7" s="30" t="s">
        <v>25</v>
      </c>
      <c r="BG7" s="30" t="s">
        <v>25</v>
      </c>
      <c r="BH7" s="30" t="s">
        <v>25</v>
      </c>
      <c r="BI7" s="30" t="s">
        <v>25</v>
      </c>
      <c r="BJ7" s="30" t="s">
        <v>25</v>
      </c>
      <c r="BK7" s="30" t="s">
        <v>25</v>
      </c>
      <c r="BL7" s="30" t="s">
        <v>25</v>
      </c>
      <c r="BM7" s="30" t="s">
        <v>25</v>
      </c>
      <c r="BN7" s="30" t="s">
        <v>25</v>
      </c>
      <c r="BO7" s="30" t="s">
        <v>25</v>
      </c>
      <c r="BP7" s="30" t="s">
        <v>25</v>
      </c>
      <c r="BQ7" s="30" t="s">
        <v>25</v>
      </c>
    </row>
    <row r="8" spans="1:71" x14ac:dyDescent="0.35">
      <c r="A8" s="29" t="s">
        <v>749</v>
      </c>
      <c r="B8" s="30" t="s">
        <v>25</v>
      </c>
      <c r="C8" s="30" t="s">
        <v>25</v>
      </c>
      <c r="D8" s="30" t="s">
        <v>25</v>
      </c>
      <c r="E8" s="30" t="s">
        <v>25</v>
      </c>
      <c r="F8" s="30" t="s">
        <v>25</v>
      </c>
      <c r="G8" s="30" t="s">
        <v>25</v>
      </c>
      <c r="H8" s="30" t="s">
        <v>25</v>
      </c>
      <c r="I8" s="30" t="s">
        <v>25</v>
      </c>
      <c r="J8" s="30" t="s">
        <v>25</v>
      </c>
      <c r="K8" s="30" t="s">
        <v>25</v>
      </c>
      <c r="L8" s="30" t="s">
        <v>25</v>
      </c>
      <c r="M8" s="30" t="s">
        <v>25</v>
      </c>
      <c r="N8" s="30" t="s">
        <v>25</v>
      </c>
      <c r="O8" s="30" t="s">
        <v>25</v>
      </c>
      <c r="P8" s="30" t="s">
        <v>25</v>
      </c>
      <c r="Q8" s="30" t="s">
        <v>25</v>
      </c>
      <c r="R8" s="30" t="s">
        <v>25</v>
      </c>
      <c r="S8" s="30" t="s">
        <v>25</v>
      </c>
      <c r="T8" s="30" t="s">
        <v>25</v>
      </c>
      <c r="U8" s="30" t="s">
        <v>25</v>
      </c>
      <c r="V8" s="30" t="s">
        <v>25</v>
      </c>
      <c r="W8" s="30" t="s">
        <v>25</v>
      </c>
      <c r="X8" s="30" t="s">
        <v>25</v>
      </c>
      <c r="Y8" s="30" t="s">
        <v>25</v>
      </c>
      <c r="Z8" s="30" t="s">
        <v>25</v>
      </c>
      <c r="AA8" s="30" t="s">
        <v>25</v>
      </c>
      <c r="AB8" s="30" t="s">
        <v>25</v>
      </c>
      <c r="AC8" s="30" t="s">
        <v>25</v>
      </c>
      <c r="AD8" s="30" t="s">
        <v>25</v>
      </c>
      <c r="AE8" s="30" t="s">
        <v>25</v>
      </c>
      <c r="AF8" s="30" t="s">
        <v>25</v>
      </c>
      <c r="AG8" s="30" t="s">
        <v>25</v>
      </c>
      <c r="AH8" s="30" t="s">
        <v>25</v>
      </c>
      <c r="AI8" s="30" t="s">
        <v>25</v>
      </c>
      <c r="AJ8" s="30" t="s">
        <v>25</v>
      </c>
      <c r="AK8" s="30" t="s">
        <v>25</v>
      </c>
      <c r="AL8" s="30" t="s">
        <v>25</v>
      </c>
      <c r="AM8" s="30" t="s">
        <v>25</v>
      </c>
      <c r="AN8" s="30" t="s">
        <v>25</v>
      </c>
      <c r="AO8" s="30" t="s">
        <v>25</v>
      </c>
      <c r="AP8" s="30" t="s">
        <v>25</v>
      </c>
      <c r="AQ8" s="30" t="s">
        <v>25</v>
      </c>
      <c r="AR8" s="30" t="s">
        <v>25</v>
      </c>
      <c r="AS8" s="30" t="s">
        <v>25</v>
      </c>
      <c r="AT8" s="30" t="s">
        <v>25</v>
      </c>
      <c r="AU8" s="30" t="s">
        <v>25</v>
      </c>
      <c r="AV8" s="30" t="s">
        <v>25</v>
      </c>
      <c r="AW8" s="30" t="s">
        <v>25</v>
      </c>
      <c r="AX8" s="30" t="s">
        <v>25</v>
      </c>
      <c r="AY8" s="30" t="s">
        <v>25</v>
      </c>
      <c r="AZ8" s="30" t="s">
        <v>25</v>
      </c>
      <c r="BA8" s="30" t="s">
        <v>25</v>
      </c>
      <c r="BB8" s="30" t="s">
        <v>25</v>
      </c>
      <c r="BC8" s="30" t="s">
        <v>25</v>
      </c>
      <c r="BD8" s="33" t="s">
        <v>27</v>
      </c>
      <c r="BE8" s="30" t="s">
        <v>25</v>
      </c>
      <c r="BF8" s="30" t="s">
        <v>25</v>
      </c>
      <c r="BG8" s="30" t="s">
        <v>25</v>
      </c>
      <c r="BH8" s="30" t="s">
        <v>25</v>
      </c>
      <c r="BI8" s="30" t="s">
        <v>25</v>
      </c>
      <c r="BJ8" s="30" t="s">
        <v>27</v>
      </c>
      <c r="BK8" s="30" t="s">
        <v>25</v>
      </c>
      <c r="BL8" s="30" t="s">
        <v>25</v>
      </c>
      <c r="BM8" s="33" t="s">
        <v>25</v>
      </c>
      <c r="BN8" s="30" t="s">
        <v>25</v>
      </c>
      <c r="BO8" s="30" t="s">
        <v>25</v>
      </c>
      <c r="BP8" s="30" t="s">
        <v>25</v>
      </c>
      <c r="BQ8" s="30" t="s">
        <v>25</v>
      </c>
    </row>
    <row r="9" spans="1:71" x14ac:dyDescent="0.35">
      <c r="A9" s="29" t="s">
        <v>751</v>
      </c>
      <c r="B9" s="30" t="s">
        <v>25</v>
      </c>
      <c r="C9" s="30" t="s">
        <v>25</v>
      </c>
      <c r="D9" s="30" t="s">
        <v>25</v>
      </c>
      <c r="E9" s="30" t="s">
        <v>25</v>
      </c>
      <c r="F9" s="30" t="s">
        <v>25</v>
      </c>
      <c r="G9" s="30" t="s">
        <v>25</v>
      </c>
      <c r="H9" s="30" t="s">
        <v>25</v>
      </c>
      <c r="I9" s="30" t="s">
        <v>25</v>
      </c>
      <c r="J9" s="30" t="s">
        <v>25</v>
      </c>
      <c r="K9" s="30" t="s">
        <v>25</v>
      </c>
      <c r="L9" s="30" t="s">
        <v>25</v>
      </c>
      <c r="M9" s="30" t="s">
        <v>25</v>
      </c>
      <c r="N9" s="30" t="s">
        <v>25</v>
      </c>
      <c r="O9" s="30" t="s">
        <v>25</v>
      </c>
      <c r="P9" s="30" t="s">
        <v>25</v>
      </c>
      <c r="Q9" s="30" t="s">
        <v>25</v>
      </c>
      <c r="R9" s="30" t="s">
        <v>25</v>
      </c>
      <c r="S9" s="30" t="s">
        <v>25</v>
      </c>
      <c r="T9" s="30" t="s">
        <v>25</v>
      </c>
      <c r="U9" s="30" t="s">
        <v>25</v>
      </c>
      <c r="V9" s="30" t="s">
        <v>25</v>
      </c>
      <c r="W9" s="30" t="s">
        <v>25</v>
      </c>
      <c r="X9" s="30" t="s">
        <v>25</v>
      </c>
      <c r="Y9" s="30" t="s">
        <v>25</v>
      </c>
      <c r="Z9" s="30" t="s">
        <v>25</v>
      </c>
      <c r="AA9" s="30" t="s">
        <v>25</v>
      </c>
      <c r="AB9" s="30" t="s">
        <v>27</v>
      </c>
      <c r="AC9" s="30" t="s">
        <v>25</v>
      </c>
      <c r="AD9" s="30" t="s">
        <v>25</v>
      </c>
      <c r="AE9" s="30" t="s">
        <v>25</v>
      </c>
      <c r="AF9" s="30" t="s">
        <v>25</v>
      </c>
      <c r="AG9" s="30" t="s">
        <v>25</v>
      </c>
      <c r="AH9" s="30" t="s">
        <v>25</v>
      </c>
      <c r="AI9" s="30" t="s">
        <v>25</v>
      </c>
      <c r="AJ9" s="30" t="s">
        <v>25</v>
      </c>
      <c r="AK9" s="30" t="s">
        <v>25</v>
      </c>
      <c r="AL9" s="30" t="s">
        <v>25</v>
      </c>
      <c r="AM9" s="30" t="s">
        <v>25</v>
      </c>
      <c r="AN9" s="30" t="s">
        <v>25</v>
      </c>
      <c r="AO9" s="30" t="s">
        <v>25</v>
      </c>
      <c r="AP9" s="30" t="s">
        <v>25</v>
      </c>
      <c r="AQ9" s="30" t="s">
        <v>25</v>
      </c>
      <c r="AR9" s="30" t="s">
        <v>25</v>
      </c>
      <c r="AS9" s="30" t="s">
        <v>25</v>
      </c>
      <c r="AT9" s="30" t="s">
        <v>25</v>
      </c>
      <c r="AU9" s="31" t="s">
        <v>31</v>
      </c>
      <c r="AV9" s="30" t="s">
        <v>25</v>
      </c>
      <c r="AW9" s="30" t="s">
        <v>25</v>
      </c>
      <c r="AX9" s="30" t="s">
        <v>25</v>
      </c>
      <c r="AY9" s="30" t="s">
        <v>25</v>
      </c>
      <c r="AZ9" s="30" t="s">
        <v>25</v>
      </c>
      <c r="BA9" s="30" t="s">
        <v>25</v>
      </c>
      <c r="BB9" s="33" t="s">
        <v>27</v>
      </c>
      <c r="BC9" s="30" t="s">
        <v>25</v>
      </c>
      <c r="BD9" s="30" t="s">
        <v>25</v>
      </c>
      <c r="BE9" s="30" t="s">
        <v>25</v>
      </c>
      <c r="BF9" s="30" t="s">
        <v>25</v>
      </c>
      <c r="BG9" s="30" t="s">
        <v>25</v>
      </c>
      <c r="BH9" s="33" t="s">
        <v>27</v>
      </c>
      <c r="BI9" s="30" t="s">
        <v>25</v>
      </c>
      <c r="BJ9" s="30" t="s">
        <v>27</v>
      </c>
      <c r="BK9" s="30" t="s">
        <v>25</v>
      </c>
      <c r="BL9" s="30" t="s">
        <v>25</v>
      </c>
      <c r="BM9" s="30" t="s">
        <v>25</v>
      </c>
      <c r="BN9" s="30" t="s">
        <v>25</v>
      </c>
      <c r="BO9" s="30" t="s">
        <v>25</v>
      </c>
      <c r="BP9" s="30" t="s">
        <v>25</v>
      </c>
      <c r="BQ9" s="30" t="s">
        <v>25</v>
      </c>
    </row>
    <row r="10" spans="1:71" x14ac:dyDescent="0.35">
      <c r="A10" s="29" t="s">
        <v>752</v>
      </c>
      <c r="B10" s="30" t="s">
        <v>25</v>
      </c>
      <c r="C10" s="30" t="s">
        <v>25</v>
      </c>
      <c r="D10" s="30" t="s">
        <v>25</v>
      </c>
      <c r="E10" s="30" t="s">
        <v>25</v>
      </c>
      <c r="F10" s="30" t="s">
        <v>25</v>
      </c>
      <c r="G10" s="30" t="s">
        <v>25</v>
      </c>
      <c r="H10" s="30" t="s">
        <v>25</v>
      </c>
      <c r="I10" s="30" t="s">
        <v>25</v>
      </c>
      <c r="J10" s="30" t="s">
        <v>25</v>
      </c>
      <c r="K10" s="30" t="s">
        <v>25</v>
      </c>
      <c r="L10" s="30" t="s">
        <v>25</v>
      </c>
      <c r="M10" s="30" t="s">
        <v>25</v>
      </c>
      <c r="N10" s="30" t="s">
        <v>25</v>
      </c>
      <c r="O10" s="30" t="s">
        <v>25</v>
      </c>
      <c r="P10" s="30" t="s">
        <v>25</v>
      </c>
      <c r="Q10" s="30" t="s">
        <v>25</v>
      </c>
      <c r="R10" s="30" t="s">
        <v>25</v>
      </c>
      <c r="S10" s="30" t="s">
        <v>25</v>
      </c>
      <c r="T10" s="30" t="s">
        <v>25</v>
      </c>
      <c r="U10" s="30" t="s">
        <v>25</v>
      </c>
      <c r="V10" s="30" t="s">
        <v>25</v>
      </c>
      <c r="W10" s="30" t="s">
        <v>25</v>
      </c>
      <c r="X10" s="30" t="s">
        <v>25</v>
      </c>
      <c r="Y10" s="30" t="s">
        <v>25</v>
      </c>
      <c r="Z10" s="30" t="s">
        <v>25</v>
      </c>
      <c r="AA10" s="30" t="s">
        <v>25</v>
      </c>
      <c r="AB10" s="30" t="s">
        <v>25</v>
      </c>
      <c r="AC10" s="30" t="s">
        <v>25</v>
      </c>
      <c r="AD10" s="30" t="s">
        <v>25</v>
      </c>
      <c r="AE10" s="30" t="s">
        <v>25</v>
      </c>
      <c r="AF10" s="30" t="s">
        <v>25</v>
      </c>
      <c r="AG10" s="30" t="s">
        <v>25</v>
      </c>
      <c r="AH10" s="30" t="s">
        <v>25</v>
      </c>
      <c r="AI10" s="30" t="s">
        <v>25</v>
      </c>
      <c r="AJ10" s="30" t="s">
        <v>25</v>
      </c>
      <c r="AK10" s="30" t="s">
        <v>25</v>
      </c>
      <c r="AL10" s="30" t="s">
        <v>25</v>
      </c>
      <c r="AM10" s="30" t="s">
        <v>25</v>
      </c>
      <c r="AN10" s="30" t="s">
        <v>25</v>
      </c>
      <c r="AO10" s="30" t="s">
        <v>25</v>
      </c>
      <c r="AP10" s="30" t="s">
        <v>25</v>
      </c>
      <c r="AQ10" s="30" t="s">
        <v>25</v>
      </c>
      <c r="AR10" s="30" t="s">
        <v>25</v>
      </c>
      <c r="AS10" s="30" t="s">
        <v>25</v>
      </c>
      <c r="AT10" s="30" t="s">
        <v>25</v>
      </c>
      <c r="AU10" s="31" t="s">
        <v>31</v>
      </c>
      <c r="AV10" s="30" t="s">
        <v>25</v>
      </c>
      <c r="AW10" s="30" t="s">
        <v>25</v>
      </c>
      <c r="AX10" s="30" t="s">
        <v>25</v>
      </c>
      <c r="AY10" s="30" t="s">
        <v>25</v>
      </c>
      <c r="AZ10" s="30" t="s">
        <v>25</v>
      </c>
      <c r="BA10" s="30" t="s">
        <v>25</v>
      </c>
      <c r="BB10" s="31" t="s">
        <v>25</v>
      </c>
      <c r="BC10" s="30" t="s">
        <v>25</v>
      </c>
      <c r="BD10" s="30" t="s">
        <v>25</v>
      </c>
      <c r="BE10" s="30" t="s">
        <v>25</v>
      </c>
      <c r="BF10" s="30" t="s">
        <v>25</v>
      </c>
      <c r="BG10" s="30" t="s">
        <v>25</v>
      </c>
      <c r="BH10" s="31" t="s">
        <v>31</v>
      </c>
      <c r="BI10" s="30" t="s">
        <v>25</v>
      </c>
      <c r="BJ10" s="31" t="s">
        <v>27</v>
      </c>
      <c r="BK10" s="30" t="s">
        <v>25</v>
      </c>
      <c r="BL10" s="30" t="s">
        <v>25</v>
      </c>
      <c r="BM10" s="30" t="s">
        <v>25</v>
      </c>
      <c r="BN10" s="30" t="s">
        <v>25</v>
      </c>
      <c r="BO10" s="30" t="s">
        <v>25</v>
      </c>
      <c r="BP10" s="30" t="s">
        <v>25</v>
      </c>
      <c r="BQ10" s="30" t="s">
        <v>25</v>
      </c>
    </row>
    <row r="11" spans="1:71" x14ac:dyDescent="0.35">
      <c r="A11" s="29" t="s">
        <v>753</v>
      </c>
      <c r="B11" s="30" t="s">
        <v>25</v>
      </c>
      <c r="C11" s="30" t="s">
        <v>25</v>
      </c>
      <c r="D11" s="30" t="s">
        <v>25</v>
      </c>
      <c r="E11" s="30" t="s">
        <v>25</v>
      </c>
      <c r="F11" s="30" t="s">
        <v>25</v>
      </c>
      <c r="G11" s="30" t="s">
        <v>25</v>
      </c>
      <c r="H11" s="30" t="s">
        <v>25</v>
      </c>
      <c r="I11" s="30" t="s">
        <v>25</v>
      </c>
      <c r="J11" s="30" t="s">
        <v>25</v>
      </c>
      <c r="K11" s="30" t="s">
        <v>25</v>
      </c>
      <c r="L11" s="30" t="s">
        <v>25</v>
      </c>
      <c r="M11" s="30" t="s">
        <v>25</v>
      </c>
      <c r="N11" s="30" t="s">
        <v>25</v>
      </c>
      <c r="O11" s="30" t="s">
        <v>25</v>
      </c>
      <c r="P11" s="30" t="s">
        <v>25</v>
      </c>
      <c r="Q11" s="30" t="s">
        <v>25</v>
      </c>
      <c r="R11" s="30" t="s">
        <v>25</v>
      </c>
      <c r="S11" s="30" t="s">
        <v>25</v>
      </c>
      <c r="T11" s="30" t="s">
        <v>25</v>
      </c>
      <c r="U11" s="30" t="s">
        <v>25</v>
      </c>
      <c r="V11" s="30" t="s">
        <v>25</v>
      </c>
      <c r="W11" s="30" t="s">
        <v>25</v>
      </c>
      <c r="X11" s="30" t="s">
        <v>25</v>
      </c>
      <c r="Y11" s="30" t="s">
        <v>25</v>
      </c>
      <c r="Z11" s="30" t="s">
        <v>25</v>
      </c>
      <c r="AA11" s="33" t="s">
        <v>25</v>
      </c>
      <c r="AB11" s="30" t="s">
        <v>25</v>
      </c>
      <c r="AC11" s="30" t="s">
        <v>25</v>
      </c>
      <c r="AD11" s="30" t="s">
        <v>25</v>
      </c>
      <c r="AE11" s="30" t="s">
        <v>25</v>
      </c>
      <c r="AF11" s="30" t="s">
        <v>25</v>
      </c>
      <c r="AG11" s="30" t="s">
        <v>25</v>
      </c>
      <c r="AH11" s="30" t="s">
        <v>25</v>
      </c>
      <c r="AI11" s="30" t="s">
        <v>25</v>
      </c>
      <c r="AJ11" s="30" t="s">
        <v>25</v>
      </c>
      <c r="AK11" s="30" t="s">
        <v>25</v>
      </c>
      <c r="AL11" s="30" t="s">
        <v>25</v>
      </c>
      <c r="AM11" s="30" t="s">
        <v>25</v>
      </c>
      <c r="AN11" s="30" t="s">
        <v>25</v>
      </c>
      <c r="AO11" s="30" t="s">
        <v>25</v>
      </c>
      <c r="AP11" s="30" t="s">
        <v>25</v>
      </c>
      <c r="AQ11" s="30" t="s">
        <v>25</v>
      </c>
      <c r="AR11" s="30" t="s">
        <v>25</v>
      </c>
      <c r="AS11" s="30" t="s">
        <v>25</v>
      </c>
      <c r="AT11" s="30" t="s">
        <v>25</v>
      </c>
      <c r="AU11" s="33" t="s">
        <v>27</v>
      </c>
      <c r="AV11" s="30" t="s">
        <v>25</v>
      </c>
      <c r="AW11" s="30" t="s">
        <v>25</v>
      </c>
      <c r="AX11" s="30" t="s">
        <v>25</v>
      </c>
      <c r="AY11" s="30" t="s">
        <v>25</v>
      </c>
      <c r="AZ11" s="30" t="s">
        <v>25</v>
      </c>
      <c r="BA11" s="30" t="s">
        <v>25</v>
      </c>
      <c r="BB11" s="31" t="s">
        <v>31</v>
      </c>
      <c r="BC11" s="30" t="s">
        <v>25</v>
      </c>
      <c r="BD11" s="30" t="s">
        <v>25</v>
      </c>
      <c r="BE11" s="30" t="s">
        <v>25</v>
      </c>
      <c r="BF11" s="30" t="s">
        <v>25</v>
      </c>
      <c r="BG11" s="30" t="s">
        <v>25</v>
      </c>
      <c r="BH11" s="31" t="s">
        <v>31</v>
      </c>
      <c r="BI11" s="30" t="s">
        <v>25</v>
      </c>
      <c r="BJ11" s="31" t="s">
        <v>31</v>
      </c>
      <c r="BK11" s="30" t="s">
        <v>25</v>
      </c>
      <c r="BL11" s="30" t="s">
        <v>25</v>
      </c>
      <c r="BM11" s="30" t="s">
        <v>25</v>
      </c>
      <c r="BN11" s="30" t="s">
        <v>25</v>
      </c>
      <c r="BO11" s="30" t="s">
        <v>25</v>
      </c>
      <c r="BP11" s="30" t="s">
        <v>25</v>
      </c>
      <c r="BQ11" s="30" t="s">
        <v>25</v>
      </c>
    </row>
    <row r="12" spans="1:71" x14ac:dyDescent="0.35">
      <c r="A12" s="29" t="s">
        <v>754</v>
      </c>
      <c r="B12" s="31" t="s">
        <v>29</v>
      </c>
      <c r="C12" s="31" t="s">
        <v>29</v>
      </c>
      <c r="D12" s="31" t="s">
        <v>29</v>
      </c>
      <c r="E12" s="31" t="s">
        <v>29</v>
      </c>
      <c r="F12" s="31" t="s">
        <v>29</v>
      </c>
      <c r="G12" s="31" t="s">
        <v>29</v>
      </c>
      <c r="H12" s="31" t="s">
        <v>29</v>
      </c>
      <c r="I12" s="31" t="s">
        <v>29</v>
      </c>
      <c r="J12" s="31" t="s">
        <v>29</v>
      </c>
      <c r="K12" s="31" t="s">
        <v>29</v>
      </c>
      <c r="L12" s="31" t="s">
        <v>29</v>
      </c>
      <c r="M12" s="31" t="s">
        <v>29</v>
      </c>
      <c r="N12" s="31" t="s">
        <v>29</v>
      </c>
      <c r="O12" s="31" t="s">
        <v>29</v>
      </c>
      <c r="P12" s="31" t="s">
        <v>29</v>
      </c>
      <c r="Q12" s="31" t="s">
        <v>29</v>
      </c>
      <c r="R12" s="31" t="s">
        <v>29</v>
      </c>
      <c r="S12" s="30" t="s">
        <v>25</v>
      </c>
      <c r="T12" s="31" t="s">
        <v>29</v>
      </c>
      <c r="U12" s="30" t="s">
        <v>29</v>
      </c>
      <c r="V12" s="31" t="s">
        <v>29</v>
      </c>
      <c r="W12" s="31" t="s">
        <v>29</v>
      </c>
      <c r="X12" s="31" t="s">
        <v>29</v>
      </c>
      <c r="Y12" s="31" t="s">
        <v>29</v>
      </c>
      <c r="Z12" s="31" t="s">
        <v>29</v>
      </c>
      <c r="AA12" s="31" t="s">
        <v>25</v>
      </c>
      <c r="AB12" s="31" t="s">
        <v>29</v>
      </c>
      <c r="AC12" s="31" t="s">
        <v>29</v>
      </c>
      <c r="AD12" s="31" t="s">
        <v>29</v>
      </c>
      <c r="AE12" s="31" t="s">
        <v>25</v>
      </c>
      <c r="AF12" s="31" t="s">
        <v>29</v>
      </c>
      <c r="AG12" s="31" t="s">
        <v>25</v>
      </c>
      <c r="AH12" s="31" t="s">
        <v>29</v>
      </c>
      <c r="AI12" s="31" t="s">
        <v>29</v>
      </c>
      <c r="AJ12" s="31" t="s">
        <v>29</v>
      </c>
      <c r="AK12" s="31" t="s">
        <v>29</v>
      </c>
      <c r="AL12" s="31" t="s">
        <v>29</v>
      </c>
      <c r="AM12" s="31" t="s">
        <v>29</v>
      </c>
      <c r="AN12" s="31" t="s">
        <v>29</v>
      </c>
      <c r="AO12" s="31" t="s">
        <v>25</v>
      </c>
      <c r="AP12" s="31" t="s">
        <v>29</v>
      </c>
      <c r="AQ12" s="31" t="s">
        <v>29</v>
      </c>
      <c r="AR12" s="31" t="s">
        <v>29</v>
      </c>
      <c r="AS12" s="31" t="s">
        <v>29</v>
      </c>
      <c r="AT12" s="31" t="s">
        <v>29</v>
      </c>
      <c r="AU12" s="31" t="s">
        <v>29</v>
      </c>
      <c r="AV12" s="31" t="s">
        <v>29</v>
      </c>
      <c r="AW12" s="31" t="s">
        <v>29</v>
      </c>
      <c r="AX12" s="31" t="s">
        <v>29</v>
      </c>
      <c r="AY12" s="31" t="s">
        <v>29</v>
      </c>
      <c r="AZ12" s="31" t="s">
        <v>29</v>
      </c>
      <c r="BA12" s="31" t="s">
        <v>29</v>
      </c>
      <c r="BB12" s="31" t="s">
        <v>31</v>
      </c>
      <c r="BC12" s="31" t="s">
        <v>29</v>
      </c>
      <c r="BD12" s="31" t="s">
        <v>29</v>
      </c>
      <c r="BE12" s="31" t="s">
        <v>29</v>
      </c>
      <c r="BF12" s="31" t="s">
        <v>29</v>
      </c>
      <c r="BG12" s="31" t="s">
        <v>29</v>
      </c>
      <c r="BH12" s="31" t="s">
        <v>31</v>
      </c>
      <c r="BI12" s="31" t="s">
        <v>29</v>
      </c>
      <c r="BJ12" s="31" t="s">
        <v>31</v>
      </c>
      <c r="BK12" s="31" t="s">
        <v>29</v>
      </c>
      <c r="BL12" s="31" t="s">
        <v>29</v>
      </c>
      <c r="BM12" s="31" t="s">
        <v>29</v>
      </c>
      <c r="BN12" s="31" t="s">
        <v>29</v>
      </c>
      <c r="BO12" s="31" t="s">
        <v>29</v>
      </c>
      <c r="BP12" s="31" t="s">
        <v>29</v>
      </c>
      <c r="BQ12" s="31" t="s">
        <v>29</v>
      </c>
    </row>
    <row r="13" spans="1:71" x14ac:dyDescent="0.35">
      <c r="A13" s="29" t="s">
        <v>755</v>
      </c>
      <c r="B13" s="30" t="s">
        <v>25</v>
      </c>
      <c r="C13" s="30" t="s">
        <v>25</v>
      </c>
      <c r="D13" s="30" t="s">
        <v>25</v>
      </c>
      <c r="E13" s="30" t="s">
        <v>25</v>
      </c>
      <c r="F13" s="30" t="s">
        <v>25</v>
      </c>
      <c r="G13" s="30" t="s">
        <v>25</v>
      </c>
      <c r="H13" s="30" t="s">
        <v>25</v>
      </c>
      <c r="I13" s="30" t="s">
        <v>25</v>
      </c>
      <c r="J13" s="30" t="s">
        <v>25</v>
      </c>
      <c r="K13" s="30" t="s">
        <v>25</v>
      </c>
      <c r="L13" s="30" t="s">
        <v>25</v>
      </c>
      <c r="M13" s="30" t="s">
        <v>25</v>
      </c>
      <c r="N13" s="30" t="s">
        <v>25</v>
      </c>
      <c r="O13" s="30" t="s">
        <v>25</v>
      </c>
      <c r="P13" s="30" t="s">
        <v>25</v>
      </c>
      <c r="Q13" s="30" t="s">
        <v>25</v>
      </c>
      <c r="R13" s="30" t="s">
        <v>25</v>
      </c>
      <c r="S13" s="30" t="s">
        <v>25</v>
      </c>
      <c r="T13" s="30" t="s">
        <v>25</v>
      </c>
      <c r="U13" s="30" t="s">
        <v>25</v>
      </c>
      <c r="V13" s="30" t="s">
        <v>25</v>
      </c>
      <c r="W13" s="30" t="s">
        <v>25</v>
      </c>
      <c r="X13" s="30" t="s">
        <v>25</v>
      </c>
      <c r="Y13" s="30" t="s">
        <v>25</v>
      </c>
      <c r="Z13" s="30" t="s">
        <v>25</v>
      </c>
      <c r="AA13" s="30" t="s">
        <v>25</v>
      </c>
      <c r="AB13" s="33" t="s">
        <v>25</v>
      </c>
      <c r="AC13" s="30" t="s">
        <v>25</v>
      </c>
      <c r="AD13" s="30" t="s">
        <v>25</v>
      </c>
      <c r="AE13" s="30" t="s">
        <v>25</v>
      </c>
      <c r="AF13" s="30" t="s">
        <v>25</v>
      </c>
      <c r="AG13" s="30" t="s">
        <v>25</v>
      </c>
      <c r="AH13" s="30" t="s">
        <v>25</v>
      </c>
      <c r="AI13" s="30" t="s">
        <v>25</v>
      </c>
      <c r="AJ13" s="30" t="s">
        <v>25</v>
      </c>
      <c r="AK13" s="30" t="s">
        <v>25</v>
      </c>
      <c r="AL13" s="30" t="s">
        <v>25</v>
      </c>
      <c r="AM13" s="30" t="s">
        <v>25</v>
      </c>
      <c r="AN13" s="31" t="s">
        <v>25</v>
      </c>
      <c r="AO13" s="30" t="s">
        <v>25</v>
      </c>
      <c r="AP13" s="33" t="s">
        <v>25</v>
      </c>
      <c r="AQ13" s="30" t="s">
        <v>25</v>
      </c>
      <c r="AR13" s="31" t="s">
        <v>25</v>
      </c>
      <c r="AS13" s="30" t="s">
        <v>25</v>
      </c>
      <c r="AT13" s="30" t="s">
        <v>25</v>
      </c>
      <c r="AU13" s="31" t="s">
        <v>31</v>
      </c>
      <c r="AV13" s="30" t="s">
        <v>25</v>
      </c>
      <c r="AW13" s="30" t="s">
        <v>25</v>
      </c>
      <c r="AX13" s="30" t="s">
        <v>25</v>
      </c>
      <c r="AY13" s="30" t="s">
        <v>25</v>
      </c>
      <c r="AZ13" s="30" t="s">
        <v>25</v>
      </c>
      <c r="BA13" s="31" t="s">
        <v>25</v>
      </c>
      <c r="BB13" s="31" t="s">
        <v>31</v>
      </c>
      <c r="BC13" s="31" t="s">
        <v>25</v>
      </c>
      <c r="BD13" s="30" t="s">
        <v>25</v>
      </c>
      <c r="BE13" s="33" t="s">
        <v>25</v>
      </c>
      <c r="BF13" s="30" t="s">
        <v>25</v>
      </c>
      <c r="BG13" s="31" t="s">
        <v>25</v>
      </c>
      <c r="BH13" s="31" t="s">
        <v>31</v>
      </c>
      <c r="BI13" s="31" t="s">
        <v>31</v>
      </c>
      <c r="BJ13" s="31" t="s">
        <v>31</v>
      </c>
      <c r="BK13" s="31" t="s">
        <v>31</v>
      </c>
      <c r="BL13" s="31" t="s">
        <v>31</v>
      </c>
      <c r="BM13" s="31" t="s">
        <v>31</v>
      </c>
      <c r="BN13" s="31" t="s">
        <v>31</v>
      </c>
      <c r="BO13" s="31" t="s">
        <v>31</v>
      </c>
      <c r="BP13" s="31" t="s">
        <v>31</v>
      </c>
      <c r="BQ13" s="31" t="s">
        <v>31</v>
      </c>
    </row>
    <row r="14" spans="1:71" x14ac:dyDescent="0.35">
      <c r="A14" s="29" t="s">
        <v>756</v>
      </c>
      <c r="B14" s="30" t="s">
        <v>25</v>
      </c>
      <c r="C14" s="30" t="s">
        <v>25</v>
      </c>
      <c r="D14" s="30" t="s">
        <v>25</v>
      </c>
      <c r="E14" s="30" t="s">
        <v>25</v>
      </c>
      <c r="F14" s="30" t="s">
        <v>25</v>
      </c>
      <c r="G14" s="30" t="s">
        <v>25</v>
      </c>
      <c r="H14" s="30" t="s">
        <v>25</v>
      </c>
      <c r="I14" s="30" t="s">
        <v>25</v>
      </c>
      <c r="J14" s="30" t="s">
        <v>25</v>
      </c>
      <c r="K14" s="30" t="s">
        <v>25</v>
      </c>
      <c r="L14" s="30" t="s">
        <v>25</v>
      </c>
      <c r="M14" s="30" t="s">
        <v>25</v>
      </c>
      <c r="N14" s="30" t="s">
        <v>25</v>
      </c>
      <c r="O14" s="30" t="s">
        <v>25</v>
      </c>
      <c r="P14" s="30" t="s">
        <v>25</v>
      </c>
      <c r="Q14" s="30" t="s">
        <v>25</v>
      </c>
      <c r="R14" s="30" t="s">
        <v>25</v>
      </c>
      <c r="S14" s="33" t="s">
        <v>27</v>
      </c>
      <c r="T14" s="33" t="s">
        <v>27</v>
      </c>
      <c r="U14" s="33" t="s">
        <v>27</v>
      </c>
      <c r="V14" s="33" t="s">
        <v>27</v>
      </c>
      <c r="W14" s="33" t="s">
        <v>27</v>
      </c>
      <c r="X14" s="33" t="s">
        <v>27</v>
      </c>
      <c r="Y14" s="33" t="s">
        <v>27</v>
      </c>
      <c r="Z14" s="33" t="s">
        <v>27</v>
      </c>
      <c r="AA14" s="33" t="s">
        <v>27</v>
      </c>
      <c r="AB14" s="33" t="s">
        <v>27</v>
      </c>
      <c r="AC14" s="33" t="s">
        <v>27</v>
      </c>
      <c r="AD14" s="33" t="s">
        <v>27</v>
      </c>
      <c r="AE14" s="33" t="s">
        <v>27</v>
      </c>
      <c r="AF14" s="33" t="s">
        <v>27</v>
      </c>
      <c r="AG14" s="33" t="s">
        <v>27</v>
      </c>
      <c r="AH14" s="33" t="s">
        <v>27</v>
      </c>
      <c r="AI14" s="33" t="s">
        <v>27</v>
      </c>
      <c r="AJ14" s="33" t="s">
        <v>27</v>
      </c>
      <c r="AK14" s="33" t="s">
        <v>27</v>
      </c>
      <c r="AL14" s="31" t="s">
        <v>31</v>
      </c>
      <c r="AM14" s="31" t="s">
        <v>31</v>
      </c>
      <c r="AN14" s="31" t="s">
        <v>31</v>
      </c>
      <c r="AO14" s="31" t="s">
        <v>31</v>
      </c>
      <c r="AP14" s="31" t="s">
        <v>31</v>
      </c>
      <c r="AQ14" s="31" t="s">
        <v>31</v>
      </c>
      <c r="AR14" s="31" t="s">
        <v>31</v>
      </c>
      <c r="AS14" s="31" t="s">
        <v>31</v>
      </c>
      <c r="AT14" s="31" t="s">
        <v>31</v>
      </c>
      <c r="AU14" s="31" t="s">
        <v>31</v>
      </c>
      <c r="AV14" s="31" t="s">
        <v>31</v>
      </c>
      <c r="AW14" s="31" t="s">
        <v>31</v>
      </c>
      <c r="AX14" s="31" t="s">
        <v>31</v>
      </c>
      <c r="AY14" s="31" t="s">
        <v>31</v>
      </c>
      <c r="AZ14" s="31" t="s">
        <v>31</v>
      </c>
      <c r="BA14" s="31" t="s">
        <v>31</v>
      </c>
      <c r="BB14" s="31" t="s">
        <v>31</v>
      </c>
      <c r="BC14" s="31" t="s">
        <v>31</v>
      </c>
      <c r="BD14" s="31" t="s">
        <v>31</v>
      </c>
      <c r="BE14" s="31" t="s">
        <v>31</v>
      </c>
      <c r="BF14" s="31" t="s">
        <v>31</v>
      </c>
      <c r="BG14" s="31" t="s">
        <v>31</v>
      </c>
      <c r="BH14" s="31" t="s">
        <v>31</v>
      </c>
      <c r="BI14" s="31" t="s">
        <v>31</v>
      </c>
      <c r="BJ14" s="31" t="s">
        <v>31</v>
      </c>
      <c r="BK14" s="31" t="s">
        <v>31</v>
      </c>
      <c r="BL14" s="31" t="s">
        <v>31</v>
      </c>
      <c r="BM14" s="31" t="s">
        <v>31</v>
      </c>
      <c r="BN14" s="31" t="s">
        <v>31</v>
      </c>
      <c r="BO14" s="31" t="s">
        <v>31</v>
      </c>
      <c r="BP14" s="31" t="s">
        <v>31</v>
      </c>
      <c r="BQ14" s="31" t="s">
        <v>31</v>
      </c>
    </row>
    <row r="15" spans="1:71" x14ac:dyDescent="0.35">
      <c r="A15" s="29" t="s">
        <v>757</v>
      </c>
      <c r="B15" s="30" t="s">
        <v>25</v>
      </c>
      <c r="C15" s="30" t="s">
        <v>25</v>
      </c>
      <c r="D15" s="30" t="s">
        <v>25</v>
      </c>
      <c r="E15" s="30" t="s">
        <v>25</v>
      </c>
      <c r="F15" s="30" t="s">
        <v>25</v>
      </c>
      <c r="G15" s="30" t="s">
        <v>25</v>
      </c>
      <c r="H15" s="30" t="s">
        <v>25</v>
      </c>
      <c r="I15" s="30" t="s">
        <v>25</v>
      </c>
      <c r="J15" s="30" t="s">
        <v>25</v>
      </c>
      <c r="K15" s="30" t="s">
        <v>25</v>
      </c>
      <c r="L15" s="30" t="s">
        <v>25</v>
      </c>
      <c r="M15" s="30" t="s">
        <v>25</v>
      </c>
      <c r="N15" s="30" t="s">
        <v>25</v>
      </c>
      <c r="O15" s="30" t="s">
        <v>25</v>
      </c>
      <c r="P15" s="30" t="s">
        <v>25</v>
      </c>
      <c r="Q15" s="30" t="s">
        <v>25</v>
      </c>
      <c r="R15" s="30" t="s">
        <v>25</v>
      </c>
      <c r="S15" s="30" t="s">
        <v>25</v>
      </c>
      <c r="T15" s="30" t="s">
        <v>25</v>
      </c>
      <c r="U15" s="30" t="s">
        <v>25</v>
      </c>
      <c r="V15" s="30" t="s">
        <v>25</v>
      </c>
      <c r="W15" s="30" t="s">
        <v>25</v>
      </c>
      <c r="X15" s="30" t="s">
        <v>25</v>
      </c>
      <c r="Y15" s="30" t="s">
        <v>25</v>
      </c>
      <c r="Z15" s="33" t="s">
        <v>27</v>
      </c>
      <c r="AA15" s="30" t="s">
        <v>25</v>
      </c>
      <c r="AB15" s="33" t="s">
        <v>27</v>
      </c>
      <c r="AC15" s="30" t="s">
        <v>25</v>
      </c>
      <c r="AD15" s="30" t="s">
        <v>25</v>
      </c>
      <c r="AE15" s="30" t="s">
        <v>25</v>
      </c>
      <c r="AF15" s="30" t="s">
        <v>25</v>
      </c>
      <c r="AG15" s="31" t="s">
        <v>25</v>
      </c>
      <c r="AH15" s="30" t="s">
        <v>25</v>
      </c>
      <c r="AI15" s="30" t="s">
        <v>25</v>
      </c>
      <c r="AJ15" s="30" t="s">
        <v>25</v>
      </c>
      <c r="AK15" s="30" t="s">
        <v>25</v>
      </c>
      <c r="AL15" s="30" t="s">
        <v>25</v>
      </c>
      <c r="AM15" s="30" t="s">
        <v>25</v>
      </c>
      <c r="AN15" s="30" t="s">
        <v>25</v>
      </c>
      <c r="AO15" s="30" t="s">
        <v>25</v>
      </c>
      <c r="AP15" s="30" t="s">
        <v>25</v>
      </c>
      <c r="AQ15" s="30" t="s">
        <v>25</v>
      </c>
      <c r="AR15" s="31" t="s">
        <v>31</v>
      </c>
      <c r="AS15" s="30" t="s">
        <v>25</v>
      </c>
      <c r="AT15" s="30" t="s">
        <v>25</v>
      </c>
      <c r="AU15" s="33" t="s">
        <v>27</v>
      </c>
      <c r="AV15" s="30" t="s">
        <v>25</v>
      </c>
      <c r="AW15" s="30" t="s">
        <v>27</v>
      </c>
      <c r="AX15" s="33" t="s">
        <v>27</v>
      </c>
      <c r="AY15" s="31" t="s">
        <v>31</v>
      </c>
      <c r="AZ15" s="33" t="s">
        <v>27</v>
      </c>
      <c r="BA15" s="33" t="s">
        <v>27</v>
      </c>
      <c r="BB15" s="31" t="s">
        <v>31</v>
      </c>
      <c r="BC15" s="31" t="s">
        <v>31</v>
      </c>
      <c r="BD15" s="30" t="s">
        <v>25</v>
      </c>
      <c r="BE15" s="31" t="s">
        <v>31</v>
      </c>
      <c r="BF15" s="31" t="s">
        <v>31</v>
      </c>
      <c r="BG15" s="31" t="s">
        <v>31</v>
      </c>
      <c r="BH15" s="31" t="s">
        <v>27</v>
      </c>
      <c r="BI15" s="30" t="s">
        <v>25</v>
      </c>
      <c r="BJ15" s="31" t="s">
        <v>31</v>
      </c>
      <c r="BK15" s="30" t="s">
        <v>25</v>
      </c>
      <c r="BL15" s="30" t="s">
        <v>25</v>
      </c>
      <c r="BM15" s="31" t="s">
        <v>31</v>
      </c>
      <c r="BN15" s="30" t="s">
        <v>25</v>
      </c>
      <c r="BO15" s="30" t="s">
        <v>25</v>
      </c>
      <c r="BP15" s="30" t="s">
        <v>25</v>
      </c>
      <c r="BQ15" s="30" t="s">
        <v>25</v>
      </c>
    </row>
    <row r="16" spans="1:71" x14ac:dyDescent="0.35">
      <c r="A16" s="29" t="s">
        <v>758</v>
      </c>
      <c r="B16" s="30" t="s">
        <v>25</v>
      </c>
      <c r="C16" s="30" t="s">
        <v>25</v>
      </c>
      <c r="D16" s="30" t="s">
        <v>25</v>
      </c>
      <c r="E16" s="30" t="s">
        <v>25</v>
      </c>
      <c r="F16" s="30" t="s">
        <v>25</v>
      </c>
      <c r="G16" s="30" t="s">
        <v>25</v>
      </c>
      <c r="H16" s="30" t="s">
        <v>25</v>
      </c>
      <c r="I16" s="30" t="s">
        <v>25</v>
      </c>
      <c r="J16" s="30" t="s">
        <v>25</v>
      </c>
      <c r="K16" s="30" t="s">
        <v>25</v>
      </c>
      <c r="L16" s="30" t="s">
        <v>25</v>
      </c>
      <c r="M16" s="30" t="s">
        <v>25</v>
      </c>
      <c r="N16" s="30" t="s">
        <v>25</v>
      </c>
      <c r="O16" s="30" t="s">
        <v>25</v>
      </c>
      <c r="P16" s="30" t="s">
        <v>25</v>
      </c>
      <c r="Q16" s="30" t="s">
        <v>25</v>
      </c>
      <c r="R16" s="30" t="s">
        <v>25</v>
      </c>
      <c r="S16" s="30" t="s">
        <v>25</v>
      </c>
      <c r="T16" s="30" t="s">
        <v>25</v>
      </c>
      <c r="U16" s="30" t="s">
        <v>25</v>
      </c>
      <c r="V16" s="30" t="s">
        <v>25</v>
      </c>
      <c r="W16" s="30" t="s">
        <v>25</v>
      </c>
      <c r="X16" s="30" t="s">
        <v>25</v>
      </c>
      <c r="Y16" s="30" t="s">
        <v>25</v>
      </c>
      <c r="Z16" s="30" t="s">
        <v>27</v>
      </c>
      <c r="AA16" s="30" t="s">
        <v>25</v>
      </c>
      <c r="AB16" s="30" t="s">
        <v>27</v>
      </c>
      <c r="AC16" s="30" t="s">
        <v>25</v>
      </c>
      <c r="AD16" s="30" t="s">
        <v>25</v>
      </c>
      <c r="AE16" s="30" t="s">
        <v>25</v>
      </c>
      <c r="AF16" s="30" t="s">
        <v>25</v>
      </c>
      <c r="AG16" s="33" t="s">
        <v>25</v>
      </c>
      <c r="AH16" s="30" t="s">
        <v>25</v>
      </c>
      <c r="AI16" s="30" t="s">
        <v>25</v>
      </c>
      <c r="AJ16" s="30" t="s">
        <v>25</v>
      </c>
      <c r="AK16" s="30" t="s">
        <v>25</v>
      </c>
      <c r="AL16" s="30" t="s">
        <v>25</v>
      </c>
      <c r="AM16" s="30" t="s">
        <v>25</v>
      </c>
      <c r="AN16" s="30" t="s">
        <v>25</v>
      </c>
      <c r="AO16" s="30" t="s">
        <v>25</v>
      </c>
      <c r="AP16" s="30" t="s">
        <v>25</v>
      </c>
      <c r="AQ16" s="30" t="s">
        <v>25</v>
      </c>
      <c r="AR16" s="31" t="s">
        <v>31</v>
      </c>
      <c r="AS16" s="30" t="s">
        <v>25</v>
      </c>
      <c r="AT16" s="30" t="s">
        <v>25</v>
      </c>
      <c r="AU16" s="30" t="s">
        <v>27</v>
      </c>
      <c r="AV16" s="30" t="s">
        <v>25</v>
      </c>
      <c r="AW16" s="30" t="s">
        <v>27</v>
      </c>
      <c r="AX16" s="30" t="s">
        <v>27</v>
      </c>
      <c r="AY16" s="30" t="s">
        <v>25</v>
      </c>
      <c r="AZ16" s="33" t="s">
        <v>27</v>
      </c>
      <c r="BA16" s="33" t="s">
        <v>27</v>
      </c>
      <c r="BB16" s="31" t="s">
        <v>31</v>
      </c>
      <c r="BC16" s="31" t="s">
        <v>31</v>
      </c>
      <c r="BD16" s="30" t="s">
        <v>25</v>
      </c>
      <c r="BE16" s="31" t="s">
        <v>31</v>
      </c>
      <c r="BF16" s="31" t="s">
        <v>31</v>
      </c>
      <c r="BG16" s="31" t="s">
        <v>31</v>
      </c>
      <c r="BH16" s="31" t="s">
        <v>27</v>
      </c>
      <c r="BI16" s="30" t="s">
        <v>25</v>
      </c>
      <c r="BJ16" s="31" t="s">
        <v>31</v>
      </c>
      <c r="BK16" s="30" t="s">
        <v>25</v>
      </c>
      <c r="BL16" s="30" t="s">
        <v>25</v>
      </c>
      <c r="BM16" s="31" t="s">
        <v>31</v>
      </c>
      <c r="BN16" s="30" t="s">
        <v>25</v>
      </c>
      <c r="BO16" s="30" t="s">
        <v>25</v>
      </c>
      <c r="BP16" s="30" t="s">
        <v>25</v>
      </c>
      <c r="BQ16" s="30" t="s">
        <v>25</v>
      </c>
    </row>
    <row r="17" spans="1:69" x14ac:dyDescent="0.35">
      <c r="A17" s="29" t="s">
        <v>759</v>
      </c>
      <c r="B17" s="30" t="s">
        <v>25</v>
      </c>
      <c r="C17" s="30" t="s">
        <v>25</v>
      </c>
      <c r="D17" s="30" t="s">
        <v>25</v>
      </c>
      <c r="E17" s="30" t="s">
        <v>25</v>
      </c>
      <c r="F17" s="30" t="s">
        <v>25</v>
      </c>
      <c r="G17" s="30" t="s">
        <v>25</v>
      </c>
      <c r="H17" s="30" t="s">
        <v>25</v>
      </c>
      <c r="I17" s="30" t="s">
        <v>25</v>
      </c>
      <c r="J17" s="30" t="s">
        <v>25</v>
      </c>
      <c r="K17" s="30" t="s">
        <v>25</v>
      </c>
      <c r="L17" s="30" t="s">
        <v>25</v>
      </c>
      <c r="M17" s="30" t="s">
        <v>25</v>
      </c>
      <c r="N17" s="30" t="s">
        <v>25</v>
      </c>
      <c r="O17" s="30" t="s">
        <v>25</v>
      </c>
      <c r="P17" s="30" t="s">
        <v>25</v>
      </c>
      <c r="Q17" s="30" t="s">
        <v>25</v>
      </c>
      <c r="R17" s="30" t="s">
        <v>25</v>
      </c>
      <c r="S17" s="30" t="s">
        <v>25</v>
      </c>
      <c r="T17" s="30" t="s">
        <v>25</v>
      </c>
      <c r="U17" s="30" t="s">
        <v>25</v>
      </c>
      <c r="V17" s="30" t="s">
        <v>25</v>
      </c>
      <c r="W17" s="30" t="s">
        <v>25</v>
      </c>
      <c r="X17" s="30" t="s">
        <v>25</v>
      </c>
      <c r="Y17" s="30" t="s">
        <v>25</v>
      </c>
      <c r="Z17" s="31" t="s">
        <v>31</v>
      </c>
      <c r="AA17" s="31" t="s">
        <v>31</v>
      </c>
      <c r="AB17" s="30" t="s">
        <v>25</v>
      </c>
      <c r="AC17" s="30" t="s">
        <v>25</v>
      </c>
      <c r="AD17" s="30" t="s">
        <v>25</v>
      </c>
      <c r="AE17" s="30" t="s">
        <v>25</v>
      </c>
      <c r="AF17" s="30" t="s">
        <v>25</v>
      </c>
      <c r="AG17" s="31" t="s">
        <v>31</v>
      </c>
      <c r="AH17" s="30" t="s">
        <v>25</v>
      </c>
      <c r="AI17" s="30" t="s">
        <v>25</v>
      </c>
      <c r="AJ17" s="30" t="s">
        <v>25</v>
      </c>
      <c r="AK17" s="30" t="s">
        <v>25</v>
      </c>
      <c r="AL17" s="30" t="s">
        <v>25</v>
      </c>
      <c r="AM17" s="31" t="s">
        <v>31</v>
      </c>
      <c r="AN17" s="30" t="s">
        <v>25</v>
      </c>
      <c r="AO17" s="31" t="s">
        <v>31</v>
      </c>
      <c r="AP17" s="31" t="s">
        <v>31</v>
      </c>
      <c r="AQ17" s="30" t="s">
        <v>25</v>
      </c>
      <c r="AR17" s="30" t="s">
        <v>25</v>
      </c>
      <c r="AS17" s="30" t="s">
        <v>25</v>
      </c>
      <c r="AT17" s="31" t="s">
        <v>31</v>
      </c>
      <c r="AU17" s="30" t="s">
        <v>25</v>
      </c>
      <c r="AV17" s="30" t="s">
        <v>25</v>
      </c>
      <c r="AW17" s="31" t="s">
        <v>31</v>
      </c>
      <c r="AX17" s="30" t="s">
        <v>25</v>
      </c>
      <c r="AY17" s="30" t="s">
        <v>25</v>
      </c>
      <c r="AZ17" s="30" t="s">
        <v>25</v>
      </c>
      <c r="BA17" s="31" t="s">
        <v>31</v>
      </c>
      <c r="BB17" s="31" t="s">
        <v>31</v>
      </c>
      <c r="BC17" s="30" t="s">
        <v>25</v>
      </c>
      <c r="BD17" s="30" t="s">
        <v>25</v>
      </c>
      <c r="BE17" s="30" t="s">
        <v>25</v>
      </c>
      <c r="BF17" s="31" t="s">
        <v>31</v>
      </c>
      <c r="BG17" s="31" t="s">
        <v>31</v>
      </c>
      <c r="BH17" s="30" t="s">
        <v>25</v>
      </c>
      <c r="BI17" s="31" t="s">
        <v>31</v>
      </c>
      <c r="BJ17" s="31" t="s">
        <v>31</v>
      </c>
      <c r="BK17" s="30" t="s">
        <v>25</v>
      </c>
      <c r="BL17" s="31" t="s">
        <v>31</v>
      </c>
      <c r="BM17" s="30" t="s">
        <v>25</v>
      </c>
      <c r="BN17" s="31" t="s">
        <v>31</v>
      </c>
      <c r="BO17" s="30" t="s">
        <v>25</v>
      </c>
      <c r="BP17" s="31" t="s">
        <v>31</v>
      </c>
      <c r="BQ17" s="31" t="s">
        <v>31</v>
      </c>
    </row>
    <row r="18" spans="1:69" x14ac:dyDescent="0.35">
      <c r="A18" s="29" t="s">
        <v>760</v>
      </c>
      <c r="B18" s="30" t="s">
        <v>25</v>
      </c>
      <c r="C18" s="30" t="s">
        <v>25</v>
      </c>
      <c r="D18" s="30" t="s">
        <v>25</v>
      </c>
      <c r="E18" s="30" t="s">
        <v>25</v>
      </c>
      <c r="F18" s="30" t="s">
        <v>25</v>
      </c>
      <c r="G18" s="30" t="s">
        <v>25</v>
      </c>
      <c r="H18" s="30" t="s">
        <v>25</v>
      </c>
      <c r="I18" s="30" t="s">
        <v>25</v>
      </c>
      <c r="J18" s="30" t="s">
        <v>25</v>
      </c>
      <c r="K18" s="30" t="s">
        <v>25</v>
      </c>
      <c r="L18" s="30" t="s">
        <v>25</v>
      </c>
      <c r="M18" s="30" t="s">
        <v>25</v>
      </c>
      <c r="N18" s="30" t="s">
        <v>25</v>
      </c>
      <c r="O18" s="30" t="s">
        <v>25</v>
      </c>
      <c r="P18" s="30" t="s">
        <v>25</v>
      </c>
      <c r="Q18" s="30" t="s">
        <v>25</v>
      </c>
      <c r="R18" s="30" t="s">
        <v>25</v>
      </c>
      <c r="S18" s="30" t="s">
        <v>25</v>
      </c>
      <c r="T18" s="30" t="s">
        <v>25</v>
      </c>
      <c r="U18" s="30" t="s">
        <v>25</v>
      </c>
      <c r="V18" s="30" t="s">
        <v>25</v>
      </c>
      <c r="W18" s="30" t="s">
        <v>25</v>
      </c>
      <c r="X18" s="30" t="s">
        <v>25</v>
      </c>
      <c r="Y18" s="30" t="s">
        <v>25</v>
      </c>
      <c r="Z18" s="30" t="s">
        <v>25</v>
      </c>
      <c r="AA18" s="31" t="s">
        <v>31</v>
      </c>
      <c r="AB18" s="30" t="s">
        <v>25</v>
      </c>
      <c r="AC18" s="30" t="s">
        <v>25</v>
      </c>
      <c r="AD18" s="30" t="s">
        <v>25</v>
      </c>
      <c r="AE18" s="30" t="s">
        <v>25</v>
      </c>
      <c r="AF18" s="31" t="s">
        <v>31</v>
      </c>
      <c r="AG18" s="31" t="s">
        <v>31</v>
      </c>
      <c r="AH18" s="30" t="s">
        <v>25</v>
      </c>
      <c r="AI18" s="30" t="s">
        <v>25</v>
      </c>
      <c r="AJ18" s="30" t="s">
        <v>25</v>
      </c>
      <c r="AK18" s="30" t="s">
        <v>25</v>
      </c>
      <c r="AL18" s="30" t="s">
        <v>25</v>
      </c>
      <c r="AM18" s="30" t="s">
        <v>25</v>
      </c>
      <c r="AN18" s="30" t="s">
        <v>25</v>
      </c>
      <c r="AO18" s="30" t="s">
        <v>25</v>
      </c>
      <c r="AP18" s="30" t="s">
        <v>25</v>
      </c>
      <c r="AQ18" s="30" t="s">
        <v>25</v>
      </c>
      <c r="AR18" s="30" t="s">
        <v>25</v>
      </c>
      <c r="AS18" s="30" t="s">
        <v>25</v>
      </c>
      <c r="AT18" s="30" t="s">
        <v>25</v>
      </c>
      <c r="AU18" s="30" t="s">
        <v>25</v>
      </c>
      <c r="AV18" s="30" t="s">
        <v>25</v>
      </c>
      <c r="AW18" s="30" t="s">
        <v>25</v>
      </c>
      <c r="AX18" s="30" t="s">
        <v>25</v>
      </c>
      <c r="AY18" s="30" t="s">
        <v>25</v>
      </c>
      <c r="AZ18" s="30" t="s">
        <v>25</v>
      </c>
      <c r="BA18" s="31" t="s">
        <v>31</v>
      </c>
      <c r="BB18" s="30" t="s">
        <v>25</v>
      </c>
      <c r="BC18" s="30" t="s">
        <v>25</v>
      </c>
      <c r="BD18" s="30" t="s">
        <v>25</v>
      </c>
      <c r="BE18" s="30" t="s">
        <v>25</v>
      </c>
      <c r="BF18" s="31" t="s">
        <v>31</v>
      </c>
      <c r="BG18" s="31" t="s">
        <v>31</v>
      </c>
      <c r="BH18" s="30" t="s">
        <v>25</v>
      </c>
      <c r="BI18" s="30" t="s">
        <v>25</v>
      </c>
      <c r="BJ18" s="30" t="s">
        <v>25</v>
      </c>
      <c r="BK18" s="30" t="s">
        <v>25</v>
      </c>
      <c r="BL18" s="30" t="s">
        <v>25</v>
      </c>
      <c r="BM18" s="30" t="s">
        <v>25</v>
      </c>
      <c r="BN18" s="30" t="s">
        <v>25</v>
      </c>
      <c r="BO18" s="30" t="s">
        <v>25</v>
      </c>
      <c r="BP18" s="30" t="s">
        <v>25</v>
      </c>
      <c r="BQ18" s="31" t="s">
        <v>31</v>
      </c>
    </row>
    <row r="19" spans="1:69" x14ac:dyDescent="0.35">
      <c r="A19" s="29" t="s">
        <v>761</v>
      </c>
      <c r="B19" s="31" t="s">
        <v>25</v>
      </c>
      <c r="C19" s="31" t="s">
        <v>29</v>
      </c>
      <c r="D19" s="31" t="s">
        <v>29</v>
      </c>
      <c r="E19" s="31" t="s">
        <v>29</v>
      </c>
      <c r="F19" s="31" t="s">
        <v>29</v>
      </c>
      <c r="G19" s="31" t="s">
        <v>29</v>
      </c>
      <c r="H19" s="31" t="s">
        <v>29</v>
      </c>
      <c r="I19" s="31" t="s">
        <v>25</v>
      </c>
      <c r="J19" s="31" t="s">
        <v>29</v>
      </c>
      <c r="K19" s="31" t="s">
        <v>29</v>
      </c>
      <c r="L19" s="31" t="s">
        <v>29</v>
      </c>
      <c r="M19" s="31" t="s">
        <v>29</v>
      </c>
      <c r="N19" s="31" t="s">
        <v>29</v>
      </c>
      <c r="O19" s="31" t="s">
        <v>29</v>
      </c>
      <c r="P19" s="31" t="s">
        <v>29</v>
      </c>
      <c r="Q19" s="31" t="s">
        <v>29</v>
      </c>
      <c r="R19" s="31" t="s">
        <v>29</v>
      </c>
      <c r="S19" s="31" t="s">
        <v>29</v>
      </c>
      <c r="T19" s="31" t="s">
        <v>29</v>
      </c>
      <c r="U19" s="31" t="s">
        <v>29</v>
      </c>
      <c r="V19" s="31" t="s">
        <v>29</v>
      </c>
      <c r="W19" s="31" t="s">
        <v>29</v>
      </c>
      <c r="X19" s="31" t="s">
        <v>29</v>
      </c>
      <c r="Y19" s="31" t="s">
        <v>29</v>
      </c>
      <c r="Z19" s="31" t="s">
        <v>29</v>
      </c>
      <c r="AA19" s="31" t="s">
        <v>29</v>
      </c>
      <c r="AB19" s="31" t="s">
        <v>29</v>
      </c>
      <c r="AC19" s="31" t="s">
        <v>29</v>
      </c>
      <c r="AD19" s="31" t="s">
        <v>29</v>
      </c>
      <c r="AE19" s="62" t="s">
        <v>27</v>
      </c>
      <c r="AF19" s="31" t="s">
        <v>29</v>
      </c>
      <c r="AG19" s="31" t="s">
        <v>29</v>
      </c>
      <c r="AH19" s="31" t="s">
        <v>29</v>
      </c>
      <c r="AI19" s="31" t="s">
        <v>29</v>
      </c>
      <c r="AJ19" s="62" t="s">
        <v>25</v>
      </c>
      <c r="AK19" s="31" t="s">
        <v>29</v>
      </c>
      <c r="AL19" s="31" t="s">
        <v>29</v>
      </c>
      <c r="AM19" s="31" t="s">
        <v>29</v>
      </c>
      <c r="AN19" s="31" t="s">
        <v>29</v>
      </c>
      <c r="AO19" s="31" t="s">
        <v>29</v>
      </c>
      <c r="AP19" s="31" t="s">
        <v>29</v>
      </c>
      <c r="AQ19" s="62" t="s">
        <v>25</v>
      </c>
      <c r="AR19" s="31" t="s">
        <v>29</v>
      </c>
      <c r="AS19" s="31" t="s">
        <v>29</v>
      </c>
      <c r="AT19" s="31" t="s">
        <v>29</v>
      </c>
      <c r="AU19" s="31" t="s">
        <v>29</v>
      </c>
      <c r="AV19" s="62" t="s">
        <v>27</v>
      </c>
      <c r="AW19" s="31" t="s">
        <v>29</v>
      </c>
      <c r="AX19" s="31" t="s">
        <v>29</v>
      </c>
      <c r="AY19" s="31" t="s">
        <v>29</v>
      </c>
      <c r="AZ19" s="31" t="s">
        <v>29</v>
      </c>
      <c r="BA19" s="31" t="s">
        <v>29</v>
      </c>
      <c r="BB19" s="31" t="s">
        <v>29</v>
      </c>
      <c r="BC19" s="62" t="s">
        <v>27</v>
      </c>
      <c r="BD19" s="31" t="s">
        <v>29</v>
      </c>
      <c r="BE19" s="31" t="s">
        <v>29</v>
      </c>
      <c r="BF19" s="31" t="s">
        <v>29</v>
      </c>
      <c r="BG19" s="31" t="s">
        <v>29</v>
      </c>
      <c r="BH19" s="62" t="s">
        <v>27</v>
      </c>
      <c r="BI19" s="31" t="s">
        <v>29</v>
      </c>
      <c r="BJ19" s="31" t="s">
        <v>29</v>
      </c>
      <c r="BK19" s="31" t="s">
        <v>29</v>
      </c>
      <c r="BL19" s="31" t="s">
        <v>29</v>
      </c>
      <c r="BM19" s="62" t="s">
        <v>27</v>
      </c>
      <c r="BN19" s="31" t="s">
        <v>29</v>
      </c>
      <c r="BO19" s="62" t="s">
        <v>27</v>
      </c>
      <c r="BP19" s="31" t="s">
        <v>29</v>
      </c>
      <c r="BQ19" s="31" t="s">
        <v>29</v>
      </c>
    </row>
    <row r="20" spans="1:69" x14ac:dyDescent="0.35">
      <c r="A20" s="29" t="s">
        <v>762</v>
      </c>
      <c r="B20" s="31" t="s">
        <v>31</v>
      </c>
      <c r="C20" s="31" t="s">
        <v>31</v>
      </c>
      <c r="D20" s="31" t="s">
        <v>31</v>
      </c>
      <c r="E20" s="31" t="s">
        <v>31</v>
      </c>
      <c r="F20" s="31" t="s">
        <v>31</v>
      </c>
      <c r="G20" s="31" t="s">
        <v>31</v>
      </c>
      <c r="H20" s="31" t="s">
        <v>31</v>
      </c>
      <c r="I20" s="31" t="s">
        <v>31</v>
      </c>
      <c r="J20" s="31" t="s">
        <v>31</v>
      </c>
      <c r="K20" s="31" t="s">
        <v>31</v>
      </c>
      <c r="L20" s="31" t="s">
        <v>31</v>
      </c>
      <c r="M20" s="31" t="s">
        <v>31</v>
      </c>
      <c r="N20" s="31" t="s">
        <v>31</v>
      </c>
      <c r="O20" s="31" t="s">
        <v>31</v>
      </c>
      <c r="P20" s="31" t="s">
        <v>31</v>
      </c>
      <c r="Q20" s="31" t="s">
        <v>31</v>
      </c>
      <c r="R20" s="31" t="s">
        <v>31</v>
      </c>
      <c r="S20" s="31" t="s">
        <v>31</v>
      </c>
      <c r="T20" s="31" t="s">
        <v>31</v>
      </c>
      <c r="U20" s="31" t="s">
        <v>31</v>
      </c>
      <c r="V20" s="31" t="s">
        <v>31</v>
      </c>
      <c r="W20" s="31" t="s">
        <v>31</v>
      </c>
      <c r="X20" s="31" t="s">
        <v>31</v>
      </c>
      <c r="Y20" s="31" t="s">
        <v>31</v>
      </c>
      <c r="Z20" s="31" t="s">
        <v>31</v>
      </c>
      <c r="AA20" s="31" t="s">
        <v>31</v>
      </c>
      <c r="AB20" s="31" t="s">
        <v>31</v>
      </c>
      <c r="AC20" s="31" t="s">
        <v>31</v>
      </c>
      <c r="AD20" s="31" t="s">
        <v>31</v>
      </c>
      <c r="AE20" s="31" t="s">
        <v>31</v>
      </c>
      <c r="AF20" s="31" t="s">
        <v>31</v>
      </c>
      <c r="AG20" s="31" t="s">
        <v>31</v>
      </c>
      <c r="AH20" s="31" t="s">
        <v>31</v>
      </c>
      <c r="AI20" s="31" t="s">
        <v>31</v>
      </c>
      <c r="AJ20" s="31" t="s">
        <v>31</v>
      </c>
      <c r="AK20" s="31" t="s">
        <v>31</v>
      </c>
      <c r="AL20" s="31" t="s">
        <v>31</v>
      </c>
      <c r="AM20" s="31" t="s">
        <v>31</v>
      </c>
      <c r="AN20" s="31" t="s">
        <v>31</v>
      </c>
      <c r="AO20" s="31" t="s">
        <v>31</v>
      </c>
      <c r="AP20" s="31" t="s">
        <v>31</v>
      </c>
      <c r="AQ20" s="31" t="s">
        <v>31</v>
      </c>
      <c r="AR20" s="31" t="s">
        <v>31</v>
      </c>
      <c r="AS20" s="31" t="s">
        <v>31</v>
      </c>
      <c r="AT20" s="31" t="s">
        <v>31</v>
      </c>
      <c r="AU20" s="31" t="s">
        <v>31</v>
      </c>
      <c r="AV20" s="31" t="s">
        <v>31</v>
      </c>
      <c r="AW20" s="31" t="s">
        <v>31</v>
      </c>
      <c r="AX20" s="31" t="s">
        <v>31</v>
      </c>
      <c r="AY20" s="31" t="s">
        <v>31</v>
      </c>
      <c r="AZ20" s="31" t="s">
        <v>31</v>
      </c>
      <c r="BA20" s="31" t="s">
        <v>31</v>
      </c>
      <c r="BB20" s="31" t="s">
        <v>31</v>
      </c>
      <c r="BC20" s="31" t="s">
        <v>31</v>
      </c>
      <c r="BD20" s="31" t="s">
        <v>31</v>
      </c>
      <c r="BE20" s="31" t="s">
        <v>31</v>
      </c>
      <c r="BF20" s="31" t="s">
        <v>31</v>
      </c>
      <c r="BG20" s="31" t="s">
        <v>31</v>
      </c>
      <c r="BH20" s="31" t="s">
        <v>31</v>
      </c>
      <c r="BI20" s="31" t="s">
        <v>31</v>
      </c>
      <c r="BJ20" s="31" t="s">
        <v>31</v>
      </c>
      <c r="BK20" s="31" t="s">
        <v>31</v>
      </c>
      <c r="BL20" s="31" t="s">
        <v>31</v>
      </c>
      <c r="BM20" s="31" t="s">
        <v>31</v>
      </c>
      <c r="BN20" s="31" t="s">
        <v>31</v>
      </c>
      <c r="BO20" s="31" t="s">
        <v>31</v>
      </c>
      <c r="BP20" s="31" t="s">
        <v>31</v>
      </c>
      <c r="BQ20" s="31" t="s">
        <v>31</v>
      </c>
    </row>
    <row r="21" spans="1:69" x14ac:dyDescent="0.35">
      <c r="A21" s="29" t="s">
        <v>763</v>
      </c>
      <c r="B21" s="31" t="s">
        <v>31</v>
      </c>
      <c r="C21" s="31" t="s">
        <v>31</v>
      </c>
      <c r="D21" s="31" t="s">
        <v>31</v>
      </c>
      <c r="E21" s="31" t="s">
        <v>31</v>
      </c>
      <c r="F21" s="31" t="s">
        <v>31</v>
      </c>
      <c r="G21" s="31" t="s">
        <v>31</v>
      </c>
      <c r="H21" s="31" t="s">
        <v>31</v>
      </c>
      <c r="I21" s="31" t="s">
        <v>31</v>
      </c>
      <c r="J21" s="31" t="s">
        <v>31</v>
      </c>
      <c r="K21" s="31" t="s">
        <v>31</v>
      </c>
      <c r="L21" s="31" t="s">
        <v>31</v>
      </c>
      <c r="M21" s="31" t="s">
        <v>31</v>
      </c>
      <c r="N21" s="31" t="s">
        <v>31</v>
      </c>
      <c r="O21" s="31" t="s">
        <v>31</v>
      </c>
      <c r="P21" s="31" t="s">
        <v>31</v>
      </c>
      <c r="Q21" s="31" t="s">
        <v>31</v>
      </c>
      <c r="R21" s="31" t="s">
        <v>31</v>
      </c>
      <c r="S21" s="31" t="s">
        <v>31</v>
      </c>
      <c r="T21" s="31" t="s">
        <v>31</v>
      </c>
      <c r="U21" s="31" t="s">
        <v>31</v>
      </c>
      <c r="V21" s="31" t="s">
        <v>31</v>
      </c>
      <c r="W21" s="31" t="s">
        <v>31</v>
      </c>
      <c r="X21" s="31" t="s">
        <v>31</v>
      </c>
      <c r="Y21" s="31" t="s">
        <v>31</v>
      </c>
      <c r="Z21" s="31" t="s">
        <v>31</v>
      </c>
      <c r="AA21" s="31" t="s">
        <v>31</v>
      </c>
      <c r="AB21" s="31" t="s">
        <v>31</v>
      </c>
      <c r="AC21" s="31" t="s">
        <v>31</v>
      </c>
      <c r="AD21" s="31" t="s">
        <v>31</v>
      </c>
      <c r="AE21" s="31" t="s">
        <v>31</v>
      </c>
      <c r="AF21" s="31" t="s">
        <v>31</v>
      </c>
      <c r="AG21" s="31" t="s">
        <v>31</v>
      </c>
      <c r="AH21" s="31" t="s">
        <v>31</v>
      </c>
      <c r="AI21" s="31" t="s">
        <v>31</v>
      </c>
      <c r="AJ21" s="31" t="s">
        <v>31</v>
      </c>
      <c r="AK21" s="31" t="s">
        <v>31</v>
      </c>
      <c r="AL21" s="31" t="s">
        <v>31</v>
      </c>
      <c r="AM21" s="31" t="s">
        <v>31</v>
      </c>
      <c r="AN21" s="31" t="s">
        <v>31</v>
      </c>
      <c r="AO21" s="31" t="s">
        <v>31</v>
      </c>
      <c r="AP21" s="31" t="s">
        <v>31</v>
      </c>
      <c r="AQ21" s="31" t="s">
        <v>31</v>
      </c>
      <c r="AR21" s="31" t="s">
        <v>31</v>
      </c>
      <c r="AS21" s="31" t="s">
        <v>31</v>
      </c>
      <c r="AT21" s="31" t="s">
        <v>31</v>
      </c>
      <c r="AU21" s="31" t="s">
        <v>31</v>
      </c>
      <c r="AV21" s="31" t="s">
        <v>31</v>
      </c>
      <c r="AW21" s="31" t="s">
        <v>31</v>
      </c>
      <c r="AX21" s="31" t="s">
        <v>31</v>
      </c>
      <c r="AY21" s="31" t="s">
        <v>31</v>
      </c>
      <c r="AZ21" s="31" t="s">
        <v>31</v>
      </c>
      <c r="BA21" s="31" t="s">
        <v>31</v>
      </c>
      <c r="BB21" s="31" t="s">
        <v>31</v>
      </c>
      <c r="BC21" s="31" t="s">
        <v>31</v>
      </c>
      <c r="BD21" s="31" t="s">
        <v>31</v>
      </c>
      <c r="BE21" s="31" t="s">
        <v>31</v>
      </c>
      <c r="BF21" s="31" t="s">
        <v>31</v>
      </c>
      <c r="BG21" s="31" t="s">
        <v>31</v>
      </c>
      <c r="BH21" s="31" t="s">
        <v>31</v>
      </c>
      <c r="BI21" s="31" t="s">
        <v>31</v>
      </c>
      <c r="BJ21" s="31" t="s">
        <v>31</v>
      </c>
      <c r="BK21" s="31" t="s">
        <v>31</v>
      </c>
      <c r="BL21" s="31" t="s">
        <v>31</v>
      </c>
      <c r="BM21" s="31" t="s">
        <v>31</v>
      </c>
      <c r="BN21" s="31" t="s">
        <v>31</v>
      </c>
      <c r="BO21" s="31" t="s">
        <v>31</v>
      </c>
      <c r="BP21" s="31" t="s">
        <v>31</v>
      </c>
      <c r="BQ21" s="31" t="s">
        <v>31</v>
      </c>
    </row>
    <row r="22" spans="1:69" x14ac:dyDescent="0.35">
      <c r="A22" s="29" t="s">
        <v>764</v>
      </c>
      <c r="B22" s="31" t="s">
        <v>31</v>
      </c>
      <c r="C22" s="31" t="s">
        <v>31</v>
      </c>
      <c r="D22" s="31" t="s">
        <v>31</v>
      </c>
      <c r="E22" s="31" t="s">
        <v>31</v>
      </c>
      <c r="F22" s="31" t="s">
        <v>31</v>
      </c>
      <c r="G22" s="31" t="s">
        <v>31</v>
      </c>
      <c r="H22" s="31" t="s">
        <v>31</v>
      </c>
      <c r="I22" s="31" t="s">
        <v>31</v>
      </c>
      <c r="J22" s="31" t="s">
        <v>31</v>
      </c>
      <c r="K22" s="31" t="s">
        <v>31</v>
      </c>
      <c r="L22" s="31" t="s">
        <v>31</v>
      </c>
      <c r="M22" s="31" t="s">
        <v>31</v>
      </c>
      <c r="N22" s="31" t="s">
        <v>31</v>
      </c>
      <c r="O22" s="31" t="s">
        <v>31</v>
      </c>
      <c r="P22" s="31" t="s">
        <v>31</v>
      </c>
      <c r="Q22" s="31" t="s">
        <v>31</v>
      </c>
      <c r="R22" s="31" t="s">
        <v>31</v>
      </c>
      <c r="S22" s="31" t="s">
        <v>31</v>
      </c>
      <c r="T22" s="31" t="s">
        <v>31</v>
      </c>
      <c r="U22" s="31" t="s">
        <v>31</v>
      </c>
      <c r="V22" s="31" t="s">
        <v>31</v>
      </c>
      <c r="W22" s="31" t="s">
        <v>31</v>
      </c>
      <c r="X22" s="31" t="s">
        <v>31</v>
      </c>
      <c r="Y22" s="31" t="s">
        <v>31</v>
      </c>
      <c r="Z22" s="31" t="s">
        <v>31</v>
      </c>
      <c r="AA22" s="31" t="s">
        <v>31</v>
      </c>
      <c r="AB22" s="31" t="s">
        <v>31</v>
      </c>
      <c r="AC22" s="31" t="s">
        <v>31</v>
      </c>
      <c r="AD22" s="31" t="s">
        <v>31</v>
      </c>
      <c r="AE22" s="31" t="s">
        <v>31</v>
      </c>
      <c r="AF22" s="31" t="s">
        <v>31</v>
      </c>
      <c r="AG22" s="31" t="s">
        <v>31</v>
      </c>
      <c r="AH22" s="31" t="s">
        <v>31</v>
      </c>
      <c r="AI22" s="31" t="s">
        <v>31</v>
      </c>
      <c r="AJ22" s="31" t="s">
        <v>31</v>
      </c>
      <c r="AK22" s="31" t="s">
        <v>31</v>
      </c>
      <c r="AL22" s="31" t="s">
        <v>31</v>
      </c>
      <c r="AM22" s="31" t="s">
        <v>31</v>
      </c>
      <c r="AN22" s="31" t="s">
        <v>31</v>
      </c>
      <c r="AO22" s="31" t="s">
        <v>31</v>
      </c>
      <c r="AP22" s="31" t="s">
        <v>31</v>
      </c>
      <c r="AQ22" s="31" t="s">
        <v>31</v>
      </c>
      <c r="AR22" s="31" t="s">
        <v>31</v>
      </c>
      <c r="AS22" s="31" t="s">
        <v>31</v>
      </c>
      <c r="AT22" s="31" t="s">
        <v>31</v>
      </c>
      <c r="AU22" s="31" t="s">
        <v>31</v>
      </c>
      <c r="AV22" s="31" t="s">
        <v>31</v>
      </c>
      <c r="AW22" s="31" t="s">
        <v>31</v>
      </c>
      <c r="AX22" s="31" t="s">
        <v>31</v>
      </c>
      <c r="AY22" s="31" t="s">
        <v>31</v>
      </c>
      <c r="AZ22" s="31" t="s">
        <v>31</v>
      </c>
      <c r="BA22" s="31" t="s">
        <v>31</v>
      </c>
      <c r="BB22" s="31" t="s">
        <v>31</v>
      </c>
      <c r="BC22" s="31" t="s">
        <v>31</v>
      </c>
      <c r="BD22" s="31" t="s">
        <v>31</v>
      </c>
      <c r="BE22" s="31" t="s">
        <v>31</v>
      </c>
      <c r="BF22" s="31" t="s">
        <v>31</v>
      </c>
      <c r="BG22" s="31" t="s">
        <v>31</v>
      </c>
      <c r="BH22" s="31" t="s">
        <v>31</v>
      </c>
      <c r="BI22" s="31" t="s">
        <v>31</v>
      </c>
      <c r="BJ22" s="31" t="s">
        <v>31</v>
      </c>
      <c r="BK22" s="31" t="s">
        <v>31</v>
      </c>
      <c r="BL22" s="31" t="s">
        <v>31</v>
      </c>
      <c r="BM22" s="31" t="s">
        <v>31</v>
      </c>
      <c r="BN22" s="31" t="s">
        <v>31</v>
      </c>
      <c r="BO22" s="31" t="s">
        <v>31</v>
      </c>
      <c r="BP22" s="31" t="s">
        <v>31</v>
      </c>
      <c r="BQ22" s="31" t="s">
        <v>31</v>
      </c>
    </row>
    <row r="23" spans="1:69" x14ac:dyDescent="0.35">
      <c r="A23" s="29" t="s">
        <v>765</v>
      </c>
      <c r="B23" s="31" t="s">
        <v>25</v>
      </c>
      <c r="C23" s="31" t="s">
        <v>25</v>
      </c>
      <c r="D23" s="31" t="s">
        <v>25</v>
      </c>
      <c r="E23" s="31" t="s">
        <v>25</v>
      </c>
      <c r="F23" s="31" t="s">
        <v>25</v>
      </c>
      <c r="G23" s="31" t="s">
        <v>25</v>
      </c>
      <c r="H23" s="31" t="s">
        <v>25</v>
      </c>
      <c r="I23" s="31" t="s">
        <v>25</v>
      </c>
      <c r="J23" s="31" t="s">
        <v>25</v>
      </c>
      <c r="K23" s="56" t="s">
        <v>27</v>
      </c>
      <c r="L23" s="56" t="s">
        <v>27</v>
      </c>
      <c r="M23" s="56" t="s">
        <v>27</v>
      </c>
      <c r="N23" s="56" t="s">
        <v>27</v>
      </c>
      <c r="O23" s="56" t="s">
        <v>27</v>
      </c>
      <c r="P23" s="56" t="s">
        <v>27</v>
      </c>
      <c r="Q23" s="56" t="s">
        <v>25</v>
      </c>
      <c r="R23" s="56" t="s">
        <v>27</v>
      </c>
      <c r="S23" s="31" t="s">
        <v>31</v>
      </c>
      <c r="T23" s="31" t="s">
        <v>31</v>
      </c>
      <c r="U23" s="31" t="s">
        <v>31</v>
      </c>
      <c r="V23" s="31" t="s">
        <v>31</v>
      </c>
      <c r="W23" s="31" t="s">
        <v>31</v>
      </c>
      <c r="X23" s="31" t="s">
        <v>31</v>
      </c>
      <c r="Y23" s="31" t="s">
        <v>31</v>
      </c>
      <c r="Z23" s="31" t="s">
        <v>31</v>
      </c>
      <c r="AA23" s="31" t="s">
        <v>31</v>
      </c>
      <c r="AB23" s="31" t="s">
        <v>31</v>
      </c>
      <c r="AC23" s="31" t="s">
        <v>25</v>
      </c>
      <c r="AD23" s="31" t="s">
        <v>31</v>
      </c>
      <c r="AE23" s="31" t="s">
        <v>31</v>
      </c>
      <c r="AF23" s="31" t="s">
        <v>31</v>
      </c>
      <c r="AG23" s="31" t="s">
        <v>31</v>
      </c>
      <c r="AH23" s="31" t="s">
        <v>27</v>
      </c>
      <c r="AI23" s="31" t="s">
        <v>27</v>
      </c>
      <c r="AJ23" s="31" t="s">
        <v>25</v>
      </c>
      <c r="AK23" s="31" t="s">
        <v>25</v>
      </c>
      <c r="AL23" s="31" t="s">
        <v>31</v>
      </c>
      <c r="AM23" s="31" t="s">
        <v>31</v>
      </c>
      <c r="AN23" s="31" t="s">
        <v>31</v>
      </c>
      <c r="AO23" s="31" t="s">
        <v>31</v>
      </c>
      <c r="AP23" s="31" t="s">
        <v>31</v>
      </c>
      <c r="AQ23" s="31" t="s">
        <v>31</v>
      </c>
      <c r="AR23" s="31" t="s">
        <v>31</v>
      </c>
      <c r="AS23" s="31" t="s">
        <v>31</v>
      </c>
      <c r="AT23" s="31" t="s">
        <v>31</v>
      </c>
      <c r="AU23" s="31" t="s">
        <v>27</v>
      </c>
      <c r="AV23" s="31" t="s">
        <v>27</v>
      </c>
      <c r="AW23" s="31" t="s">
        <v>27</v>
      </c>
      <c r="AX23" s="31" t="s">
        <v>31</v>
      </c>
      <c r="AY23" s="31" t="s">
        <v>31</v>
      </c>
      <c r="AZ23" s="31" t="s">
        <v>31</v>
      </c>
      <c r="BA23" s="31" t="s">
        <v>31</v>
      </c>
      <c r="BB23" s="31" t="s">
        <v>31</v>
      </c>
      <c r="BC23" s="31" t="s">
        <v>31</v>
      </c>
      <c r="BD23" s="31" t="s">
        <v>31</v>
      </c>
      <c r="BE23" s="31" t="s">
        <v>31</v>
      </c>
      <c r="BF23" s="31" t="s">
        <v>31</v>
      </c>
      <c r="BG23" s="31" t="s">
        <v>31</v>
      </c>
      <c r="BH23" s="31" t="s">
        <v>31</v>
      </c>
      <c r="BI23" s="31" t="s">
        <v>31</v>
      </c>
      <c r="BJ23" s="31" t="s">
        <v>31</v>
      </c>
      <c r="BK23" s="31" t="s">
        <v>31</v>
      </c>
      <c r="BL23" s="31" t="s">
        <v>31</v>
      </c>
      <c r="BM23" s="31" t="s">
        <v>31</v>
      </c>
      <c r="BN23" s="31" t="s">
        <v>31</v>
      </c>
      <c r="BO23" s="31" t="s">
        <v>31</v>
      </c>
      <c r="BP23" s="31" t="s">
        <v>31</v>
      </c>
      <c r="BQ23" s="31" t="s">
        <v>31</v>
      </c>
    </row>
    <row r="24" spans="1:69" x14ac:dyDescent="0.35">
      <c r="A24" s="29" t="s">
        <v>766</v>
      </c>
      <c r="B24" s="31" t="s">
        <v>25</v>
      </c>
      <c r="C24" s="31" t="s">
        <v>25</v>
      </c>
      <c r="D24" s="31" t="s">
        <v>25</v>
      </c>
      <c r="E24" s="31" t="s">
        <v>25</v>
      </c>
      <c r="F24" s="31" t="s">
        <v>25</v>
      </c>
      <c r="G24" s="31" t="s">
        <v>25</v>
      </c>
      <c r="H24" s="31" t="s">
        <v>25</v>
      </c>
      <c r="I24" s="31" t="s">
        <v>25</v>
      </c>
      <c r="J24" s="31" t="s">
        <v>25</v>
      </c>
      <c r="K24" s="56" t="s">
        <v>27</v>
      </c>
      <c r="L24" s="56" t="s">
        <v>27</v>
      </c>
      <c r="M24" s="56" t="s">
        <v>27</v>
      </c>
      <c r="N24" s="56" t="s">
        <v>27</v>
      </c>
      <c r="O24" s="56" t="s">
        <v>27</v>
      </c>
      <c r="P24" s="56" t="s">
        <v>27</v>
      </c>
      <c r="Q24" s="56" t="s">
        <v>25</v>
      </c>
      <c r="R24" s="56" t="s">
        <v>27</v>
      </c>
      <c r="S24" s="31" t="s">
        <v>31</v>
      </c>
      <c r="T24" s="31" t="s">
        <v>31</v>
      </c>
      <c r="U24" s="31" t="s">
        <v>31</v>
      </c>
      <c r="V24" s="31" t="s">
        <v>31</v>
      </c>
      <c r="W24" s="31" t="s">
        <v>31</v>
      </c>
      <c r="X24" s="31" t="s">
        <v>31</v>
      </c>
      <c r="Y24" s="31" t="s">
        <v>31</v>
      </c>
      <c r="Z24" s="31" t="s">
        <v>31</v>
      </c>
      <c r="AA24" s="31" t="s">
        <v>31</v>
      </c>
      <c r="AB24" s="31" t="s">
        <v>31</v>
      </c>
      <c r="AC24" s="31" t="s">
        <v>25</v>
      </c>
      <c r="AD24" s="31" t="s">
        <v>31</v>
      </c>
      <c r="AE24" s="31" t="s">
        <v>31</v>
      </c>
      <c r="AF24" s="31" t="s">
        <v>31</v>
      </c>
      <c r="AG24" s="31" t="s">
        <v>31</v>
      </c>
      <c r="AH24" s="31" t="s">
        <v>27</v>
      </c>
      <c r="AI24" s="31" t="s">
        <v>27</v>
      </c>
      <c r="AJ24" s="31" t="s">
        <v>25</v>
      </c>
      <c r="AK24" s="31" t="s">
        <v>25</v>
      </c>
      <c r="AL24" s="31" t="s">
        <v>31</v>
      </c>
      <c r="AM24" s="31" t="s">
        <v>31</v>
      </c>
      <c r="AN24" s="31" t="s">
        <v>31</v>
      </c>
      <c r="AO24" s="31" t="s">
        <v>31</v>
      </c>
      <c r="AP24" s="31" t="s">
        <v>31</v>
      </c>
      <c r="AQ24" s="31" t="s">
        <v>31</v>
      </c>
      <c r="AR24" s="31" t="s">
        <v>31</v>
      </c>
      <c r="AS24" s="31" t="s">
        <v>31</v>
      </c>
      <c r="AT24" s="31" t="s">
        <v>31</v>
      </c>
      <c r="AU24" s="31" t="s">
        <v>27</v>
      </c>
      <c r="AV24" s="31" t="s">
        <v>27</v>
      </c>
      <c r="AW24" s="31" t="s">
        <v>27</v>
      </c>
      <c r="AX24" s="31" t="s">
        <v>31</v>
      </c>
      <c r="AY24" s="31" t="s">
        <v>31</v>
      </c>
      <c r="AZ24" s="31" t="s">
        <v>31</v>
      </c>
      <c r="BA24" s="31" t="s">
        <v>31</v>
      </c>
      <c r="BB24" s="31" t="s">
        <v>31</v>
      </c>
      <c r="BC24" s="31" t="s">
        <v>31</v>
      </c>
      <c r="BD24" s="31" t="s">
        <v>31</v>
      </c>
      <c r="BE24" s="31" t="s">
        <v>31</v>
      </c>
      <c r="BF24" s="31" t="s">
        <v>31</v>
      </c>
      <c r="BG24" s="31" t="s">
        <v>31</v>
      </c>
      <c r="BH24" s="31" t="s">
        <v>31</v>
      </c>
      <c r="BI24" s="31" t="s">
        <v>31</v>
      </c>
      <c r="BJ24" s="31" t="s">
        <v>31</v>
      </c>
      <c r="BK24" s="31" t="s">
        <v>31</v>
      </c>
      <c r="BL24" s="31" t="s">
        <v>31</v>
      </c>
      <c r="BM24" s="31" t="s">
        <v>31</v>
      </c>
      <c r="BN24" s="31" t="s">
        <v>31</v>
      </c>
      <c r="BO24" s="31" t="s">
        <v>31</v>
      </c>
      <c r="BP24" s="31" t="s">
        <v>31</v>
      </c>
      <c r="BQ24" s="31" t="s">
        <v>31</v>
      </c>
    </row>
    <row r="25" spans="1:69" x14ac:dyDescent="0.35">
      <c r="A25" s="29" t="s">
        <v>767</v>
      </c>
      <c r="B25" s="31" t="s">
        <v>31</v>
      </c>
      <c r="C25" s="31" t="s">
        <v>31</v>
      </c>
      <c r="D25" s="31" t="s">
        <v>31</v>
      </c>
      <c r="E25" s="31" t="s">
        <v>31</v>
      </c>
      <c r="F25" s="31" t="s">
        <v>31</v>
      </c>
      <c r="G25" s="31" t="s">
        <v>31</v>
      </c>
      <c r="H25" s="31" t="s">
        <v>31</v>
      </c>
      <c r="I25" s="31" t="s">
        <v>31</v>
      </c>
      <c r="J25" s="31" t="s">
        <v>31</v>
      </c>
      <c r="K25" s="31" t="s">
        <v>31</v>
      </c>
      <c r="L25" s="31" t="s">
        <v>31</v>
      </c>
      <c r="M25" s="31" t="s">
        <v>31</v>
      </c>
      <c r="N25" s="31" t="s">
        <v>31</v>
      </c>
      <c r="O25" s="31" t="s">
        <v>31</v>
      </c>
      <c r="P25" s="31" t="s">
        <v>31</v>
      </c>
      <c r="Q25" s="31" t="s">
        <v>31</v>
      </c>
      <c r="R25" s="31" t="s">
        <v>31</v>
      </c>
      <c r="S25" s="31" t="s">
        <v>31</v>
      </c>
      <c r="T25" s="31" t="s">
        <v>31</v>
      </c>
      <c r="U25" s="31" t="s">
        <v>31</v>
      </c>
      <c r="V25" s="31" t="s">
        <v>31</v>
      </c>
      <c r="W25" s="31" t="s">
        <v>31</v>
      </c>
      <c r="X25" s="31" t="s">
        <v>31</v>
      </c>
      <c r="Y25" s="31" t="s">
        <v>31</v>
      </c>
      <c r="Z25" s="31" t="s">
        <v>31</v>
      </c>
      <c r="AA25" s="31" t="s">
        <v>31</v>
      </c>
      <c r="AB25" s="31" t="s">
        <v>31</v>
      </c>
      <c r="AC25" s="31" t="s">
        <v>31</v>
      </c>
      <c r="AD25" s="31" t="s">
        <v>31</v>
      </c>
      <c r="AE25" s="31" t="s">
        <v>31</v>
      </c>
      <c r="AF25" s="31" t="s">
        <v>31</v>
      </c>
      <c r="AG25" s="31" t="s">
        <v>31</v>
      </c>
      <c r="AH25" s="31" t="s">
        <v>31</v>
      </c>
      <c r="AI25" s="31" t="s">
        <v>31</v>
      </c>
      <c r="AJ25" s="31" t="s">
        <v>31</v>
      </c>
      <c r="AK25" s="31" t="s">
        <v>31</v>
      </c>
      <c r="AL25" s="31" t="s">
        <v>31</v>
      </c>
      <c r="AM25" s="31" t="s">
        <v>31</v>
      </c>
      <c r="AN25" s="31" t="s">
        <v>31</v>
      </c>
      <c r="AO25" s="31" t="s">
        <v>31</v>
      </c>
      <c r="AP25" s="31" t="s">
        <v>31</v>
      </c>
      <c r="AQ25" s="31" t="s">
        <v>31</v>
      </c>
      <c r="AR25" s="31" t="s">
        <v>31</v>
      </c>
      <c r="AS25" s="31" t="s">
        <v>31</v>
      </c>
      <c r="AT25" s="31" t="s">
        <v>31</v>
      </c>
      <c r="AU25" s="31" t="s">
        <v>31</v>
      </c>
      <c r="AV25" s="31" t="s">
        <v>31</v>
      </c>
      <c r="AW25" s="31" t="s">
        <v>31</v>
      </c>
      <c r="AX25" s="31" t="s">
        <v>31</v>
      </c>
      <c r="AY25" s="31" t="s">
        <v>31</v>
      </c>
      <c r="AZ25" s="31" t="s">
        <v>31</v>
      </c>
      <c r="BA25" s="31" t="s">
        <v>31</v>
      </c>
      <c r="BB25" s="31" t="s">
        <v>31</v>
      </c>
      <c r="BC25" s="31" t="s">
        <v>31</v>
      </c>
      <c r="BD25" s="31" t="s">
        <v>31</v>
      </c>
      <c r="BE25" s="31" t="s">
        <v>31</v>
      </c>
      <c r="BF25" s="31" t="s">
        <v>31</v>
      </c>
      <c r="BG25" s="31" t="s">
        <v>31</v>
      </c>
      <c r="BH25" s="31" t="s">
        <v>31</v>
      </c>
      <c r="BI25" s="31" t="s">
        <v>31</v>
      </c>
      <c r="BJ25" s="31" t="s">
        <v>31</v>
      </c>
      <c r="BK25" s="31" t="s">
        <v>31</v>
      </c>
      <c r="BL25" s="31" t="s">
        <v>31</v>
      </c>
      <c r="BM25" s="31" t="s">
        <v>31</v>
      </c>
      <c r="BN25" s="31" t="s">
        <v>31</v>
      </c>
      <c r="BO25" s="31" t="s">
        <v>31</v>
      </c>
      <c r="BP25" s="31" t="s">
        <v>31</v>
      </c>
      <c r="BQ25" s="31" t="s">
        <v>31</v>
      </c>
    </row>
    <row r="26" spans="1:69" x14ac:dyDescent="0.35">
      <c r="A26" s="34" t="s">
        <v>599</v>
      </c>
      <c r="B26" s="35" t="s">
        <v>33</v>
      </c>
      <c r="C26" s="32" t="s">
        <v>29</v>
      </c>
      <c r="D26" s="32" t="s">
        <v>29</v>
      </c>
      <c r="E26" s="32" t="s">
        <v>29</v>
      </c>
      <c r="F26" s="32" t="s">
        <v>29</v>
      </c>
      <c r="G26" s="32" t="s">
        <v>29</v>
      </c>
      <c r="H26" s="32" t="s">
        <v>29</v>
      </c>
      <c r="I26" s="32" t="s">
        <v>29</v>
      </c>
      <c r="J26" s="32" t="s">
        <v>29</v>
      </c>
      <c r="K26" s="32" t="s">
        <v>29</v>
      </c>
      <c r="L26" s="32" t="s">
        <v>29</v>
      </c>
      <c r="M26" s="35" t="s">
        <v>33</v>
      </c>
      <c r="N26" s="32" t="s">
        <v>29</v>
      </c>
      <c r="O26" s="32" t="s">
        <v>29</v>
      </c>
      <c r="P26" s="32" t="s">
        <v>29</v>
      </c>
      <c r="Q26" s="32" t="s">
        <v>29</v>
      </c>
      <c r="R26" s="32" t="s">
        <v>29</v>
      </c>
      <c r="S26" s="32" t="s">
        <v>29</v>
      </c>
      <c r="T26" s="32" t="s">
        <v>29</v>
      </c>
      <c r="U26" s="32" t="s">
        <v>29</v>
      </c>
      <c r="V26" s="32" t="s">
        <v>29</v>
      </c>
      <c r="W26" s="32" t="s">
        <v>29</v>
      </c>
      <c r="X26" s="35" t="s">
        <v>33</v>
      </c>
      <c r="Y26" s="32" t="s">
        <v>29</v>
      </c>
      <c r="Z26" s="32" t="s">
        <v>29</v>
      </c>
      <c r="AA26" s="32" t="s">
        <v>29</v>
      </c>
      <c r="AB26" s="32" t="s">
        <v>29</v>
      </c>
      <c r="AC26" s="32" t="s">
        <v>29</v>
      </c>
      <c r="AD26" s="32" t="s">
        <v>29</v>
      </c>
      <c r="AE26" s="35" t="s">
        <v>33</v>
      </c>
      <c r="AF26" s="35" t="s">
        <v>33</v>
      </c>
      <c r="AG26" s="35" t="s">
        <v>33</v>
      </c>
      <c r="AH26" s="32" t="s">
        <v>29</v>
      </c>
      <c r="AI26" s="32" t="s">
        <v>29</v>
      </c>
      <c r="AJ26" s="32" t="s">
        <v>29</v>
      </c>
      <c r="AK26" s="32" t="s">
        <v>29</v>
      </c>
      <c r="AL26" s="32" t="s">
        <v>29</v>
      </c>
      <c r="AM26" s="32" t="s">
        <v>29</v>
      </c>
      <c r="AN26" s="32" t="s">
        <v>29</v>
      </c>
      <c r="AO26" s="35" t="s">
        <v>33</v>
      </c>
      <c r="AP26" s="32" t="s">
        <v>29</v>
      </c>
      <c r="AQ26" s="32" t="s">
        <v>29</v>
      </c>
      <c r="AR26" s="32" t="s">
        <v>29</v>
      </c>
      <c r="AS26" s="32" t="s">
        <v>29</v>
      </c>
      <c r="AT26" s="32" t="s">
        <v>29</v>
      </c>
      <c r="AU26" s="32" t="s">
        <v>29</v>
      </c>
      <c r="AV26" s="32" t="s">
        <v>29</v>
      </c>
      <c r="AW26" s="32" t="s">
        <v>29</v>
      </c>
      <c r="AX26" s="32" t="s">
        <v>29</v>
      </c>
      <c r="AY26" s="32" t="s">
        <v>29</v>
      </c>
      <c r="AZ26" s="32" t="s">
        <v>29</v>
      </c>
      <c r="BA26" s="35" t="s">
        <v>33</v>
      </c>
      <c r="BB26" s="35" t="s">
        <v>33</v>
      </c>
      <c r="BC26" s="35" t="s">
        <v>33</v>
      </c>
      <c r="BD26" s="35" t="s">
        <v>33</v>
      </c>
      <c r="BE26" s="32" t="s">
        <v>29</v>
      </c>
      <c r="BF26" s="32" t="s">
        <v>29</v>
      </c>
      <c r="BG26" s="32" t="s">
        <v>29</v>
      </c>
      <c r="BH26" s="35" t="s">
        <v>33</v>
      </c>
      <c r="BI26" s="32" t="s">
        <v>29</v>
      </c>
      <c r="BJ26" s="35" t="s">
        <v>33</v>
      </c>
      <c r="BK26" s="32" t="s">
        <v>29</v>
      </c>
      <c r="BL26" s="32" t="s">
        <v>29</v>
      </c>
      <c r="BM26" s="32" t="s">
        <v>29</v>
      </c>
      <c r="BN26" s="32" t="s">
        <v>29</v>
      </c>
      <c r="BO26" s="32" t="s">
        <v>29</v>
      </c>
      <c r="BP26" s="35" t="s">
        <v>33</v>
      </c>
      <c r="BQ26" s="32" t="s">
        <v>29</v>
      </c>
    </row>
  </sheetData>
  <mergeCells count="1">
    <mergeCell ref="A1:BS1"/>
  </mergeCells>
  <conditionalFormatting sqref="B7:BQ26">
    <cfRule type="cellIs" dxfId="4" priority="1" operator="equal">
      <formula>"c"</formula>
    </cfRule>
    <cfRule type="cellIs" dxfId="3" priority="2" operator="equal">
      <formula>"a"</formula>
    </cfRule>
    <cfRule type="cellIs" dxfId="2" priority="3" operator="equal">
      <formula>"n"</formula>
    </cfRule>
    <cfRule type="cellIs" dxfId="1" priority="4" operator="equal">
      <formula>"p"</formula>
    </cfRule>
    <cfRule type="cellIs" dxfId="0" priority="5" operator="equal">
      <formula>"r"</formula>
    </cfRule>
  </conditionalFormatting>
  <dataValidations count="2">
    <dataValidation type="list" allowBlank="1" errorTitle="Código inválido" error="Use c, a, n ou p." promptTitle="Status" prompt="c=concluído  a=andamento  n=n/a  p=pendente" sqref="B7:BQ25" xr:uid="{00000000-0002-0000-0C00-000000000000}">
      <formula1>"c,a,n,p"</formula1>
    </dataValidation>
    <dataValidation type="list" allowBlank="1" errorTitle="Código inválido" error="Use n ou r." sqref="B26:BQ26" xr:uid="{00000000-0002-0000-0C00-000001000000}">
      <formula1>"n,r"</formula1>
    </dataValidation>
  </dataValidations>
  <printOptions horizontalCentered="1"/>
  <pageMargins left="0.4" right="0.4" top="0.5" bottom="0.5" header="0.2" footer="0.2"/>
  <pageSetup paperSize="8" fitToHeight="0" orientation="landscape"/>
</worksheet>
</file>

<file path=xl/worksheets/sheet14.xml><?xml version="1.0" encoding="utf-8"?>
<worksheet xmlns="http://schemas.openxmlformats.org/spreadsheetml/2006/main" xmlns:r="http://schemas.openxmlformats.org/officeDocument/2006/relationships">
  <dimension ref="A1:AF1902"/>
  <sheetViews>
    <sheetView workbookViewId="0"/>
  </sheetViews>
  <sheetFormatPr defaultRowHeight="15"/>
  <sheetData>
    <row r="1"/>
    <row r="2">
      <c r="A2" t="inlineStr">
        <is>
          <t>Id_Pendencia</t>
        </is>
      </c>
      <c r="B2" t="inlineStr">
        <is>
          <t>Pacote</t>
        </is>
      </c>
      <c r="C2" t="inlineStr">
        <is>
          <t>Segmento</t>
        </is>
      </c>
      <c r="D2" t="inlineStr">
        <is>
          <t>Ativo</t>
        </is>
      </c>
      <c r="E2" t="inlineStr">
        <is>
          <t>Lado</t>
        </is>
      </c>
      <c r="F2" t="inlineStr">
        <is>
          <t>Empresa</t>
        </is>
      </c>
      <c r="G2" t="inlineStr">
        <is>
          <t>Cod_Protocolo</t>
        </is>
      </c>
      <c r="H2" t="inlineStr">
        <is>
          <t>Origem</t>
        </is>
      </c>
      <c r="I2" t="inlineStr">
        <is>
          <t>Protocolo</t>
        </is>
      </c>
      <c r="J2" t="inlineStr">
        <is>
          <t>Tipo de Protocolo</t>
        </is>
      </c>
      <c r="K2" t="inlineStr">
        <is>
          <t>Item do Protocolo</t>
        </is>
      </c>
      <c r="L2" t="inlineStr">
        <is>
          <t>Elemento</t>
        </is>
      </c>
      <c r="M2" t="inlineStr">
        <is>
          <t>Tipo de Pendencia</t>
        </is>
      </c>
      <c r="N2" t="inlineStr">
        <is>
          <t>Descrição Pendencia</t>
        </is>
      </c>
      <c r="O2" t="inlineStr">
        <is>
          <t>Classificação da Pendencia</t>
        </is>
      </c>
      <c r="P2" t="inlineStr">
        <is>
          <t>KM Inicial</t>
        </is>
      </c>
      <c r="Q2" t="inlineStr">
        <is>
          <t>KM Final</t>
        </is>
      </c>
      <c r="R2" t="inlineStr">
        <is>
          <t>Status_Pendencia</t>
        </is>
      </c>
      <c r="S2" t="inlineStr">
        <is>
          <t>Responsável Contratada</t>
        </is>
      </c>
      <c r="T2" t="inlineStr">
        <is>
          <t>Responsável Vale</t>
        </is>
      </c>
      <c r="U2" t="inlineStr">
        <is>
          <t>Data_Abertura</t>
        </is>
      </c>
      <c r="V2" t="inlineStr">
        <is>
          <t>Data_Prazo</t>
        </is>
      </c>
      <c r="W2" t="inlineStr">
        <is>
          <t>Dias_Atraso</t>
        </is>
      </c>
      <c r="X2" t="inlineStr">
        <is>
          <t>Data_Prevista Encerramento</t>
        </is>
      </c>
      <c r="Y2" t="inlineStr">
        <is>
          <t>Data_Encerramento</t>
        </is>
      </c>
      <c r="Z2" t="inlineStr">
        <is>
          <t>Status_Encerramento</t>
        </is>
      </c>
      <c r="AA2" t="inlineStr">
        <is>
          <t>Status_da etapa</t>
        </is>
      </c>
      <c r="AB2" t="inlineStr">
        <is>
          <t>Executante</t>
        </is>
      </c>
      <c r="AC2" t="inlineStr">
        <is>
          <t>Responsável</t>
        </is>
      </c>
      <c r="AD2" t="inlineStr">
        <is>
          <t>Data_Início</t>
        </is>
      </c>
      <c r="AE2" t="inlineStr">
        <is>
          <t>Data_Término</t>
        </is>
      </c>
      <c r="AF2" t="inlineStr">
        <is>
          <t>Obs:</t>
        </is>
      </c>
    </row>
    <row r="3">
      <c r="A3">
        <v>1</v>
      </c>
      <c r="B3">
        <v>3</v>
      </c>
      <c r="C3" t="inlineStr">
        <is>
          <t>2.2</t>
        </is>
      </c>
      <c r="D3" t="inlineStr">
        <is>
          <t xml:space="preserve">OAE Corrego
Baldaia</t>
        </is>
      </c>
      <c r="F3" t="inlineStr">
        <is>
          <t>APIA</t>
        </is>
      </c>
      <c r="G3" t="inlineStr">
        <is>
          <t>CLP-001</t>
        </is>
      </c>
      <c r="H3" t="inlineStr">
        <is>
          <t>Protocolo</t>
        </is>
      </c>
      <c r="I3">
        <v>8</v>
      </c>
      <c r="J3" t="inlineStr">
        <is>
          <t>Obras de Arte Especiais</t>
        </is>
      </c>
      <c r="K3" t="inlineStr">
        <is>
          <t>8.4</t>
        </is>
      </c>
      <c r="L3" t="inlineStr">
        <is>
          <t>Estaca</t>
        </is>
      </c>
      <c r="M3" t="inlineStr">
        <is>
          <t>Documental</t>
        </is>
      </c>
      <c r="N3" t="inlineStr">
        <is>
          <t>As estacas 18, 19 e 22 estão não conformes. As perfurações atingiram outras estacas (constam RNCs abertas)</t>
        </is>
      </c>
      <c r="O3" t="inlineStr">
        <is>
          <t>Tipo B</t>
        </is>
      </c>
      <c r="P3" t="inlineStr">
        <is>
          <t>100+085</t>
        </is>
      </c>
      <c r="Q3" t="inlineStr">
        <is>
          <t>100+292</t>
        </is>
      </c>
      <c r="R3" t="inlineStr">
        <is>
          <t>Encerrado</t>
        </is>
      </c>
      <c r="S3" t="inlineStr">
        <is>
          <t xml:space="preserve">Izabôr Oliveira </t>
        </is>
      </c>
      <c r="T3" t="inlineStr">
        <is>
          <t>Fernanda Soave</t>
        </is>
      </c>
      <c r="U3" t="inlineStr">
        <is>
          <t>17/11/2025</t>
        </is>
      </c>
      <c r="V3" t="inlineStr">
        <is>
          <t>02/12/2025</t>
        </is>
      </c>
      <c r="W3">
        <v>190</v>
      </c>
      <c r="Y3" t="inlineStr">
        <is>
          <t>27/03/2026</t>
        </is>
      </c>
      <c r="Z3" t="inlineStr">
        <is>
          <t>Concluído</t>
        </is>
      </c>
      <c r="AA3" t="inlineStr">
        <is>
          <t>Fechada +120 dias</t>
        </is>
      </c>
    </row>
    <row r="4">
      <c r="A4">
        <v>2</v>
      </c>
      <c r="B4">
        <v>3</v>
      </c>
      <c r="C4" t="inlineStr">
        <is>
          <t>2.2</t>
        </is>
      </c>
      <c r="D4" t="inlineStr">
        <is>
          <t xml:space="preserve">OAE Corrego
Baldaia</t>
        </is>
      </c>
      <c r="F4" t="inlineStr">
        <is>
          <t>APIA</t>
        </is>
      </c>
      <c r="G4" t="inlineStr">
        <is>
          <t>CLP-001</t>
        </is>
      </c>
      <c r="H4" t="inlineStr">
        <is>
          <t>Protocolo</t>
        </is>
      </c>
      <c r="I4">
        <v>8</v>
      </c>
      <c r="J4" t="inlineStr">
        <is>
          <t>Obras de Arte Especiais</t>
        </is>
      </c>
      <c r="K4" t="inlineStr">
        <is>
          <t>8.8</t>
        </is>
      </c>
      <c r="L4" t="inlineStr">
        <is>
          <t>Bloco</t>
        </is>
      </c>
      <c r="M4" t="inlineStr">
        <is>
          <t>Patologias no Concreto</t>
        </is>
      </c>
      <c r="N4" t="inlineStr">
        <is>
          <t>Durante a inspeção In Loco foram verificadas algumas patologias de concreto quebrado, armaduras não estruturais expostas, melhorias nos acabamentos dos concreto aparente provenientes de emendas de formas (Rebardas de concreto)</t>
        </is>
      </c>
      <c r="O4" t="inlineStr">
        <is>
          <t>Tipo A</t>
        </is>
      </c>
      <c r="P4" t="inlineStr">
        <is>
          <t>100+085</t>
        </is>
      </c>
      <c r="Q4" t="inlineStr">
        <is>
          <t>100+292</t>
        </is>
      </c>
      <c r="R4" t="inlineStr">
        <is>
          <t>Aberta</t>
        </is>
      </c>
      <c r="S4" t="inlineStr">
        <is>
          <t>Almiro Marques</t>
        </is>
      </c>
      <c r="T4" t="inlineStr">
        <is>
          <t>Fernanda Soave</t>
        </is>
      </c>
      <c r="U4" t="inlineStr">
        <is>
          <t>17/11/2025</t>
        </is>
      </c>
      <c r="V4" t="inlineStr">
        <is>
          <t>24/11/2025</t>
        </is>
      </c>
      <c r="W4">
        <v>198</v>
      </c>
      <c r="X4" t="inlineStr">
        <is>
          <t>30/06/2026</t>
        </is>
      </c>
      <c r="AA4" t="inlineStr">
        <is>
          <t>Aberta +120 dias</t>
        </is>
      </c>
    </row>
    <row r="5">
      <c r="A5">
        <v>3</v>
      </c>
      <c r="B5">
        <v>3</v>
      </c>
      <c r="C5" t="inlineStr">
        <is>
          <t>2.2</t>
        </is>
      </c>
      <c r="D5" t="inlineStr">
        <is>
          <t xml:space="preserve">OAE Corrego
Baldaia</t>
        </is>
      </c>
      <c r="F5" t="inlineStr">
        <is>
          <t>APIA</t>
        </is>
      </c>
      <c r="G5" t="inlineStr">
        <is>
          <t>CLP-001</t>
        </is>
      </c>
      <c r="H5" t="inlineStr">
        <is>
          <t>Protocolo</t>
        </is>
      </c>
      <c r="I5">
        <v>8</v>
      </c>
      <c r="J5" t="inlineStr">
        <is>
          <t>Obras de Arte Especiais</t>
        </is>
      </c>
      <c r="K5" t="inlineStr">
        <is>
          <t>8.9</t>
        </is>
      </c>
      <c r="L5" t="inlineStr">
        <is>
          <t>Bloco</t>
        </is>
      </c>
      <c r="M5" t="inlineStr">
        <is>
          <t>Acabamento do concreto</t>
        </is>
      </c>
      <c r="N5" t="inlineStr">
        <is>
          <t>Durante a inspeção In loco foi constatado falhas nos reparos, necessitam de melhorias nos acabamnetos.</t>
        </is>
      </c>
      <c r="O5" t="inlineStr">
        <is>
          <t>Tipo A</t>
        </is>
      </c>
      <c r="P5" t="inlineStr">
        <is>
          <t>100+085</t>
        </is>
      </c>
      <c r="Q5" t="inlineStr">
        <is>
          <t>100+292</t>
        </is>
      </c>
      <c r="R5" t="inlineStr">
        <is>
          <t>Aberta</t>
        </is>
      </c>
      <c r="S5" t="inlineStr">
        <is>
          <t>Almiro Marques</t>
        </is>
      </c>
      <c r="T5" t="inlineStr">
        <is>
          <t>Fernanda Soave</t>
        </is>
      </c>
      <c r="U5" t="inlineStr">
        <is>
          <t>17/11/2025</t>
        </is>
      </c>
      <c r="V5" t="inlineStr">
        <is>
          <t>24/11/2025</t>
        </is>
      </c>
      <c r="W5">
        <v>198</v>
      </c>
      <c r="X5" t="inlineStr">
        <is>
          <t>30/06/2026</t>
        </is>
      </c>
      <c r="AA5" t="inlineStr">
        <is>
          <t>Aberta +120 dias</t>
        </is>
      </c>
    </row>
    <row r="6">
      <c r="A6">
        <v>4</v>
      </c>
      <c r="B6">
        <v>3</v>
      </c>
      <c r="C6" t="inlineStr">
        <is>
          <t>2.2</t>
        </is>
      </c>
      <c r="D6" t="inlineStr">
        <is>
          <t xml:space="preserve">OAE Corrego
Baldaia</t>
        </is>
      </c>
      <c r="F6" t="inlineStr">
        <is>
          <t>APIA</t>
        </is>
      </c>
      <c r="G6" t="inlineStr">
        <is>
          <t>CLP-001</t>
        </is>
      </c>
      <c r="H6" t="inlineStr">
        <is>
          <t>Protocolo</t>
        </is>
      </c>
      <c r="I6">
        <v>8</v>
      </c>
      <c r="J6" t="inlineStr">
        <is>
          <t>Obras de Arte Especiais</t>
        </is>
      </c>
      <c r="K6" t="inlineStr">
        <is>
          <t>8.12</t>
        </is>
      </c>
      <c r="L6" t="inlineStr">
        <is>
          <t>Estaca</t>
        </is>
      </c>
      <c r="M6" t="inlineStr">
        <is>
          <t>Documental</t>
        </is>
      </c>
      <c r="N6" t="inlineStr">
        <is>
          <t>Constam RNCs abertas :RNC 2478 - Perfuração da estaca 18, atingiu o corpo de outra estaca; RNC 2472 - Perfuração da estaca 22, atingiu o corpo de outra estaca; RNC 2477 - Perfuração da estaca 19, atingiu o corpo de outra estaca; RNC 1628 - Falta de espaçadores em estaca raíz (EP3-8 E EP3-11).</t>
        </is>
      </c>
      <c r="O6" t="inlineStr">
        <is>
          <t>Tipo B</t>
        </is>
      </c>
      <c r="P6" t="inlineStr">
        <is>
          <t>100+085</t>
        </is>
      </c>
      <c r="Q6" t="inlineStr">
        <is>
          <t>100+292</t>
        </is>
      </c>
      <c r="R6" t="inlineStr">
        <is>
          <t>Encerrado</t>
        </is>
      </c>
      <c r="S6" t="inlineStr">
        <is>
          <t xml:space="preserve">Izabôr Oliveira </t>
        </is>
      </c>
      <c r="T6" t="inlineStr">
        <is>
          <t>Fernanda Soave</t>
        </is>
      </c>
      <c r="U6" t="inlineStr">
        <is>
          <t>17/11/2025</t>
        </is>
      </c>
      <c r="V6" t="inlineStr">
        <is>
          <t>02/12/2025</t>
        </is>
      </c>
      <c r="W6">
        <v>190</v>
      </c>
      <c r="Y6" t="inlineStr">
        <is>
          <t>27/03/2026</t>
        </is>
      </c>
      <c r="Z6" t="inlineStr">
        <is>
          <t>Concluído</t>
        </is>
      </c>
      <c r="AA6" t="inlineStr">
        <is>
          <t>Fechada +120 dias</t>
        </is>
      </c>
    </row>
    <row r="7">
      <c r="A7">
        <v>5</v>
      </c>
      <c r="B7">
        <v>3</v>
      </c>
      <c r="C7" t="inlineStr">
        <is>
          <t>2.2</t>
        </is>
      </c>
      <c r="D7" t="inlineStr">
        <is>
          <t xml:space="preserve">OAE Corrego
Baldaia</t>
        </is>
      </c>
      <c r="F7" t="inlineStr">
        <is>
          <t>APIA</t>
        </is>
      </c>
      <c r="G7" t="inlineStr">
        <is>
          <t>CLP-001</t>
        </is>
      </c>
      <c r="H7" t="inlineStr">
        <is>
          <t>Protocolo</t>
        </is>
      </c>
      <c r="I7">
        <v>8</v>
      </c>
      <c r="J7" t="inlineStr">
        <is>
          <t>Obras de Arte Especiais</t>
        </is>
      </c>
      <c r="K7" t="inlineStr">
        <is>
          <t>8.15</t>
        </is>
      </c>
      <c r="L7" t="inlineStr">
        <is>
          <t>Pilar</t>
        </is>
      </c>
      <c r="M7" t="inlineStr">
        <is>
          <t>Acabamento do concreto</t>
        </is>
      </c>
      <c r="N7" t="inlineStr">
        <is>
          <t>Durante a inspeção In Loco foi constatado à necessidade de melhorias nos acabamentos do concreto aparente das paredes dos pilares provenientes das emendas das formas, deixando resíduos de concreto sobressalentes (Rebarbas de concreto).</t>
        </is>
      </c>
      <c r="O7" t="inlineStr">
        <is>
          <t>Tipo A</t>
        </is>
      </c>
      <c r="P7" t="inlineStr">
        <is>
          <t>100+085</t>
        </is>
      </c>
      <c r="Q7" t="inlineStr">
        <is>
          <t>100+292</t>
        </is>
      </c>
      <c r="R7" t="inlineStr">
        <is>
          <t>Aberta</t>
        </is>
      </c>
      <c r="S7" t="inlineStr">
        <is>
          <t>Almiro Marques</t>
        </is>
      </c>
      <c r="T7" t="inlineStr">
        <is>
          <t>Fernanda Soave</t>
        </is>
      </c>
      <c r="U7" t="inlineStr">
        <is>
          <t>17/11/2025</t>
        </is>
      </c>
      <c r="V7" t="inlineStr">
        <is>
          <t>24/11/2025</t>
        </is>
      </c>
      <c r="W7">
        <v>198</v>
      </c>
      <c r="X7" t="inlineStr">
        <is>
          <t>30/06/2026</t>
        </is>
      </c>
      <c r="AA7" t="inlineStr">
        <is>
          <t>Aberta +120 dias</t>
        </is>
      </c>
    </row>
    <row r="8">
      <c r="A8">
        <v>6</v>
      </c>
      <c r="B8">
        <v>3</v>
      </c>
      <c r="C8" t="inlineStr">
        <is>
          <t>2.2</t>
        </is>
      </c>
      <c r="D8" t="inlineStr">
        <is>
          <t xml:space="preserve">OAE Corrego
Baldaia</t>
        </is>
      </c>
      <c r="F8" t="inlineStr">
        <is>
          <t>APIA</t>
        </is>
      </c>
      <c r="G8" t="inlineStr">
        <is>
          <t>CLP-001</t>
        </is>
      </c>
      <c r="H8" t="inlineStr">
        <is>
          <t>Protocolo</t>
        </is>
      </c>
      <c r="I8">
        <v>8</v>
      </c>
      <c r="J8" t="inlineStr">
        <is>
          <t>Obras de Arte Especiais</t>
        </is>
      </c>
      <c r="K8" t="inlineStr">
        <is>
          <t>8.17</t>
        </is>
      </c>
      <c r="L8" t="inlineStr">
        <is>
          <t>Pilar</t>
        </is>
      </c>
      <c r="M8" t="inlineStr">
        <is>
          <t>Acabamento do concreto</t>
        </is>
      </c>
      <c r="N8" t="inlineStr">
        <is>
          <t>Durante a inspeção In Loco foi constatado à necessidade de melhorias de reparos do concreto aparente dos pilares (reparos de fechamento dos furos das agulhas e concreto sobressalente provenientes das emendas das formas).</t>
        </is>
      </c>
      <c r="O8" t="inlineStr">
        <is>
          <t>Tipo A</t>
        </is>
      </c>
      <c r="P8" t="inlineStr">
        <is>
          <t>100+085</t>
        </is>
      </c>
      <c r="Q8" t="inlineStr">
        <is>
          <t>100+292</t>
        </is>
      </c>
      <c r="R8" t="inlineStr">
        <is>
          <t>Aberta</t>
        </is>
      </c>
      <c r="S8" t="inlineStr">
        <is>
          <t>Almiro Marques</t>
        </is>
      </c>
      <c r="T8" t="inlineStr">
        <is>
          <t>Fernanda Soave</t>
        </is>
      </c>
      <c r="U8" t="inlineStr">
        <is>
          <t>17/11/2025</t>
        </is>
      </c>
      <c r="V8" t="inlineStr">
        <is>
          <t>24/11/2025</t>
        </is>
      </c>
      <c r="W8">
        <v>198</v>
      </c>
      <c r="X8" t="inlineStr">
        <is>
          <t>30/06/2026</t>
        </is>
      </c>
      <c r="AA8" t="inlineStr">
        <is>
          <t>Aberta +120 dias</t>
        </is>
      </c>
    </row>
    <row r="9">
      <c r="A9">
        <v>7</v>
      </c>
      <c r="B9">
        <v>3</v>
      </c>
      <c r="C9" t="inlineStr">
        <is>
          <t>2.2</t>
        </is>
      </c>
      <c r="D9" t="inlineStr">
        <is>
          <t xml:space="preserve">OAE Corrego
Baldaia</t>
        </is>
      </c>
      <c r="F9" t="inlineStr">
        <is>
          <t>APIA</t>
        </is>
      </c>
      <c r="G9" t="inlineStr">
        <is>
          <t>CLP-001</t>
        </is>
      </c>
      <c r="H9" t="inlineStr">
        <is>
          <t>Protocolo</t>
        </is>
      </c>
      <c r="I9">
        <v>8</v>
      </c>
      <c r="J9" t="inlineStr">
        <is>
          <t>Obras de Arte Especiais</t>
        </is>
      </c>
      <c r="K9" t="inlineStr">
        <is>
          <t>8.23</t>
        </is>
      </c>
      <c r="L9" t="inlineStr">
        <is>
          <t>Vigas Metálicas</t>
        </is>
      </c>
      <c r="M9" t="inlineStr">
        <is>
          <t>Documental</t>
        </is>
      </c>
      <c r="N9" t="inlineStr">
        <is>
          <t>A documentação referente a montagem foi entregue (Databook), porém em avaliação do OIA. As peças pré-moldadas , neste caso as vigas metálicas, não foram fabricadas pela construtora Ápia, somente a montagem In Loco. Consta RNC 1975 - Junta Jeene: O laudo conta resultado de Dureza ShoreA de 72 e os parâmetros so de 60 à 70</t>
        </is>
      </c>
      <c r="O9" t="inlineStr">
        <is>
          <t>Tipo B</t>
        </is>
      </c>
      <c r="P9" t="inlineStr">
        <is>
          <t>100+085</t>
        </is>
      </c>
      <c r="Q9" t="inlineStr">
        <is>
          <t>100+292</t>
        </is>
      </c>
      <c r="R9" t="inlineStr">
        <is>
          <t>Aberta</t>
        </is>
      </c>
      <c r="S9" t="inlineStr">
        <is>
          <t xml:space="preserve">Izabôr Oliveira </t>
        </is>
      </c>
      <c r="T9" t="inlineStr">
        <is>
          <t>Fernanda Soave</t>
        </is>
      </c>
      <c r="U9" t="inlineStr">
        <is>
          <t>17/11/2025</t>
        </is>
      </c>
      <c r="V9" t="inlineStr">
        <is>
          <t>02/12/2025</t>
        </is>
      </c>
      <c r="W9">
        <v>190</v>
      </c>
      <c r="X9" t="inlineStr">
        <is>
          <t>30/05/2026</t>
        </is>
      </c>
      <c r="AA9" t="inlineStr">
        <is>
          <t>Aberta +120 dias</t>
        </is>
      </c>
    </row>
    <row r="10">
      <c r="A10">
        <v>8</v>
      </c>
      <c r="B10">
        <v>3</v>
      </c>
      <c r="C10" t="inlineStr">
        <is>
          <t>2.2</t>
        </is>
      </c>
      <c r="D10" t="inlineStr">
        <is>
          <t xml:space="preserve">OAE Corrego
Baldaia</t>
        </is>
      </c>
      <c r="F10" t="inlineStr">
        <is>
          <t>APIA</t>
        </is>
      </c>
      <c r="G10" t="inlineStr">
        <is>
          <t>CLP-001</t>
        </is>
      </c>
      <c r="H10" t="inlineStr">
        <is>
          <t>Protocolo</t>
        </is>
      </c>
      <c r="I10">
        <v>8</v>
      </c>
      <c r="J10" t="inlineStr">
        <is>
          <t>Obras de Arte Especiais</t>
        </is>
      </c>
      <c r="K10" t="inlineStr">
        <is>
          <t>8.25</t>
        </is>
      </c>
      <c r="L10" t="inlineStr">
        <is>
          <t>Lajes</t>
        </is>
      </c>
      <c r="M10" t="inlineStr">
        <is>
          <t>Impossibilidade de inspeção</t>
        </is>
      </c>
      <c r="N10" t="inlineStr">
        <is>
          <t>Impossibilidade de inspeção devido a colocação de uma camada de material de proteção para atendimento de acesso as estruturas.</t>
        </is>
      </c>
      <c r="O10" t="inlineStr">
        <is>
          <t>Tipo A</t>
        </is>
      </c>
      <c r="P10" t="inlineStr">
        <is>
          <t>100+085</t>
        </is>
      </c>
      <c r="Q10" t="inlineStr">
        <is>
          <t>100+292</t>
        </is>
      </c>
      <c r="R10" t="inlineStr">
        <is>
          <t>Aberta</t>
        </is>
      </c>
      <c r="S10" t="inlineStr">
        <is>
          <t>Almiro Marques</t>
        </is>
      </c>
      <c r="T10" t="inlineStr">
        <is>
          <t>Fernanda Soave</t>
        </is>
      </c>
      <c r="U10" t="inlineStr">
        <is>
          <t>17/11/2025</t>
        </is>
      </c>
      <c r="V10" t="inlineStr">
        <is>
          <t>24/11/2025</t>
        </is>
      </c>
      <c r="W10">
        <v>198</v>
      </c>
      <c r="X10" t="inlineStr">
        <is>
          <t>30/06/2026</t>
        </is>
      </c>
      <c r="AA10" t="inlineStr">
        <is>
          <t>Aberta +120 dias</t>
        </is>
      </c>
    </row>
    <row r="11">
      <c r="A11">
        <v>9</v>
      </c>
      <c r="B11">
        <v>3</v>
      </c>
      <c r="C11" t="inlineStr">
        <is>
          <t>2.2</t>
        </is>
      </c>
      <c r="D11" t="inlineStr">
        <is>
          <t xml:space="preserve">OAE Corrego
Baldaia</t>
        </is>
      </c>
      <c r="F11" t="inlineStr">
        <is>
          <t>APIA</t>
        </is>
      </c>
      <c r="G11" t="inlineStr">
        <is>
          <t>CLP-001</t>
        </is>
      </c>
      <c r="H11" t="inlineStr">
        <is>
          <t>Protocolo</t>
        </is>
      </c>
      <c r="I11">
        <v>8</v>
      </c>
      <c r="J11" t="inlineStr">
        <is>
          <t>Obras de Arte Especiais</t>
        </is>
      </c>
      <c r="K11" t="inlineStr">
        <is>
          <t>8.26</t>
        </is>
      </c>
      <c r="L11" t="inlineStr">
        <is>
          <t>Lajes</t>
        </is>
      </c>
      <c r="M11" t="inlineStr">
        <is>
          <t>Impossibilidade de inspeção</t>
        </is>
      </c>
      <c r="N11" t="inlineStr">
        <is>
          <t>Impossibilidade de inspeção devido a colocação de uma camada de material de proteção para atendimento de acesso as estruturas.</t>
        </is>
      </c>
      <c r="O11" t="inlineStr">
        <is>
          <t>Tipo A</t>
        </is>
      </c>
      <c r="P11" t="inlineStr">
        <is>
          <t>100+085</t>
        </is>
      </c>
      <c r="Q11" t="inlineStr">
        <is>
          <t>100+292</t>
        </is>
      </c>
      <c r="R11" t="inlineStr">
        <is>
          <t>Aberta</t>
        </is>
      </c>
      <c r="S11" t="inlineStr">
        <is>
          <t>Almiro Marques</t>
        </is>
      </c>
      <c r="T11" t="inlineStr">
        <is>
          <t>Fernanda Soave</t>
        </is>
      </c>
      <c r="U11" t="inlineStr">
        <is>
          <t>17/11/2025</t>
        </is>
      </c>
      <c r="V11" t="inlineStr">
        <is>
          <t>24/11/2025</t>
        </is>
      </c>
      <c r="W11">
        <v>198</v>
      </c>
      <c r="X11" t="inlineStr">
        <is>
          <t>30/06/2026</t>
        </is>
      </c>
      <c r="AA11" t="inlineStr">
        <is>
          <t>Aberta +120 dias</t>
        </is>
      </c>
    </row>
    <row r="12">
      <c r="A12">
        <v>10</v>
      </c>
      <c r="B12">
        <v>3</v>
      </c>
      <c r="C12" t="inlineStr">
        <is>
          <t>2.2</t>
        </is>
      </c>
      <c r="D12" t="inlineStr">
        <is>
          <t xml:space="preserve">OAE Corrego
Baldaia</t>
        </is>
      </c>
      <c r="F12" t="inlineStr">
        <is>
          <t>APIA</t>
        </is>
      </c>
      <c r="G12" t="inlineStr">
        <is>
          <t>CLP-001</t>
        </is>
      </c>
      <c r="H12" t="inlineStr">
        <is>
          <t>Protocolo</t>
        </is>
      </c>
      <c r="I12">
        <v>8</v>
      </c>
      <c r="J12" t="inlineStr">
        <is>
          <t>Obras de Arte Especiais</t>
        </is>
      </c>
      <c r="K12" t="inlineStr">
        <is>
          <t>8.27</t>
        </is>
      </c>
      <c r="L12" t="inlineStr">
        <is>
          <t>Lajes</t>
        </is>
      </c>
      <c r="M12" t="inlineStr">
        <is>
          <t>Impossibilidade de inspeção</t>
        </is>
      </c>
      <c r="N12" t="inlineStr">
        <is>
          <t>Impossibilidade de inspeção devido a colocação de uma camada de material de proteção para atendimento de acesso as estruturas.</t>
        </is>
      </c>
      <c r="O12" t="inlineStr">
        <is>
          <t>Tipo A</t>
        </is>
      </c>
      <c r="P12" t="inlineStr">
        <is>
          <t>100+085</t>
        </is>
      </c>
      <c r="Q12" t="inlineStr">
        <is>
          <t>100+292</t>
        </is>
      </c>
      <c r="R12" t="inlineStr">
        <is>
          <t>Aberta</t>
        </is>
      </c>
      <c r="S12" t="inlineStr">
        <is>
          <t>Almiro Marques</t>
        </is>
      </c>
      <c r="T12" t="inlineStr">
        <is>
          <t>Fernanda Soave</t>
        </is>
      </c>
      <c r="U12" t="inlineStr">
        <is>
          <t>17/11/2025</t>
        </is>
      </c>
      <c r="V12" t="inlineStr">
        <is>
          <t>24/11/2025</t>
        </is>
      </c>
      <c r="W12">
        <v>198</v>
      </c>
      <c r="X12" t="inlineStr">
        <is>
          <t>30/06/2026</t>
        </is>
      </c>
      <c r="AA12" t="inlineStr">
        <is>
          <t>Aberta +120 dias</t>
        </is>
      </c>
    </row>
    <row r="13">
      <c r="A13">
        <v>11</v>
      </c>
      <c r="B13">
        <v>3</v>
      </c>
      <c r="C13" t="inlineStr">
        <is>
          <t>2.2</t>
        </is>
      </c>
      <c r="D13" t="inlineStr">
        <is>
          <t xml:space="preserve">OAE Corrego
Baldaia</t>
        </is>
      </c>
      <c r="F13" t="inlineStr">
        <is>
          <t>APIA</t>
        </is>
      </c>
      <c r="G13" t="inlineStr">
        <is>
          <t>CLP-001</t>
        </is>
      </c>
      <c r="H13" t="inlineStr">
        <is>
          <t>Protocolo</t>
        </is>
      </c>
      <c r="I13">
        <v>8</v>
      </c>
      <c r="J13" t="inlineStr">
        <is>
          <t>Obras de Arte Especiais</t>
        </is>
      </c>
      <c r="K13" t="inlineStr">
        <is>
          <t>8.28</t>
        </is>
      </c>
      <c r="L13" t="inlineStr">
        <is>
          <t>Lajes</t>
        </is>
      </c>
      <c r="M13" t="inlineStr">
        <is>
          <t>Impossibilidade de inspeção</t>
        </is>
      </c>
      <c r="N13" t="inlineStr">
        <is>
          <t>Impossibilidade de inspeção devido a colocação de uma camada de material de proteção para atendimento de acesso as estruturas.</t>
        </is>
      </c>
      <c r="O13" t="inlineStr">
        <is>
          <t>Tipo A</t>
        </is>
      </c>
      <c r="P13" t="inlineStr">
        <is>
          <t>100+085</t>
        </is>
      </c>
      <c r="Q13" t="inlineStr">
        <is>
          <t>100+292</t>
        </is>
      </c>
      <c r="R13" t="inlineStr">
        <is>
          <t>Aberta</t>
        </is>
      </c>
      <c r="S13" t="inlineStr">
        <is>
          <t>Almiro Marques</t>
        </is>
      </c>
      <c r="T13" t="inlineStr">
        <is>
          <t>Fernanda Soave</t>
        </is>
      </c>
      <c r="U13" t="inlineStr">
        <is>
          <t>17/11/2025</t>
        </is>
      </c>
      <c r="V13" t="inlineStr">
        <is>
          <t>24/11/2025</t>
        </is>
      </c>
      <c r="W13">
        <v>198</v>
      </c>
      <c r="X13" t="inlineStr">
        <is>
          <t>30/06/2026</t>
        </is>
      </c>
      <c r="AA13" t="inlineStr">
        <is>
          <t>Aberta +120 dias</t>
        </is>
      </c>
    </row>
    <row r="14">
      <c r="A14">
        <v>12</v>
      </c>
      <c r="B14">
        <v>3</v>
      </c>
      <c r="C14" t="inlineStr">
        <is>
          <t>2.2</t>
        </is>
      </c>
      <c r="D14" t="inlineStr">
        <is>
          <t xml:space="preserve">OAE Corrego
Baldaia</t>
        </is>
      </c>
      <c r="F14" t="inlineStr">
        <is>
          <t>APIA</t>
        </is>
      </c>
      <c r="G14" t="inlineStr">
        <is>
          <t>CLP-001</t>
        </is>
      </c>
      <c r="H14" t="inlineStr">
        <is>
          <t>Protocolo</t>
        </is>
      </c>
      <c r="I14">
        <v>8</v>
      </c>
      <c r="J14" t="inlineStr">
        <is>
          <t>Obras de Arte Especiais</t>
        </is>
      </c>
      <c r="K14" t="inlineStr">
        <is>
          <t>8.29</t>
        </is>
      </c>
      <c r="L14" t="inlineStr">
        <is>
          <t>Lajes</t>
        </is>
      </c>
      <c r="M14" t="inlineStr">
        <is>
          <t>Impossibilidade de inspeção</t>
        </is>
      </c>
      <c r="N14" t="inlineStr">
        <is>
          <t>Impossibilidade de inspeção devido a colocação de uma camada de material de proteção para atendimento de acesso as estruturas.</t>
        </is>
      </c>
      <c r="O14" t="inlineStr">
        <is>
          <t>Tipo A</t>
        </is>
      </c>
      <c r="P14" t="inlineStr">
        <is>
          <t>100+085</t>
        </is>
      </c>
      <c r="Q14" t="inlineStr">
        <is>
          <t>100+292</t>
        </is>
      </c>
      <c r="R14" t="inlineStr">
        <is>
          <t>Aberta</t>
        </is>
      </c>
      <c r="S14" t="inlineStr">
        <is>
          <t>Almiro Marques</t>
        </is>
      </c>
      <c r="T14" t="inlineStr">
        <is>
          <t>Fernanda Soave</t>
        </is>
      </c>
      <c r="U14" t="inlineStr">
        <is>
          <t>17/11/2025</t>
        </is>
      </c>
      <c r="V14" t="inlineStr">
        <is>
          <t>24/11/2025</t>
        </is>
      </c>
      <c r="W14">
        <v>198</v>
      </c>
      <c r="X14" t="inlineStr">
        <is>
          <t>30/06/2026</t>
        </is>
      </c>
      <c r="AA14" t="inlineStr">
        <is>
          <t>Aberta +120 dias</t>
        </is>
      </c>
    </row>
    <row r="15">
      <c r="A15">
        <v>13</v>
      </c>
      <c r="B15">
        <v>3</v>
      </c>
      <c r="C15" t="inlineStr">
        <is>
          <t>2.2</t>
        </is>
      </c>
      <c r="D15" t="inlineStr">
        <is>
          <t xml:space="preserve">OAE Corrego
Baldaia</t>
        </is>
      </c>
      <c r="F15" t="inlineStr">
        <is>
          <t>APIA</t>
        </is>
      </c>
      <c r="G15" t="inlineStr">
        <is>
          <t>CLP-001</t>
        </is>
      </c>
      <c r="H15" t="inlineStr">
        <is>
          <t>Protocolo</t>
        </is>
      </c>
      <c r="I15">
        <v>8</v>
      </c>
      <c r="J15" t="inlineStr">
        <is>
          <t>Obras de Arte Especiais</t>
        </is>
      </c>
      <c r="K15" t="inlineStr">
        <is>
          <t>8.30</t>
        </is>
      </c>
      <c r="L15" t="inlineStr">
        <is>
          <t>Lajes</t>
        </is>
      </c>
      <c r="M15" t="inlineStr">
        <is>
          <t>Impossibilidade de inspeção</t>
        </is>
      </c>
      <c r="N15" t="inlineStr">
        <is>
          <t>Impossibilidade de inspeção devido a colocação de uma camada de material de proteção para atendimento de acesso as estruturas.</t>
        </is>
      </c>
      <c r="O15" t="inlineStr">
        <is>
          <t>Tipo A</t>
        </is>
      </c>
      <c r="P15" t="inlineStr">
        <is>
          <t>100+085</t>
        </is>
      </c>
      <c r="Q15" t="inlineStr">
        <is>
          <t>100+292</t>
        </is>
      </c>
      <c r="R15" t="inlineStr">
        <is>
          <t>Aberta</t>
        </is>
      </c>
      <c r="S15" t="inlineStr">
        <is>
          <t>Almiro Marques</t>
        </is>
      </c>
      <c r="T15" t="inlineStr">
        <is>
          <t>Fernanda Soave</t>
        </is>
      </c>
      <c r="U15" t="inlineStr">
        <is>
          <t>17/11/2025</t>
        </is>
      </c>
      <c r="V15" t="inlineStr">
        <is>
          <t>24/11/2025</t>
        </is>
      </c>
      <c r="W15">
        <v>198</v>
      </c>
      <c r="X15" t="inlineStr">
        <is>
          <t>30/06/2026</t>
        </is>
      </c>
      <c r="AA15" t="inlineStr">
        <is>
          <t>Aberta +120 dias</t>
        </is>
      </c>
    </row>
    <row r="16">
      <c r="A16">
        <v>14</v>
      </c>
      <c r="B16">
        <v>3</v>
      </c>
      <c r="C16" t="inlineStr">
        <is>
          <t>2.2</t>
        </is>
      </c>
      <c r="D16" t="inlineStr">
        <is>
          <t xml:space="preserve">OAE Corrego
Baldaia</t>
        </is>
      </c>
      <c r="F16" t="inlineStr">
        <is>
          <t>APIA</t>
        </is>
      </c>
      <c r="G16" t="inlineStr">
        <is>
          <t>CLP-001</t>
        </is>
      </c>
      <c r="H16" t="inlineStr">
        <is>
          <t>Protocolo</t>
        </is>
      </c>
      <c r="I16">
        <v>8</v>
      </c>
      <c r="J16" t="inlineStr">
        <is>
          <t>Obras de Arte Especiais</t>
        </is>
      </c>
      <c r="K16" t="inlineStr">
        <is>
          <t>8.31</t>
        </is>
      </c>
      <c r="L16" t="inlineStr">
        <is>
          <t>Lajes</t>
        </is>
      </c>
      <c r="M16" t="inlineStr">
        <is>
          <t>Impossibilidade de inspeção</t>
        </is>
      </c>
      <c r="N16" t="inlineStr">
        <is>
          <t>Impossibilidade de inspeção devido a colocação de uma camada de material de proteção para atendimento de acesso as estruturas.</t>
        </is>
      </c>
      <c r="O16" t="inlineStr">
        <is>
          <t>Tipo A</t>
        </is>
      </c>
      <c r="P16" t="inlineStr">
        <is>
          <t>100+085</t>
        </is>
      </c>
      <c r="Q16" t="inlineStr">
        <is>
          <t>100+292</t>
        </is>
      </c>
      <c r="R16" t="inlineStr">
        <is>
          <t>Aberta</t>
        </is>
      </c>
      <c r="S16" t="inlineStr">
        <is>
          <t>Almiro Marques</t>
        </is>
      </c>
      <c r="T16" t="inlineStr">
        <is>
          <t>Fernanda Soave</t>
        </is>
      </c>
      <c r="U16" t="inlineStr">
        <is>
          <t>17/11/2025</t>
        </is>
      </c>
      <c r="V16" t="inlineStr">
        <is>
          <t>24/11/2025</t>
        </is>
      </c>
      <c r="W16">
        <v>198</v>
      </c>
      <c r="X16" t="inlineStr">
        <is>
          <t>30/06/2026</t>
        </is>
      </c>
      <c r="AA16" t="inlineStr">
        <is>
          <t>Aberta +120 dias</t>
        </is>
      </c>
    </row>
    <row r="17">
      <c r="A17">
        <v>15</v>
      </c>
      <c r="B17">
        <v>3</v>
      </c>
      <c r="C17" t="inlineStr">
        <is>
          <t>2.2</t>
        </is>
      </c>
      <c r="D17" t="inlineStr">
        <is>
          <t xml:space="preserve">OAE Corrego
Baldaia</t>
        </is>
      </c>
      <c r="F17" t="inlineStr">
        <is>
          <t>APIA</t>
        </is>
      </c>
      <c r="G17" t="inlineStr">
        <is>
          <t>CLP-001</t>
        </is>
      </c>
      <c r="H17" t="inlineStr">
        <is>
          <t>Protocolo</t>
        </is>
      </c>
      <c r="I17">
        <v>8</v>
      </c>
      <c r="J17" t="inlineStr">
        <is>
          <t>Obras de Arte Especiais</t>
        </is>
      </c>
      <c r="K17" t="inlineStr">
        <is>
          <t>8.32</t>
        </is>
      </c>
      <c r="L17" t="inlineStr">
        <is>
          <t>Buzinote</t>
        </is>
      </c>
      <c r="M17" t="inlineStr">
        <is>
          <t>Dispositivo não executado</t>
        </is>
      </c>
      <c r="N17" t="inlineStr">
        <is>
          <t>Não foram instalados os buzinotes.</t>
        </is>
      </c>
      <c r="O17" t="inlineStr">
        <is>
          <t>Tipo A</t>
        </is>
      </c>
      <c r="P17" t="inlineStr">
        <is>
          <t>100+085</t>
        </is>
      </c>
      <c r="Q17" t="inlineStr">
        <is>
          <t>100+292</t>
        </is>
      </c>
      <c r="R17" t="inlineStr">
        <is>
          <t>Aberta</t>
        </is>
      </c>
      <c r="S17" t="inlineStr">
        <is>
          <t>Almiro Marques</t>
        </is>
      </c>
      <c r="T17" t="inlineStr">
        <is>
          <t>Fernanda Soave</t>
        </is>
      </c>
      <c r="U17" t="inlineStr">
        <is>
          <t>17/11/2025</t>
        </is>
      </c>
      <c r="V17" t="inlineStr">
        <is>
          <t>24/11/2025</t>
        </is>
      </c>
      <c r="W17">
        <v>198</v>
      </c>
      <c r="X17" t="inlineStr">
        <is>
          <t>30/06/2026</t>
        </is>
      </c>
      <c r="AA17" t="inlineStr">
        <is>
          <t>Aberta +120 dias</t>
        </is>
      </c>
    </row>
    <row r="18">
      <c r="A18">
        <v>16</v>
      </c>
      <c r="B18">
        <v>3</v>
      </c>
      <c r="C18" t="inlineStr">
        <is>
          <t>2.2</t>
        </is>
      </c>
      <c r="D18" t="inlineStr">
        <is>
          <t xml:space="preserve">OAE Corrego
Baldaia</t>
        </is>
      </c>
      <c r="F18" t="inlineStr">
        <is>
          <t>APIA</t>
        </is>
      </c>
      <c r="G18" t="inlineStr">
        <is>
          <t>CLP-001</t>
        </is>
      </c>
      <c r="H18" t="inlineStr">
        <is>
          <t>Protocolo</t>
        </is>
      </c>
      <c r="I18">
        <v>8</v>
      </c>
      <c r="J18" t="inlineStr">
        <is>
          <t>Obras de Arte Especiais</t>
        </is>
      </c>
      <c r="K18" t="inlineStr">
        <is>
          <t>8.35</t>
        </is>
      </c>
      <c r="L18" t="inlineStr">
        <is>
          <t>Guarda Corpo</t>
        </is>
      </c>
      <c r="M18" t="inlineStr">
        <is>
          <t>Alinhamento</t>
        </is>
      </c>
      <c r="N18" t="inlineStr">
        <is>
          <t>Durante a inspeção In loco foram identificados desalinhamentos na instalação dos guarda corpo.</t>
        </is>
      </c>
      <c r="O18" t="inlineStr">
        <is>
          <t>Tipo A</t>
        </is>
      </c>
      <c r="P18" t="inlineStr">
        <is>
          <t>100+085</t>
        </is>
      </c>
      <c r="Q18" t="inlineStr">
        <is>
          <t>100+292</t>
        </is>
      </c>
      <c r="R18" t="inlineStr">
        <is>
          <t>Aberta</t>
        </is>
      </c>
      <c r="S18" t="inlineStr">
        <is>
          <t>Almiro Marques</t>
        </is>
      </c>
      <c r="T18" t="inlineStr">
        <is>
          <t>Fernanda Soave</t>
        </is>
      </c>
      <c r="U18" t="inlineStr">
        <is>
          <t>17/11/2025</t>
        </is>
      </c>
      <c r="V18" t="inlineStr">
        <is>
          <t>24/11/2025</t>
        </is>
      </c>
      <c r="W18">
        <v>198</v>
      </c>
      <c r="X18" t="inlineStr">
        <is>
          <t>30/06/2026</t>
        </is>
      </c>
      <c r="AA18" t="inlineStr">
        <is>
          <t>Aberta +120 dias</t>
        </is>
      </c>
    </row>
    <row r="19">
      <c r="A19">
        <v>17</v>
      </c>
      <c r="B19">
        <v>3</v>
      </c>
      <c r="C19" t="inlineStr">
        <is>
          <t>2.2</t>
        </is>
      </c>
      <c r="D19" t="inlineStr">
        <is>
          <t xml:space="preserve">OAE Corrego
Baldaia</t>
        </is>
      </c>
      <c r="F19" t="inlineStr">
        <is>
          <t>APIA</t>
        </is>
      </c>
      <c r="G19" t="inlineStr">
        <is>
          <t>CLP-001</t>
        </is>
      </c>
      <c r="H19" t="inlineStr">
        <is>
          <t>Protocolo</t>
        </is>
      </c>
      <c r="I19">
        <v>8</v>
      </c>
      <c r="J19" t="inlineStr">
        <is>
          <t>Obras de Arte Especiais</t>
        </is>
      </c>
      <c r="K19" t="inlineStr">
        <is>
          <t>8.36</t>
        </is>
      </c>
      <c r="L19" t="inlineStr">
        <is>
          <t>Lajes</t>
        </is>
      </c>
      <c r="M19" t="inlineStr">
        <is>
          <t>Impossibilidade de inspeção</t>
        </is>
      </c>
      <c r="N19" t="inlineStr">
        <is>
          <t>Impossibilidade de inspeção devido a colocação de uma camada de material de proteção para atendimento de acesso as estruturas.</t>
        </is>
      </c>
      <c r="O19" t="inlineStr">
        <is>
          <t>Tipo A</t>
        </is>
      </c>
      <c r="P19" t="inlineStr">
        <is>
          <t>100+085</t>
        </is>
      </c>
      <c r="Q19" t="inlineStr">
        <is>
          <t>100+292</t>
        </is>
      </c>
      <c r="R19" t="inlineStr">
        <is>
          <t>Aberta</t>
        </is>
      </c>
      <c r="S19" t="inlineStr">
        <is>
          <t>Almiro Marques</t>
        </is>
      </c>
      <c r="T19" t="inlineStr">
        <is>
          <t>Fernanda Soave</t>
        </is>
      </c>
      <c r="U19" t="inlineStr">
        <is>
          <t>17/11/2025</t>
        </is>
      </c>
      <c r="V19" t="inlineStr">
        <is>
          <t>24/11/2025</t>
        </is>
      </c>
      <c r="W19">
        <v>198</v>
      </c>
      <c r="X19" t="inlineStr">
        <is>
          <t>30/06/2026</t>
        </is>
      </c>
      <c r="AA19" t="inlineStr">
        <is>
          <t>Aberta +120 dias</t>
        </is>
      </c>
    </row>
    <row r="20">
      <c r="A20">
        <v>18</v>
      </c>
      <c r="B20">
        <v>3</v>
      </c>
      <c r="C20" t="inlineStr">
        <is>
          <t>2.2</t>
        </is>
      </c>
      <c r="D20" t="inlineStr">
        <is>
          <t xml:space="preserve">OAE Corrego
Baldaia</t>
        </is>
      </c>
      <c r="F20" t="inlineStr">
        <is>
          <t>APIA</t>
        </is>
      </c>
      <c r="G20" t="inlineStr">
        <is>
          <t>CLP-001</t>
        </is>
      </c>
      <c r="H20" t="inlineStr">
        <is>
          <t>Protocolo</t>
        </is>
      </c>
      <c r="I20">
        <v>8</v>
      </c>
      <c r="J20" t="inlineStr">
        <is>
          <t>Obras de Arte Especiais</t>
        </is>
      </c>
      <c r="K20" t="inlineStr">
        <is>
          <t>8.37</t>
        </is>
      </c>
      <c r="L20" t="inlineStr">
        <is>
          <t>Lajes</t>
        </is>
      </c>
      <c r="M20" t="inlineStr">
        <is>
          <t>Documental</t>
        </is>
      </c>
      <c r="N20" t="inlineStr">
        <is>
          <t>A documentação foi entregue (Databook), porém em avaliaçao do OIA. Referente aos ensaios de solo-cimento não foram entregues.</t>
        </is>
      </c>
      <c r="O20" t="inlineStr">
        <is>
          <t>Tipo B</t>
        </is>
      </c>
      <c r="P20" t="inlineStr">
        <is>
          <t>100+085</t>
        </is>
      </c>
      <c r="Q20" t="inlineStr">
        <is>
          <t>100+292</t>
        </is>
      </c>
      <c r="R20" t="inlineStr">
        <is>
          <t>Aberta</t>
        </is>
      </c>
      <c r="S20" t="inlineStr">
        <is>
          <t xml:space="preserve">Izabôr Oliveira 
Vaner Faria</t>
        </is>
      </c>
      <c r="T20" t="inlineStr">
        <is>
          <t>Fernanda Soave</t>
        </is>
      </c>
      <c r="U20" t="inlineStr">
        <is>
          <t>17/11/2025</t>
        </is>
      </c>
      <c r="V20" t="inlineStr">
        <is>
          <t>02/12/2025</t>
        </is>
      </c>
      <c r="W20">
        <v>190</v>
      </c>
      <c r="X20" t="inlineStr">
        <is>
          <t>30/06/2026</t>
        </is>
      </c>
      <c r="AA20" t="inlineStr">
        <is>
          <t>Aberta +120 dias</t>
        </is>
      </c>
    </row>
    <row r="21">
      <c r="A21">
        <v>19</v>
      </c>
      <c r="B21">
        <v>3</v>
      </c>
      <c r="C21" t="inlineStr">
        <is>
          <t>2.2</t>
        </is>
      </c>
      <c r="D21" t="inlineStr">
        <is>
          <t xml:space="preserve">OAE Corrego
Baldaia</t>
        </is>
      </c>
      <c r="F21" t="inlineStr">
        <is>
          <t>APIA</t>
        </is>
      </c>
      <c r="G21" t="inlineStr">
        <is>
          <t>CLP-001</t>
        </is>
      </c>
      <c r="H21" t="inlineStr">
        <is>
          <t>Protocolo</t>
        </is>
      </c>
      <c r="I21">
        <v>8</v>
      </c>
      <c r="J21" t="inlineStr">
        <is>
          <t>Obras de Arte Especiais</t>
        </is>
      </c>
      <c r="K21" t="inlineStr">
        <is>
          <t>8.38</t>
        </is>
      </c>
      <c r="L21" t="inlineStr">
        <is>
          <t>Juntas de dilatação</t>
        </is>
      </c>
      <c r="M21" t="inlineStr">
        <is>
          <t>Impossibilidade de inspeção</t>
        </is>
      </c>
      <c r="N21" t="inlineStr">
        <is>
          <t>Impossibilidade de inspeção devido a colocação de uma camada de material de proteção para atendimento de acesso as estruturas.</t>
        </is>
      </c>
      <c r="O21" t="inlineStr">
        <is>
          <t>Tipo A</t>
        </is>
      </c>
      <c r="P21" t="inlineStr">
        <is>
          <t>100+085</t>
        </is>
      </c>
      <c r="Q21" t="inlineStr">
        <is>
          <t>100+292</t>
        </is>
      </c>
      <c r="R21" t="inlineStr">
        <is>
          <t>Aberta</t>
        </is>
      </c>
      <c r="S21" t="inlineStr">
        <is>
          <t>Almiro Marques</t>
        </is>
      </c>
      <c r="T21" t="inlineStr">
        <is>
          <t>Fernanda Soave</t>
        </is>
      </c>
      <c r="U21" t="inlineStr">
        <is>
          <t>17/11/2025</t>
        </is>
      </c>
      <c r="V21" t="inlineStr">
        <is>
          <t>24/11/2025</t>
        </is>
      </c>
      <c r="W21">
        <v>198</v>
      </c>
      <c r="X21" t="inlineStr">
        <is>
          <t>30/06/2026</t>
        </is>
      </c>
      <c r="AA21" t="inlineStr">
        <is>
          <t>Aberta +120 dias</t>
        </is>
      </c>
    </row>
    <row r="22">
      <c r="A22">
        <v>20</v>
      </c>
      <c r="B22">
        <v>3</v>
      </c>
      <c r="C22" t="inlineStr">
        <is>
          <t>2.2</t>
        </is>
      </c>
      <c r="D22" t="inlineStr">
        <is>
          <t xml:space="preserve">OAE Corrego
Baldaia</t>
        </is>
      </c>
      <c r="F22" t="inlineStr">
        <is>
          <t>APIA</t>
        </is>
      </c>
      <c r="G22" t="inlineStr">
        <is>
          <t>CLP-001</t>
        </is>
      </c>
      <c r="H22" t="inlineStr">
        <is>
          <t>Protocolo</t>
        </is>
      </c>
      <c r="I22">
        <v>8</v>
      </c>
      <c r="J22" t="inlineStr">
        <is>
          <t>Obras de Arte Especiais</t>
        </is>
      </c>
      <c r="K22" t="inlineStr">
        <is>
          <t>8.39</t>
        </is>
      </c>
      <c r="L22" t="inlineStr">
        <is>
          <t>Placas de concreto</t>
        </is>
      </c>
      <c r="M22" t="inlineStr">
        <is>
          <t>Impossibilidade de inspeção</t>
        </is>
      </c>
      <c r="N22" t="inlineStr">
        <is>
          <t>Impossibilidade de inspeção devido a colocação de uma camada de material de proteção para atendimento de acesso as estruturas.</t>
        </is>
      </c>
      <c r="O22" t="inlineStr">
        <is>
          <t>Tipo A</t>
        </is>
      </c>
      <c r="P22" t="inlineStr">
        <is>
          <t>100+085</t>
        </is>
      </c>
      <c r="Q22" t="inlineStr">
        <is>
          <t>100+292</t>
        </is>
      </c>
      <c r="R22" t="inlineStr">
        <is>
          <t>Aberta</t>
        </is>
      </c>
      <c r="S22" t="inlineStr">
        <is>
          <t>Almiro Marques</t>
        </is>
      </c>
      <c r="T22" t="inlineStr">
        <is>
          <t>Fernanda Soave</t>
        </is>
      </c>
      <c r="U22" t="inlineStr">
        <is>
          <t>17/11/2025</t>
        </is>
      </c>
      <c r="V22" t="inlineStr">
        <is>
          <t>24/11/2025</t>
        </is>
      </c>
      <c r="W22">
        <v>198</v>
      </c>
      <c r="X22" t="inlineStr">
        <is>
          <t>30/06/2026</t>
        </is>
      </c>
      <c r="AA22" t="inlineStr">
        <is>
          <t>Aberta +120 dias</t>
        </is>
      </c>
    </row>
    <row r="23">
      <c r="A23">
        <v>21</v>
      </c>
      <c r="B23">
        <v>3</v>
      </c>
      <c r="C23" t="inlineStr">
        <is>
          <t>2.2</t>
        </is>
      </c>
      <c r="D23" t="inlineStr">
        <is>
          <t xml:space="preserve">OAE Corrego
Baldaia</t>
        </is>
      </c>
      <c r="F23" t="inlineStr">
        <is>
          <t>APIA</t>
        </is>
      </c>
      <c r="G23" t="inlineStr">
        <is>
          <t>CLP-001</t>
        </is>
      </c>
      <c r="H23" t="inlineStr">
        <is>
          <t>Protocolo</t>
        </is>
      </c>
      <c r="I23">
        <v>8</v>
      </c>
      <c r="J23" t="inlineStr">
        <is>
          <t>Obras de Arte Especiais</t>
        </is>
      </c>
      <c r="K23" t="inlineStr">
        <is>
          <t>8.40</t>
        </is>
      </c>
      <c r="L23" t="inlineStr">
        <is>
          <t>Juntas de dilatação</t>
        </is>
      </c>
      <c r="M23" t="inlineStr">
        <is>
          <t>Documental</t>
        </is>
      </c>
      <c r="N23" t="inlineStr">
        <is>
          <t>Consta RNC 7769 - .Verificou-se, no encontro das lajes junto ao pilar P1, que a junta de dilatação tipo Jeene sofreu deslocamento, desprendendo-se da borda de uma das lajes, em não conformidade com o Projeto nº 1272FE-C-500040 Rev.2.Adicionalmente, observou-se que a Construtora Ápia executou a instalação das chapas de aço galvanizado com um complemento de concreto (grout) entre as canaletas e as chapas metálicas. Conforme detalhamento do projeto mencionado, as chapas devem ser instaladas diretamente nas canaletas pré-moldadas, sem a previsão deste tipo de ajuste.Foi ainda identificado que, após a remoção das chapas de aço galvanizado, ocorreram avarias nas estruturas das lajes e nas canaletas pré-moldadas. Projeto de referência: 1272FE-C-500040 Rev.2.</t>
        </is>
      </c>
      <c r="O23" t="inlineStr">
        <is>
          <t>Tipo B</t>
        </is>
      </c>
      <c r="P23" t="inlineStr">
        <is>
          <t>100+085</t>
        </is>
      </c>
      <c r="Q23" t="inlineStr">
        <is>
          <t>100+292</t>
        </is>
      </c>
      <c r="R23" t="inlineStr">
        <is>
          <t>Aberta</t>
        </is>
      </c>
      <c r="S23" t="inlineStr">
        <is>
          <t>Almiro Marques</t>
        </is>
      </c>
      <c r="T23" t="inlineStr">
        <is>
          <t>Fernanda Soave</t>
        </is>
      </c>
      <c r="U23" t="inlineStr">
        <is>
          <t>17/11/2025</t>
        </is>
      </c>
      <c r="V23" t="inlineStr">
        <is>
          <t>02/12/2025</t>
        </is>
      </c>
      <c r="W23">
        <v>190</v>
      </c>
      <c r="X23" t="inlineStr">
        <is>
          <t>30/06/2026</t>
        </is>
      </c>
      <c r="AA23" t="inlineStr">
        <is>
          <t>Aberta +120 dias</t>
        </is>
      </c>
    </row>
    <row r="24">
      <c r="A24">
        <v>22</v>
      </c>
      <c r="B24">
        <v>3</v>
      </c>
      <c r="C24" t="inlineStr">
        <is>
          <t>2.2</t>
        </is>
      </c>
      <c r="D24" t="inlineStr">
        <is>
          <t xml:space="preserve">OAE Corrego
Baldaia</t>
        </is>
      </c>
      <c r="F24" t="inlineStr">
        <is>
          <t>APIA</t>
        </is>
      </c>
      <c r="G24" t="inlineStr">
        <is>
          <t>CLP-001</t>
        </is>
      </c>
      <c r="H24" t="inlineStr">
        <is>
          <t>Protocolo</t>
        </is>
      </c>
      <c r="I24">
        <v>8</v>
      </c>
      <c r="J24" t="inlineStr">
        <is>
          <t>Obras de Arte Especiais</t>
        </is>
      </c>
      <c r="K24" t="inlineStr">
        <is>
          <t>8.45</t>
        </is>
      </c>
      <c r="L24" t="inlineStr">
        <is>
          <t>Placas de concreto</t>
        </is>
      </c>
      <c r="M24" t="inlineStr">
        <is>
          <t>Impossibilidade de inspeção</t>
        </is>
      </c>
      <c r="N24" t="inlineStr">
        <is>
          <t>Impossibilidade de inspeção devido a colocação de uma camada de material de proteção para atendimento de acesso as estruturas.</t>
        </is>
      </c>
      <c r="O24" t="inlineStr">
        <is>
          <t>Tipo A</t>
        </is>
      </c>
      <c r="P24" t="inlineStr">
        <is>
          <t>100+085</t>
        </is>
      </c>
      <c r="Q24" t="inlineStr">
        <is>
          <t>100+292</t>
        </is>
      </c>
      <c r="R24" t="inlineStr">
        <is>
          <t>Aberta</t>
        </is>
      </c>
      <c r="S24" t="inlineStr">
        <is>
          <t>Almiro Marques</t>
        </is>
      </c>
      <c r="T24" t="inlineStr">
        <is>
          <t>Fernanda Soave</t>
        </is>
      </c>
      <c r="U24" t="inlineStr">
        <is>
          <t>17/11/2025</t>
        </is>
      </c>
      <c r="V24" t="inlineStr">
        <is>
          <t>24/11/2025</t>
        </is>
      </c>
      <c r="W24">
        <v>198</v>
      </c>
      <c r="X24" t="inlineStr">
        <is>
          <t>30/06/2026</t>
        </is>
      </c>
      <c r="AA24" t="inlineStr">
        <is>
          <t>Aberta +120 dias</t>
        </is>
      </c>
    </row>
    <row r="25">
      <c r="A25">
        <v>23</v>
      </c>
      <c r="B25">
        <v>3</v>
      </c>
      <c r="C25" t="inlineStr">
        <is>
          <t>2.2</t>
        </is>
      </c>
      <c r="D25" t="inlineStr">
        <is>
          <t xml:space="preserve">OAE Corrego
Baldaia</t>
        </is>
      </c>
      <c r="F25" t="inlineStr">
        <is>
          <t>APIA</t>
        </is>
      </c>
      <c r="G25" t="inlineStr">
        <is>
          <t>CLP-001</t>
        </is>
      </c>
      <c r="H25" t="inlineStr">
        <is>
          <t>Protocolo</t>
        </is>
      </c>
      <c r="I25">
        <v>8</v>
      </c>
      <c r="J25" t="inlineStr">
        <is>
          <t>Obras de Arte Especiais</t>
        </is>
      </c>
      <c r="K25" t="inlineStr">
        <is>
          <t>8.46</t>
        </is>
      </c>
      <c r="L25" t="inlineStr">
        <is>
          <t>Placas de concreto</t>
        </is>
      </c>
      <c r="M25" t="inlineStr">
        <is>
          <t>Impossibilidade de inspeção</t>
        </is>
      </c>
      <c r="N25" t="inlineStr">
        <is>
          <t>Impossibilidade de inspeção devido a colocação de uma camada de material de proteção para atendimento de acesso as estruturas.</t>
        </is>
      </c>
      <c r="O25" t="inlineStr">
        <is>
          <t>Tipo A</t>
        </is>
      </c>
      <c r="P25" t="inlineStr">
        <is>
          <t>100+085</t>
        </is>
      </c>
      <c r="Q25" t="inlineStr">
        <is>
          <t>100+292</t>
        </is>
      </c>
      <c r="R25" t="inlineStr">
        <is>
          <t>Aberta</t>
        </is>
      </c>
      <c r="S25" t="inlineStr">
        <is>
          <t>Almiro Marques</t>
        </is>
      </c>
      <c r="T25" t="inlineStr">
        <is>
          <t>Fernanda Soave</t>
        </is>
      </c>
      <c r="U25" t="inlineStr">
        <is>
          <t>17/11/2025</t>
        </is>
      </c>
      <c r="V25" t="inlineStr">
        <is>
          <t>24/11/2025</t>
        </is>
      </c>
      <c r="W25">
        <v>198</v>
      </c>
      <c r="X25" t="inlineStr">
        <is>
          <t>30/06/2026</t>
        </is>
      </c>
      <c r="AA25" t="inlineStr">
        <is>
          <t>Aberta +120 dias</t>
        </is>
      </c>
    </row>
    <row r="26">
      <c r="A26">
        <v>24</v>
      </c>
      <c r="B26">
        <v>3</v>
      </c>
      <c r="C26" t="inlineStr">
        <is>
          <t>2.2</t>
        </is>
      </c>
      <c r="D26" t="inlineStr">
        <is>
          <t xml:space="preserve">OAE Corrego
Baldaia</t>
        </is>
      </c>
      <c r="F26" t="inlineStr">
        <is>
          <t>APIA</t>
        </is>
      </c>
      <c r="G26" t="inlineStr">
        <is>
          <t>CLP-001</t>
        </is>
      </c>
      <c r="H26" t="inlineStr">
        <is>
          <t>Protocolo</t>
        </is>
      </c>
      <c r="I26">
        <v>8</v>
      </c>
      <c r="J26" t="inlineStr">
        <is>
          <t>Obras de Arte Especiais</t>
        </is>
      </c>
      <c r="K26" t="inlineStr">
        <is>
          <t>8.47</t>
        </is>
      </c>
      <c r="L26" t="inlineStr">
        <is>
          <t>Guarda Corpo</t>
        </is>
      </c>
      <c r="M26" t="inlineStr">
        <is>
          <t>Documental</t>
        </is>
      </c>
      <c r="N26" t="inlineStr">
        <is>
          <t>Os guarda corpo foram instalados com desalinhamentos. Consta RNC 1087 -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is>
      </c>
      <c r="O26" t="inlineStr">
        <is>
          <t>Tipo A</t>
        </is>
      </c>
      <c r="P26" t="inlineStr">
        <is>
          <t>100+085</t>
        </is>
      </c>
      <c r="Q26" t="inlineStr">
        <is>
          <t>100+292</t>
        </is>
      </c>
      <c r="R26" t="inlineStr">
        <is>
          <t>Aberta</t>
        </is>
      </c>
      <c r="S26" t="inlineStr">
        <is>
          <t xml:space="preserve">Izabôr Oliveira </t>
        </is>
      </c>
      <c r="T26" t="inlineStr">
        <is>
          <t>Fernanda Soave</t>
        </is>
      </c>
      <c r="U26" t="inlineStr">
        <is>
          <t>17/11/2025</t>
        </is>
      </c>
      <c r="V26" t="inlineStr">
        <is>
          <t>24/11/2025</t>
        </is>
      </c>
      <c r="W26">
        <v>198</v>
      </c>
      <c r="X26" t="inlineStr">
        <is>
          <t>30/05/2026</t>
        </is>
      </c>
      <c r="AA26" t="inlineStr">
        <is>
          <t>Aberta +120 dias</t>
        </is>
      </c>
    </row>
    <row r="27">
      <c r="A27">
        <v>25</v>
      </c>
      <c r="B27">
        <v>3</v>
      </c>
      <c r="C27" t="inlineStr">
        <is>
          <t>2.2</t>
        </is>
      </c>
      <c r="D27" t="inlineStr">
        <is>
          <t xml:space="preserve">OAE Corrego
Baldaia</t>
        </is>
      </c>
      <c r="F27" t="inlineStr">
        <is>
          <t>APIA</t>
        </is>
      </c>
      <c r="G27" t="inlineStr">
        <is>
          <t>CLP-001</t>
        </is>
      </c>
      <c r="H27" t="inlineStr">
        <is>
          <t>Protocolo</t>
        </is>
      </c>
      <c r="I27">
        <v>8</v>
      </c>
      <c r="J27" t="inlineStr">
        <is>
          <t>Obras de Arte Especiais</t>
        </is>
      </c>
      <c r="K27" t="inlineStr">
        <is>
          <t>8.51</t>
        </is>
      </c>
      <c r="L27" t="inlineStr">
        <is>
          <t>Solda</t>
        </is>
      </c>
      <c r="M27" t="inlineStr">
        <is>
          <t>Documental</t>
        </is>
      </c>
      <c r="N27" t="inlineStr">
        <is>
          <t>Consta RNC aberta referente aos guarda corpos - RNC 7769 -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is>
      </c>
      <c r="O27" t="inlineStr">
        <is>
          <t>Tipo B</t>
        </is>
      </c>
      <c r="P27" t="inlineStr">
        <is>
          <t>100+085</t>
        </is>
      </c>
      <c r="Q27" t="inlineStr">
        <is>
          <t>100+292</t>
        </is>
      </c>
      <c r="R27" t="inlineStr">
        <is>
          <t>Aberta</t>
        </is>
      </c>
      <c r="S27" t="inlineStr">
        <is>
          <t xml:space="preserve">Izabôr Oliveira </t>
        </is>
      </c>
      <c r="T27" t="inlineStr">
        <is>
          <t>Fernanda Soave</t>
        </is>
      </c>
      <c r="U27" t="inlineStr">
        <is>
          <t>17/11/2025</t>
        </is>
      </c>
      <c r="V27" t="inlineStr">
        <is>
          <t>02/12/2025</t>
        </is>
      </c>
      <c r="W27">
        <v>190</v>
      </c>
      <c r="X27" t="inlineStr">
        <is>
          <t>30/05/2026</t>
        </is>
      </c>
      <c r="AA27" t="inlineStr">
        <is>
          <t>Aberta +120 dias</t>
        </is>
      </c>
    </row>
    <row r="28">
      <c r="A28">
        <v>26</v>
      </c>
      <c r="B28">
        <v>3</v>
      </c>
      <c r="C28" t="inlineStr">
        <is>
          <t>1.7</t>
        </is>
      </c>
      <c r="D28" t="inlineStr">
        <is>
          <t>PI GO - 154</t>
        </is>
      </c>
      <c r="F28" t="inlineStr">
        <is>
          <t>APIA</t>
        </is>
      </c>
      <c r="G28" t="inlineStr">
        <is>
          <t>CLP-002</t>
        </is>
      </c>
      <c r="H28" t="inlineStr">
        <is>
          <t>Protocolo</t>
        </is>
      </c>
      <c r="I28">
        <v>1</v>
      </c>
      <c r="J28" t="inlineStr">
        <is>
          <t>Obras Complementares</t>
        </is>
      </c>
      <c r="K28" t="inlineStr">
        <is>
          <t>1.9</t>
        </is>
      </c>
      <c r="L28" t="inlineStr">
        <is>
          <t>Supressão</t>
        </is>
      </c>
      <c r="M28" t="inlineStr">
        <is>
          <t>Documental</t>
        </is>
      </c>
      <c r="N28" t="inlineStr">
        <is>
          <t>Documentação referente ao romaneios de supressão.</t>
        </is>
      </c>
      <c r="O28" t="inlineStr">
        <is>
          <t>Tipo B</t>
        </is>
      </c>
      <c r="P28" t="inlineStr">
        <is>
          <t>87+740</t>
        </is>
      </c>
      <c r="Q28" t="inlineStr">
        <is>
          <t>87+940</t>
        </is>
      </c>
      <c r="R28" t="inlineStr">
        <is>
          <t>Aberta</t>
        </is>
      </c>
      <c r="S28" t="inlineStr">
        <is>
          <t xml:space="preserve">Izabôr Oliveira </t>
        </is>
      </c>
      <c r="T28" t="inlineStr">
        <is>
          <t>Fernanda Soave</t>
        </is>
      </c>
      <c r="U28" t="inlineStr">
        <is>
          <t>03/10/2025</t>
        </is>
      </c>
      <c r="V28" t="inlineStr">
        <is>
          <t>18/10/2025</t>
        </is>
      </c>
      <c r="W28">
        <v>235</v>
      </c>
      <c r="AA28" t="inlineStr">
        <is>
          <t>Aberta +120 dias</t>
        </is>
      </c>
    </row>
    <row r="29">
      <c r="A29">
        <v>27</v>
      </c>
      <c r="B29">
        <v>3</v>
      </c>
      <c r="C29" t="inlineStr">
        <is>
          <t>1.7</t>
        </is>
      </c>
      <c r="D29" t="inlineStr">
        <is>
          <t>PI GO - 154</t>
        </is>
      </c>
      <c r="F29" t="inlineStr">
        <is>
          <t>APIA</t>
        </is>
      </c>
      <c r="G29" t="inlineStr">
        <is>
          <t>CLP-002</t>
        </is>
      </c>
      <c r="H29" t="inlineStr">
        <is>
          <t>Protocolo</t>
        </is>
      </c>
      <c r="I29">
        <v>1</v>
      </c>
      <c r="J29" t="inlineStr">
        <is>
          <t>Obras Complementares</t>
        </is>
      </c>
      <c r="K29" t="inlineStr">
        <is>
          <t>1.18</t>
        </is>
      </c>
      <c r="L29" t="inlineStr">
        <is>
          <t>Defensas Metálicas</t>
        </is>
      </c>
      <c r="M29" t="inlineStr">
        <is>
          <t>Documental</t>
        </is>
      </c>
      <c r="N29" t="inlineStr">
        <is>
          <t xml:space="preserve">Documentação (databook) foi entregue, porém não foi evidenciado os documentos comprobatorios.
Devido ao não cumprimento ao prazo das tratativas, foi aberta RNC 10368/25</t>
        </is>
      </c>
      <c r="O29" t="inlineStr">
        <is>
          <t>Tipo B</t>
        </is>
      </c>
      <c r="P29" t="inlineStr">
        <is>
          <t>87+740</t>
        </is>
      </c>
      <c r="Q29" t="inlineStr">
        <is>
          <t>87+940</t>
        </is>
      </c>
      <c r="R29" t="inlineStr">
        <is>
          <t>Aberta</t>
        </is>
      </c>
      <c r="S29" t="inlineStr">
        <is>
          <t xml:space="preserve">Izabôr Oliveira </t>
        </is>
      </c>
      <c r="T29" t="inlineStr">
        <is>
          <t>Fernanda Soave</t>
        </is>
      </c>
      <c r="U29" t="inlineStr">
        <is>
          <t>03/10/2025</t>
        </is>
      </c>
      <c r="V29" t="inlineStr">
        <is>
          <t>18/10/2025</t>
        </is>
      </c>
      <c r="W29">
        <v>235</v>
      </c>
      <c r="X29" t="inlineStr">
        <is>
          <t>31/05/2026</t>
        </is>
      </c>
      <c r="AA29" t="inlineStr">
        <is>
          <t>Aberta +120 dias</t>
        </is>
      </c>
    </row>
    <row r="30">
      <c r="A30">
        <v>28</v>
      </c>
      <c r="B30">
        <v>3</v>
      </c>
      <c r="C30" t="inlineStr">
        <is>
          <t>1.7</t>
        </is>
      </c>
      <c r="D30" t="inlineStr">
        <is>
          <t>PI GO - 154</t>
        </is>
      </c>
      <c r="F30" t="inlineStr">
        <is>
          <t>APIA</t>
        </is>
      </c>
      <c r="G30" t="inlineStr">
        <is>
          <t>CLP-002</t>
        </is>
      </c>
      <c r="H30" t="inlineStr">
        <is>
          <t>Protocolo</t>
        </is>
      </c>
      <c r="I30">
        <v>1</v>
      </c>
      <c r="J30" t="inlineStr">
        <is>
          <t>Obras Complementares</t>
        </is>
      </c>
      <c r="K30" t="inlineStr">
        <is>
          <t>1.19</t>
        </is>
      </c>
      <c r="L30" t="inlineStr">
        <is>
          <t>Defensas Metálicas</t>
        </is>
      </c>
      <c r="M30" t="inlineStr">
        <is>
          <t>Documental</t>
        </is>
      </c>
      <c r="N30" t="inlineStr">
        <is>
          <t xml:space="preserve">A documentação (databook) foi entregue, porém não foi evidenciado os documentos comprobatorios.
Devido ao não cumprimento dos prazos para as tratativas, foi aberta RNC 10370/25</t>
        </is>
      </c>
      <c r="O30" t="inlineStr">
        <is>
          <t>Tipo B</t>
        </is>
      </c>
      <c r="P30" t="inlineStr">
        <is>
          <t>87+740</t>
        </is>
      </c>
      <c r="Q30" t="inlineStr">
        <is>
          <t>87+940</t>
        </is>
      </c>
      <c r="R30" t="inlineStr">
        <is>
          <t>Aberta</t>
        </is>
      </c>
      <c r="S30" t="inlineStr">
        <is>
          <t xml:space="preserve">Izabôr Oliveira </t>
        </is>
      </c>
      <c r="T30" t="inlineStr">
        <is>
          <t>Fernanda Soave</t>
        </is>
      </c>
      <c r="U30" t="inlineStr">
        <is>
          <t>03/10/2025</t>
        </is>
      </c>
      <c r="V30" t="inlineStr">
        <is>
          <t>18/10/2025</t>
        </is>
      </c>
      <c r="W30">
        <v>235</v>
      </c>
      <c r="X30" t="inlineStr">
        <is>
          <t>31/05/2026</t>
        </is>
      </c>
      <c r="AA30" t="inlineStr">
        <is>
          <t>Aberta +120 dias</t>
        </is>
      </c>
    </row>
    <row r="31">
      <c r="A31">
        <v>29</v>
      </c>
      <c r="B31">
        <v>3</v>
      </c>
      <c r="C31" t="inlineStr">
        <is>
          <t>1.7</t>
        </is>
      </c>
      <c r="D31" t="inlineStr">
        <is>
          <t>PI GO - 154</t>
        </is>
      </c>
      <c r="F31" t="inlineStr">
        <is>
          <t>APIA</t>
        </is>
      </c>
      <c r="G31" t="inlineStr">
        <is>
          <t>CLP-002</t>
        </is>
      </c>
      <c r="H31" t="inlineStr">
        <is>
          <t>Protocolo</t>
        </is>
      </c>
      <c r="I31">
        <v>1</v>
      </c>
      <c r="J31" t="inlineStr">
        <is>
          <t>Obras Complementares</t>
        </is>
      </c>
      <c r="K31" t="inlineStr">
        <is>
          <t>1.20</t>
        </is>
      </c>
      <c r="L31" t="inlineStr">
        <is>
          <t>Defensas Metálicas</t>
        </is>
      </c>
      <c r="M31" t="inlineStr">
        <is>
          <t>Documental</t>
        </is>
      </c>
      <c r="N31" t="inlineStr">
        <is>
          <t xml:space="preserve">A documentação (databook) foi entregue, porém não foi evidenciado os documentos comprobatórios.
Devido ao não cumprimento do prazo para as tratativas, foi aberta RNC 10371/25</t>
        </is>
      </c>
      <c r="O31" t="inlineStr">
        <is>
          <t>Tipo B</t>
        </is>
      </c>
      <c r="P31" t="inlineStr">
        <is>
          <t>87+740</t>
        </is>
      </c>
      <c r="Q31" t="inlineStr">
        <is>
          <t>87+940</t>
        </is>
      </c>
      <c r="R31" t="inlineStr">
        <is>
          <t>Aberta</t>
        </is>
      </c>
      <c r="S31" t="inlineStr">
        <is>
          <t xml:space="preserve">Izabôr Oliveira </t>
        </is>
      </c>
      <c r="T31" t="inlineStr">
        <is>
          <t>Fernanda Soave</t>
        </is>
      </c>
      <c r="U31" t="inlineStr">
        <is>
          <t>03/10/2025</t>
        </is>
      </c>
      <c r="V31" t="inlineStr">
        <is>
          <t>18/10/2025</t>
        </is>
      </c>
      <c r="W31">
        <v>235</v>
      </c>
      <c r="X31" t="inlineStr">
        <is>
          <t>31/05/2026</t>
        </is>
      </c>
      <c r="AA31" t="inlineStr">
        <is>
          <t>Aberta +120 dias</t>
        </is>
      </c>
    </row>
    <row r="32">
      <c r="A32">
        <v>30</v>
      </c>
      <c r="B32">
        <v>3</v>
      </c>
      <c r="C32" t="inlineStr">
        <is>
          <t>1.7</t>
        </is>
      </c>
      <c r="D32" t="inlineStr">
        <is>
          <t>PI GO - 154</t>
        </is>
      </c>
      <c r="F32" t="inlineStr">
        <is>
          <t>APIA</t>
        </is>
      </c>
      <c r="G32" t="inlineStr">
        <is>
          <t>CLP-002</t>
        </is>
      </c>
      <c r="H32" t="inlineStr">
        <is>
          <t>Protocolo</t>
        </is>
      </c>
      <c r="I32">
        <v>1</v>
      </c>
      <c r="J32" t="inlineStr">
        <is>
          <t>Obras Complementares</t>
        </is>
      </c>
      <c r="K32" t="inlineStr">
        <is>
          <t>1.21</t>
        </is>
      </c>
      <c r="L32" t="inlineStr">
        <is>
          <t>Defensas Metálicas</t>
        </is>
      </c>
      <c r="M32" t="inlineStr">
        <is>
          <t>Documental</t>
        </is>
      </c>
      <c r="N32" t="inlineStr">
        <is>
          <t xml:space="preserve">A documentação (databook) foi entregue, porém não foi evidenciado os documentos comprobatórios.
Devido ao não cumprimento do prazo para as tratativas, foi aberta RNC 10372/25</t>
        </is>
      </c>
      <c r="O32" t="inlineStr">
        <is>
          <t>Tipo B</t>
        </is>
      </c>
      <c r="P32" t="inlineStr">
        <is>
          <t>87+740</t>
        </is>
      </c>
      <c r="Q32" t="inlineStr">
        <is>
          <t>87+940</t>
        </is>
      </c>
      <c r="R32" t="inlineStr">
        <is>
          <t>Aberta</t>
        </is>
      </c>
      <c r="S32" t="inlineStr">
        <is>
          <t xml:space="preserve">Izabôr Oliveira </t>
        </is>
      </c>
      <c r="T32" t="inlineStr">
        <is>
          <t>Fernanda Soave</t>
        </is>
      </c>
      <c r="U32" t="inlineStr">
        <is>
          <t>03/10/2025</t>
        </is>
      </c>
      <c r="V32" t="inlineStr">
        <is>
          <t>18/10/2025</t>
        </is>
      </c>
      <c r="W32">
        <v>235</v>
      </c>
      <c r="X32" t="inlineStr">
        <is>
          <t>31/05/2026</t>
        </is>
      </c>
      <c r="AA32" t="inlineStr">
        <is>
          <t>Aberta +120 dias</t>
        </is>
      </c>
    </row>
    <row r="33">
      <c r="A33">
        <v>31</v>
      </c>
      <c r="B33">
        <v>1</v>
      </c>
      <c r="C33" t="inlineStr">
        <is>
          <t>1.3</t>
        </is>
      </c>
      <c r="D33" t="inlineStr">
        <is>
          <t>OAE Rio dos Bois</t>
        </is>
      </c>
      <c r="F33" t="inlineStr">
        <is>
          <t>EMPA</t>
        </is>
      </c>
      <c r="G33" t="inlineStr">
        <is>
          <t>CLP-003</t>
        </is>
      </c>
      <c r="H33" t="inlineStr">
        <is>
          <t>Protocolo</t>
        </is>
      </c>
      <c r="I33">
        <v>8</v>
      </c>
      <c r="J33" t="inlineStr">
        <is>
          <t>Obras de Arte Especiais</t>
        </is>
      </c>
      <c r="K33" t="inlineStr">
        <is>
          <t>8.1</t>
        </is>
      </c>
      <c r="L33" t="inlineStr">
        <is>
          <t>Estaca</t>
        </is>
      </c>
      <c r="M33" t="inlineStr">
        <is>
          <t>Documental</t>
        </is>
      </c>
      <c r="N33" t="inlineStr">
        <is>
          <t>A documentação foi entregue (Databook), porém em avaliação do OIA. As Built não foram entregues. A documentação entregue não contempla dados topográficos com nota de serviço.</t>
        </is>
      </c>
      <c r="O33" t="inlineStr">
        <is>
          <t>Tipo B</t>
        </is>
      </c>
      <c r="P33" t="inlineStr">
        <is>
          <t>30+903</t>
        </is>
      </c>
      <c r="Q33" t="inlineStr">
        <is>
          <t>31+045</t>
        </is>
      </c>
      <c r="R33" t="inlineStr">
        <is>
          <t>Aberta</t>
        </is>
      </c>
      <c r="S33" t="inlineStr">
        <is>
          <t>Qualidade/ Topografia</t>
        </is>
      </c>
      <c r="T33" t="inlineStr">
        <is>
          <t>Aline Batista</t>
        </is>
      </c>
      <c r="U33" t="inlineStr">
        <is>
          <t>03/12/2025</t>
        </is>
      </c>
      <c r="V33" t="inlineStr">
        <is>
          <t>18/12/2025</t>
        </is>
      </c>
      <c r="W33">
        <v>174</v>
      </c>
      <c r="AA33" t="inlineStr">
        <is>
          <t>Aberta +120 dias</t>
        </is>
      </c>
      <c r="AB33" t="inlineStr">
        <is>
          <t>EMPA</t>
        </is>
      </c>
      <c r="AC33" t="inlineStr">
        <is>
          <t>Aline</t>
        </is>
      </c>
      <c r="AE33" t="inlineStr">
        <is>
          <t>19/06/2026</t>
        </is>
      </c>
      <c r="AF33" t="inlineStr">
        <is>
          <t>Ata de reunião de RM p/ BK</t>
        </is>
      </c>
    </row>
    <row r="34">
      <c r="A34">
        <v>32</v>
      </c>
      <c r="B34">
        <v>1</v>
      </c>
      <c r="C34" t="inlineStr">
        <is>
          <t>1.3</t>
        </is>
      </c>
      <c r="D34" t="inlineStr">
        <is>
          <t>OAE Rio dos Bois</t>
        </is>
      </c>
      <c r="F34" t="inlineStr">
        <is>
          <t>EMPA</t>
        </is>
      </c>
      <c r="G34" t="inlineStr">
        <is>
          <t>CLP-003</t>
        </is>
      </c>
      <c r="H34" t="inlineStr">
        <is>
          <t>Protocolo</t>
        </is>
      </c>
      <c r="I34">
        <v>8</v>
      </c>
      <c r="J34" t="inlineStr">
        <is>
          <t>Obras de Arte Especiais</t>
        </is>
      </c>
      <c r="K34" t="inlineStr">
        <is>
          <t>8.2</t>
        </is>
      </c>
      <c r="L34" t="inlineStr">
        <is>
          <t>Estaca</t>
        </is>
      </c>
      <c r="M34" t="inlineStr">
        <is>
          <t>Documental</t>
        </is>
      </c>
      <c r="N34" t="inlineStr">
        <is>
          <t>A doumentação foi entregue (Databook), porém em avaliação do OIA. As Built não foram entregues. A documentação entregue não apresenta dados topográficos.</t>
        </is>
      </c>
      <c r="O34" t="inlineStr">
        <is>
          <t>Tipo B</t>
        </is>
      </c>
      <c r="P34" t="inlineStr">
        <is>
          <t>30+903</t>
        </is>
      </c>
      <c r="Q34" t="inlineStr">
        <is>
          <t>31+045</t>
        </is>
      </c>
      <c r="R34" t="inlineStr">
        <is>
          <t>Aberta</t>
        </is>
      </c>
      <c r="S34" t="inlineStr">
        <is>
          <t>Qualidade/ Topografia</t>
        </is>
      </c>
      <c r="T34" t="inlineStr">
        <is>
          <t>Aline Batista</t>
        </is>
      </c>
      <c r="U34" t="inlineStr">
        <is>
          <t>03/12/2025</t>
        </is>
      </c>
      <c r="V34" t="inlineStr">
        <is>
          <t>18/12/2025</t>
        </is>
      </c>
      <c r="W34">
        <v>174</v>
      </c>
      <c r="AA34" t="inlineStr">
        <is>
          <t>Aberta +120 dias</t>
        </is>
      </c>
      <c r="AB34" t="inlineStr">
        <is>
          <t>EMPA</t>
        </is>
      </c>
      <c r="AC34" t="inlineStr">
        <is>
          <t>Aline</t>
        </is>
      </c>
      <c r="AE34" t="inlineStr">
        <is>
          <t>19/06/2026</t>
        </is>
      </c>
      <c r="AF34" t="inlineStr">
        <is>
          <t>Ata de reunião de RM p/ BK</t>
        </is>
      </c>
    </row>
    <row r="35">
      <c r="A35">
        <v>33</v>
      </c>
      <c r="B35">
        <v>1</v>
      </c>
      <c r="C35" t="inlineStr">
        <is>
          <t>1.3</t>
        </is>
      </c>
      <c r="D35" t="inlineStr">
        <is>
          <t>OAE Rio dos Bois</t>
        </is>
      </c>
      <c r="F35" t="inlineStr">
        <is>
          <t>EMPA</t>
        </is>
      </c>
      <c r="G35" t="inlineStr">
        <is>
          <t>CLP-003</t>
        </is>
      </c>
      <c r="H35" t="inlineStr">
        <is>
          <t>Protocolo</t>
        </is>
      </c>
      <c r="I35">
        <v>8</v>
      </c>
      <c r="J35" t="inlineStr">
        <is>
          <t>Obras de Arte Especiais</t>
        </is>
      </c>
      <c r="K35" t="inlineStr">
        <is>
          <t>8.3</t>
        </is>
      </c>
      <c r="L35" t="inlineStr">
        <is>
          <t>Estaca</t>
        </is>
      </c>
      <c r="M35" t="inlineStr">
        <is>
          <t>Documental</t>
        </is>
      </c>
      <c r="N35" t="inlineStr">
        <is>
          <t>A documentação foi entregue (databook), porém em avaliação do OIA. As Built não foram entregues. Constam RNC: RNC 03333/25 - DS - Apoio 01 –Estacas 1,2,3,4 da Ponte Rio dos Bois -Resistência inferior ao projeto; RNC 3334/25 -Apoio 01 –Estacas 1,2,3,4 da Ponte Rio dos Bois - Inconsistências nos cálculos de resistência</t>
        </is>
      </c>
      <c r="O35" t="inlineStr">
        <is>
          <t>Tipo B</t>
        </is>
      </c>
      <c r="P35" t="inlineStr">
        <is>
          <t>30+903</t>
        </is>
      </c>
      <c r="Q35" t="inlineStr">
        <is>
          <t>31+045</t>
        </is>
      </c>
      <c r="R35" t="inlineStr">
        <is>
          <t>Encerrado</t>
        </is>
      </c>
      <c r="S35" t="inlineStr">
        <is>
          <t>Qualidade/ Laboratório</t>
        </is>
      </c>
      <c r="T35" t="inlineStr">
        <is>
          <t>Aline Batista</t>
        </is>
      </c>
      <c r="U35" t="inlineStr">
        <is>
          <t>03/12/2025</t>
        </is>
      </c>
      <c r="V35" t="inlineStr">
        <is>
          <t>18/12/2025</t>
        </is>
      </c>
      <c r="W35">
        <v>174</v>
      </c>
      <c r="Y35" t="inlineStr">
        <is>
          <t>30/03/2026</t>
        </is>
      </c>
      <c r="Z35" t="inlineStr">
        <is>
          <t>Concluído</t>
        </is>
      </c>
      <c r="AA35" t="inlineStr">
        <is>
          <t>Fechada 90-120 dias</t>
        </is>
      </c>
    </row>
    <row r="36">
      <c r="A36">
        <v>34</v>
      </c>
      <c r="B36">
        <v>1</v>
      </c>
      <c r="C36" t="inlineStr">
        <is>
          <t>1.3</t>
        </is>
      </c>
      <c r="D36" t="inlineStr">
        <is>
          <t>OAE Rio dos Bois</t>
        </is>
      </c>
      <c r="F36" t="inlineStr">
        <is>
          <t>EMPA</t>
        </is>
      </c>
      <c r="G36" t="inlineStr">
        <is>
          <t>CLP-003</t>
        </is>
      </c>
      <c r="H36" t="inlineStr">
        <is>
          <t>Protocolo</t>
        </is>
      </c>
      <c r="I36">
        <v>8</v>
      </c>
      <c r="J36" t="inlineStr">
        <is>
          <t>Obras de Arte Especiais</t>
        </is>
      </c>
      <c r="K36" t="inlineStr">
        <is>
          <t>8.5</t>
        </is>
      </c>
      <c r="L36" t="inlineStr">
        <is>
          <t>Estaca</t>
        </is>
      </c>
      <c r="M36" t="inlineStr">
        <is>
          <t>Documental</t>
        </is>
      </c>
      <c r="N36" t="inlineStr">
        <is>
          <t>A documentação foi entregue (Databook), porém em avaliação do OIA. As built não foram entregues. A documentação entregue não comtempla os levantamentos topográficos, FVS..</t>
        </is>
      </c>
      <c r="O36" t="inlineStr">
        <is>
          <t>Tipo B</t>
        </is>
      </c>
      <c r="P36" t="inlineStr">
        <is>
          <t>30+903</t>
        </is>
      </c>
      <c r="Q36" t="inlineStr">
        <is>
          <t>31+045</t>
        </is>
      </c>
      <c r="R36" t="inlineStr">
        <is>
          <t>Aberta</t>
        </is>
      </c>
      <c r="S36" t="inlineStr">
        <is>
          <t>Qualidade/ Topografia</t>
        </is>
      </c>
      <c r="T36" t="inlineStr">
        <is>
          <t>Aline Batista</t>
        </is>
      </c>
      <c r="U36" t="inlineStr">
        <is>
          <t>03/12/2025</t>
        </is>
      </c>
      <c r="V36" t="inlineStr">
        <is>
          <t>18/12/2025</t>
        </is>
      </c>
      <c r="W36">
        <v>174</v>
      </c>
      <c r="AA36" t="inlineStr">
        <is>
          <t>Aberta +120 dias</t>
        </is>
      </c>
      <c r="AB36" t="inlineStr">
        <is>
          <t>EMPA</t>
        </is>
      </c>
      <c r="AC36" t="inlineStr">
        <is>
          <t>Aline</t>
        </is>
      </c>
      <c r="AE36" t="inlineStr">
        <is>
          <t>19/06/2026</t>
        </is>
      </c>
      <c r="AF36" t="inlineStr">
        <is>
          <t>Ata de reunião de RM p/ BK</t>
        </is>
      </c>
    </row>
    <row r="37">
      <c r="A37">
        <v>35</v>
      </c>
      <c r="B37">
        <v>1</v>
      </c>
      <c r="C37" t="inlineStr">
        <is>
          <t>1.3</t>
        </is>
      </c>
      <c r="D37" t="inlineStr">
        <is>
          <t>OAE Rio dos Bois</t>
        </is>
      </c>
      <c r="F37" t="inlineStr">
        <is>
          <t>EMPA</t>
        </is>
      </c>
      <c r="G37" t="inlineStr">
        <is>
          <t>CLP-003</t>
        </is>
      </c>
      <c r="H37" t="inlineStr">
        <is>
          <t>Protocolo</t>
        </is>
      </c>
      <c r="I37">
        <v>8</v>
      </c>
      <c r="J37" t="inlineStr">
        <is>
          <t>Obras de Arte Especiais</t>
        </is>
      </c>
      <c r="K37" t="inlineStr">
        <is>
          <t>8.12</t>
        </is>
      </c>
      <c r="L37" t="inlineStr">
        <is>
          <t>Estaca</t>
        </is>
      </c>
      <c r="M37" t="inlineStr">
        <is>
          <t>Documental</t>
        </is>
      </c>
      <c r="N37" t="inlineStr">
        <is>
          <t>A documentação foi entregue (Databook), porém em avaliação do OIA. As Built não foram entregues. Constam RNC: RNC 03333/25 - Apoio 01 –Estacas 1,2,3,4 da Ponte Rio dos Bois - ResistÊncia de cocnreto abaixo do especificado; RNC 3334/25 - Apoio 01 –Estacas 1,2,3,4 da Ponte Rio dos Bois - inconsistência nos cálculos de resistência dos concretos; RNC 06140/25 - Concreto aplicado no BLOCO AP-02 PONTE RIO DOSBOIS KM 31+095 - Resistência do concreto inferior à especificada;</t>
        </is>
      </c>
      <c r="O37" t="inlineStr">
        <is>
          <t>Tipo B</t>
        </is>
      </c>
      <c r="P37" t="inlineStr">
        <is>
          <t>30+903</t>
        </is>
      </c>
      <c r="Q37" t="inlineStr">
        <is>
          <t>31+045</t>
        </is>
      </c>
      <c r="R37" t="inlineStr">
        <is>
          <t>Encerrado</t>
        </is>
      </c>
      <c r="S37" t="inlineStr">
        <is>
          <t>Qualidade/ Topografia</t>
        </is>
      </c>
      <c r="T37" t="inlineStr">
        <is>
          <t>Aline Batista</t>
        </is>
      </c>
      <c r="U37" t="inlineStr">
        <is>
          <t>03/12/2025</t>
        </is>
      </c>
      <c r="V37" t="inlineStr">
        <is>
          <t>18/12/2025</t>
        </is>
      </c>
      <c r="W37">
        <v>174</v>
      </c>
      <c r="Y37" t="inlineStr">
        <is>
          <t>30/03/2026</t>
        </is>
      </c>
      <c r="Z37" t="inlineStr">
        <is>
          <t>Concluído</t>
        </is>
      </c>
      <c r="AA37" t="inlineStr">
        <is>
          <t>Fechada 90-120 dias</t>
        </is>
      </c>
    </row>
    <row r="38">
      <c r="A38">
        <v>36</v>
      </c>
      <c r="B38">
        <v>1</v>
      </c>
      <c r="C38" t="inlineStr">
        <is>
          <t>1.3</t>
        </is>
      </c>
      <c r="D38" t="inlineStr">
        <is>
          <t>OAE Rio dos Bois</t>
        </is>
      </c>
      <c r="F38" t="inlineStr">
        <is>
          <t>EMPA</t>
        </is>
      </c>
      <c r="G38" t="inlineStr">
        <is>
          <t>CLP-003</t>
        </is>
      </c>
      <c r="H38" t="inlineStr">
        <is>
          <t>Protocolo</t>
        </is>
      </c>
      <c r="I38">
        <v>8</v>
      </c>
      <c r="J38" t="inlineStr">
        <is>
          <t>Obras de Arte Especiais</t>
        </is>
      </c>
      <c r="K38" t="inlineStr">
        <is>
          <t>8.13</t>
        </is>
      </c>
      <c r="L38" t="inlineStr">
        <is>
          <t>Pilar</t>
        </is>
      </c>
      <c r="M38" t="inlineStr">
        <is>
          <t>Documental</t>
        </is>
      </c>
      <c r="N38" t="inlineStr">
        <is>
          <t>A documentação foi entregue (Databook), porém em avaliação do OIA. A documentação entregue não contempla os controles topográficos.</t>
        </is>
      </c>
      <c r="O38" t="inlineStr">
        <is>
          <t>Tipo B</t>
        </is>
      </c>
      <c r="P38" t="inlineStr">
        <is>
          <t>30+903</t>
        </is>
      </c>
      <c r="Q38" t="inlineStr">
        <is>
          <t>31+045</t>
        </is>
      </c>
      <c r="R38" t="inlineStr">
        <is>
          <t>Aberta</t>
        </is>
      </c>
      <c r="S38" t="inlineStr">
        <is>
          <t>Qualidade/ Topografia</t>
        </is>
      </c>
      <c r="T38" t="inlineStr">
        <is>
          <t>Aline Batista</t>
        </is>
      </c>
      <c r="U38" t="inlineStr">
        <is>
          <t>03/12/2025</t>
        </is>
      </c>
      <c r="V38" t="inlineStr">
        <is>
          <t>18/12/2025</t>
        </is>
      </c>
      <c r="W38">
        <v>174</v>
      </c>
      <c r="AA38" t="inlineStr">
        <is>
          <t>Aberta +120 dias</t>
        </is>
      </c>
      <c r="AB38" t="inlineStr">
        <is>
          <t>EMPA</t>
        </is>
      </c>
      <c r="AC38" t="inlineStr">
        <is>
          <t>Aline</t>
        </is>
      </c>
      <c r="AE38" t="inlineStr">
        <is>
          <t>19/06/2026</t>
        </is>
      </c>
      <c r="AF38" t="inlineStr">
        <is>
          <t>Ata de reunião de RM p/ BK</t>
        </is>
      </c>
    </row>
    <row r="39">
      <c r="A39">
        <v>37</v>
      </c>
      <c r="B39">
        <v>1</v>
      </c>
      <c r="C39" t="inlineStr">
        <is>
          <t>1.3</t>
        </is>
      </c>
      <c r="D39" t="inlineStr">
        <is>
          <t>OAE Rio dos Bois</t>
        </is>
      </c>
      <c r="F39" t="inlineStr">
        <is>
          <t>EMPA</t>
        </is>
      </c>
      <c r="G39" t="inlineStr">
        <is>
          <t>CLP-003</t>
        </is>
      </c>
      <c r="H39" t="inlineStr">
        <is>
          <t>Protocolo</t>
        </is>
      </c>
      <c r="I39">
        <v>8</v>
      </c>
      <c r="J39" t="inlineStr">
        <is>
          <t>Obras de Arte Especiais</t>
        </is>
      </c>
      <c r="K39" t="inlineStr">
        <is>
          <t>8.14</t>
        </is>
      </c>
      <c r="L39" t="inlineStr">
        <is>
          <t>Pilar</t>
        </is>
      </c>
      <c r="M39" t="inlineStr">
        <is>
          <t>Documental</t>
        </is>
      </c>
      <c r="N39" t="inlineStr">
        <is>
          <t>A documentação foi entregue (Databook) porém em avaliação do OIA. As Built não foram entregues. Alguns itens da documentação entregue estão inconsistentes e incompletos. Consta RNC 07039/25 - descumprimento co mitem contratual - inconsistências na documentação ; RNC 08961/25 - Descumprimento de item contratual - inconsistência na documentação postada.</t>
        </is>
      </c>
      <c r="O39" t="inlineStr">
        <is>
          <t>Tipo B</t>
        </is>
      </c>
      <c r="P39" t="inlineStr">
        <is>
          <t>30+903</t>
        </is>
      </c>
      <c r="Q39" t="inlineStr">
        <is>
          <t>31+045</t>
        </is>
      </c>
      <c r="R39" t="inlineStr">
        <is>
          <t>Aberta</t>
        </is>
      </c>
      <c r="S39" t="inlineStr">
        <is>
          <t>Qualidade/ Topografia</t>
        </is>
      </c>
      <c r="T39" t="inlineStr">
        <is>
          <t>Aline Batista</t>
        </is>
      </c>
      <c r="U39" t="inlineStr">
        <is>
          <t>03/12/2025</t>
        </is>
      </c>
      <c r="V39" t="inlineStr">
        <is>
          <t>18/12/2025</t>
        </is>
      </c>
      <c r="W39">
        <v>174</v>
      </c>
      <c r="AA39" t="inlineStr">
        <is>
          <t>Aberta +120 dias</t>
        </is>
      </c>
      <c r="AB39" t="inlineStr">
        <is>
          <t>EMPA</t>
        </is>
      </c>
      <c r="AC39" t="inlineStr">
        <is>
          <t>Aline</t>
        </is>
      </c>
      <c r="AE39" t="inlineStr">
        <is>
          <t>19/06/2026</t>
        </is>
      </c>
      <c r="AF39" t="inlineStr">
        <is>
          <t>Ata de reunião de RM p/ BK</t>
        </is>
      </c>
    </row>
    <row r="40">
      <c r="A40">
        <v>38</v>
      </c>
      <c r="B40">
        <v>1</v>
      </c>
      <c r="C40" t="inlineStr">
        <is>
          <t>1.3</t>
        </is>
      </c>
      <c r="D40" t="inlineStr">
        <is>
          <t>OAE Rio dos Bois</t>
        </is>
      </c>
      <c r="F40" t="inlineStr">
        <is>
          <t>EMPA</t>
        </is>
      </c>
      <c r="G40" t="inlineStr">
        <is>
          <t>CLP-003</t>
        </is>
      </c>
      <c r="H40" t="inlineStr">
        <is>
          <t>Protocolo</t>
        </is>
      </c>
      <c r="I40">
        <v>8</v>
      </c>
      <c r="J40" t="inlineStr">
        <is>
          <t>Obras de Arte Especiais</t>
        </is>
      </c>
      <c r="K40" t="inlineStr">
        <is>
          <t>8.17</t>
        </is>
      </c>
      <c r="L40" t="inlineStr">
        <is>
          <t>Pilar</t>
        </is>
      </c>
      <c r="M40" t="inlineStr">
        <is>
          <t>Acabamento do concreto</t>
        </is>
      </c>
      <c r="N40" t="inlineStr">
        <is>
          <t>Melhoria no acabamento do concreto e retirada do parafuso sobressalente. no pilar.</t>
        </is>
      </c>
      <c r="O40" t="inlineStr">
        <is>
          <t>Tipo C</t>
        </is>
      </c>
      <c r="P40" t="inlineStr">
        <is>
          <t>30+903</t>
        </is>
      </c>
      <c r="Q40" t="inlineStr">
        <is>
          <t>31+045</t>
        </is>
      </c>
      <c r="R40" t="inlineStr">
        <is>
          <t>Encerrado</t>
        </is>
      </c>
      <c r="S40" t="inlineStr">
        <is>
          <t>Qualidade/ Topografia</t>
        </is>
      </c>
      <c r="T40" t="inlineStr">
        <is>
          <t>Aline Batista</t>
        </is>
      </c>
      <c r="U40" t="inlineStr">
        <is>
          <t>03/12/2025</t>
        </is>
      </c>
      <c r="V40" t="inlineStr">
        <is>
          <t>02/01/2026</t>
        </is>
      </c>
      <c r="W40">
        <v>159</v>
      </c>
      <c r="Y40" t="inlineStr">
        <is>
          <t>15/05/2026</t>
        </is>
      </c>
      <c r="Z40" t="inlineStr">
        <is>
          <t>Concluído</t>
        </is>
      </c>
      <c r="AA40" t="inlineStr">
        <is>
          <t>Fechada +120 dias</t>
        </is>
      </c>
    </row>
    <row r="41">
      <c r="A41">
        <v>39</v>
      </c>
      <c r="B41">
        <v>1</v>
      </c>
      <c r="C41" t="inlineStr">
        <is>
          <t>1.3</t>
        </is>
      </c>
      <c r="D41" t="inlineStr">
        <is>
          <t>OAE Rio dos Bois</t>
        </is>
      </c>
      <c r="F41" t="inlineStr">
        <is>
          <t>EMPA</t>
        </is>
      </c>
      <c r="G41" t="inlineStr">
        <is>
          <t>CLP-003</t>
        </is>
      </c>
      <c r="H41" t="inlineStr">
        <is>
          <t>Protocolo</t>
        </is>
      </c>
      <c r="I41">
        <v>8</v>
      </c>
      <c r="J41" t="inlineStr">
        <is>
          <t>Obras de Arte Especiais</t>
        </is>
      </c>
      <c r="K41" t="inlineStr">
        <is>
          <t>8.20</t>
        </is>
      </c>
      <c r="L41" t="inlineStr">
        <is>
          <t>Aparelho de apoio</t>
        </is>
      </c>
      <c r="M41" t="inlineStr">
        <is>
          <t>Documental</t>
        </is>
      </c>
      <c r="N41" t="inlineStr">
        <is>
          <t>A documentação foi entregue (Databook), porém em avaliação do OIA. As Buil não foram entregues. A documentação entregue não contempla registros topográficos.</t>
        </is>
      </c>
      <c r="O41" t="inlineStr">
        <is>
          <t>Tipo B</t>
        </is>
      </c>
      <c r="P41" t="inlineStr">
        <is>
          <t>30+903</t>
        </is>
      </c>
      <c r="Q41" t="inlineStr">
        <is>
          <t>31+045</t>
        </is>
      </c>
      <c r="R41" t="inlineStr">
        <is>
          <t>Aberta</t>
        </is>
      </c>
      <c r="S41" t="inlineStr">
        <is>
          <t>Qualidade/ Topografia</t>
        </is>
      </c>
      <c r="T41" t="inlineStr">
        <is>
          <t>Aline Batista</t>
        </is>
      </c>
      <c r="U41" t="inlineStr">
        <is>
          <t>03/12/2025</t>
        </is>
      </c>
      <c r="V41" t="inlineStr">
        <is>
          <t>18/12/2025</t>
        </is>
      </c>
      <c r="W41">
        <v>174</v>
      </c>
      <c r="AA41" t="inlineStr">
        <is>
          <t>Aberta +120 dias</t>
        </is>
      </c>
      <c r="AB41" t="inlineStr">
        <is>
          <t>EMPA</t>
        </is>
      </c>
      <c r="AC41" t="inlineStr">
        <is>
          <t>Aline</t>
        </is>
      </c>
      <c r="AE41" t="inlineStr">
        <is>
          <t>19/06/2026</t>
        </is>
      </c>
      <c r="AF41" t="inlineStr">
        <is>
          <t>Ata de reunião de RM p/ BK</t>
        </is>
      </c>
    </row>
    <row r="42">
      <c r="A42">
        <v>40</v>
      </c>
      <c r="B42">
        <v>1</v>
      </c>
      <c r="C42" t="inlineStr">
        <is>
          <t>1.3</t>
        </is>
      </c>
      <c r="D42" t="inlineStr">
        <is>
          <t>OAE Rio dos Bois</t>
        </is>
      </c>
      <c r="F42" t="inlineStr">
        <is>
          <t>EMPA</t>
        </is>
      </c>
      <c r="G42" t="inlineStr">
        <is>
          <t>CLP-003</t>
        </is>
      </c>
      <c r="H42" t="inlineStr">
        <is>
          <t>Protocolo</t>
        </is>
      </c>
      <c r="I42">
        <v>8</v>
      </c>
      <c r="J42" t="inlineStr">
        <is>
          <t>Obras de Arte Especiais</t>
        </is>
      </c>
      <c r="K42" t="inlineStr">
        <is>
          <t>8.21</t>
        </is>
      </c>
      <c r="L42" t="inlineStr">
        <is>
          <t>Pilar</t>
        </is>
      </c>
      <c r="M42" t="inlineStr">
        <is>
          <t>Documental</t>
        </is>
      </c>
      <c r="N42" t="inlineStr">
        <is>
          <t>A documentação foi entregue (Databook), porém em avaliação do OIA. As Built não foram entregues. A documentação entregue não contempla registros de levantamento topográfico.</t>
        </is>
      </c>
      <c r="O42" t="inlineStr">
        <is>
          <t>Tipo B</t>
        </is>
      </c>
      <c r="P42" t="inlineStr">
        <is>
          <t>30+903</t>
        </is>
      </c>
      <c r="Q42" t="inlineStr">
        <is>
          <t>31+045</t>
        </is>
      </c>
      <c r="R42" t="inlineStr">
        <is>
          <t>Aberta</t>
        </is>
      </c>
      <c r="S42" t="inlineStr">
        <is>
          <t>Qualidade/ Topografia</t>
        </is>
      </c>
      <c r="T42" t="inlineStr">
        <is>
          <t>Aline Batista</t>
        </is>
      </c>
      <c r="U42" t="inlineStr">
        <is>
          <t>03/12/2025</t>
        </is>
      </c>
      <c r="V42" t="inlineStr">
        <is>
          <t>18/12/2025</t>
        </is>
      </c>
      <c r="W42">
        <v>174</v>
      </c>
      <c r="AA42" t="inlineStr">
        <is>
          <t>Aberta +120 dias</t>
        </is>
      </c>
      <c r="AB42" t="inlineStr">
        <is>
          <t>EMPA</t>
        </is>
      </c>
      <c r="AC42" t="inlineStr">
        <is>
          <t>Aline</t>
        </is>
      </c>
      <c r="AE42" t="inlineStr">
        <is>
          <t>19/06/2026</t>
        </is>
      </c>
      <c r="AF42" t="inlineStr">
        <is>
          <t>Ata de reunião de RM p/ BK</t>
        </is>
      </c>
    </row>
    <row r="43">
      <c r="A43">
        <v>41</v>
      </c>
      <c r="B43">
        <v>1</v>
      </c>
      <c r="C43" t="inlineStr">
        <is>
          <t>1.3</t>
        </is>
      </c>
      <c r="D43" t="inlineStr">
        <is>
          <t>OAE Rio dos Bois</t>
        </is>
      </c>
      <c r="F43" t="inlineStr">
        <is>
          <t>EMPA</t>
        </is>
      </c>
      <c r="G43" t="inlineStr">
        <is>
          <t>CLP-003</t>
        </is>
      </c>
      <c r="H43" t="inlineStr">
        <is>
          <t>Protocolo</t>
        </is>
      </c>
      <c r="I43">
        <v>8</v>
      </c>
      <c r="J43" t="inlineStr">
        <is>
          <t>Obras de Arte Especiais</t>
        </is>
      </c>
      <c r="K43" t="inlineStr">
        <is>
          <t>8.22</t>
        </is>
      </c>
      <c r="L43" t="inlineStr">
        <is>
          <t>Pilar</t>
        </is>
      </c>
      <c r="M43" t="inlineStr">
        <is>
          <t>Documental</t>
        </is>
      </c>
      <c r="N43" t="inlineStr">
        <is>
          <t>A documentação foi entregue (Databook), ´porém em avaliação do OIA. As Built não foram entregues. Consta RNC 07039/25 - descumprimento com item contratual. - inconsistências na documentação entregue; RNC 08961/25 - descumprimento com item contratual - inconsistências na documentação entregue.</t>
        </is>
      </c>
      <c r="O43" t="inlineStr">
        <is>
          <t>Tipo B</t>
        </is>
      </c>
      <c r="P43" t="inlineStr">
        <is>
          <t>30+903</t>
        </is>
      </c>
      <c r="Q43" t="inlineStr">
        <is>
          <t>31+045</t>
        </is>
      </c>
      <c r="R43" t="inlineStr">
        <is>
          <t>Aberta</t>
        </is>
      </c>
      <c r="S43" t="inlineStr">
        <is>
          <t>Qualidade/ Topografia</t>
        </is>
      </c>
      <c r="T43" t="inlineStr">
        <is>
          <t>Aline Batista</t>
        </is>
      </c>
      <c r="U43" t="inlineStr">
        <is>
          <t>03/12/2025</t>
        </is>
      </c>
      <c r="V43" t="inlineStr">
        <is>
          <t>18/12/2025</t>
        </is>
      </c>
      <c r="W43">
        <v>174</v>
      </c>
      <c r="AA43" t="inlineStr">
        <is>
          <t>Aberta +120 dias</t>
        </is>
      </c>
      <c r="AB43" t="inlineStr">
        <is>
          <t>EMPA</t>
        </is>
      </c>
      <c r="AC43" t="inlineStr">
        <is>
          <t>Aline</t>
        </is>
      </c>
      <c r="AE43" t="inlineStr">
        <is>
          <t>19/06/2026</t>
        </is>
      </c>
      <c r="AF43" t="inlineStr">
        <is>
          <t>Ata de reunião de RM p/ BK</t>
        </is>
      </c>
    </row>
    <row r="44">
      <c r="A44">
        <v>42</v>
      </c>
      <c r="B44">
        <v>1</v>
      </c>
      <c r="C44" t="inlineStr">
        <is>
          <t>1.3</t>
        </is>
      </c>
      <c r="D44" t="inlineStr">
        <is>
          <t>OAE Rio dos Bois</t>
        </is>
      </c>
      <c r="F44" t="inlineStr">
        <is>
          <t>EMPA</t>
        </is>
      </c>
      <c r="G44" t="inlineStr">
        <is>
          <t>CLP-003</t>
        </is>
      </c>
      <c r="H44" t="inlineStr">
        <is>
          <t>Protocolo</t>
        </is>
      </c>
      <c r="I44">
        <v>8</v>
      </c>
      <c r="J44" t="inlineStr">
        <is>
          <t>Obras de Arte Especiais</t>
        </is>
      </c>
      <c r="K44" t="inlineStr">
        <is>
          <t>8.24</t>
        </is>
      </c>
      <c r="L44" t="inlineStr">
        <is>
          <t>Lajes</t>
        </is>
      </c>
      <c r="M44" t="inlineStr">
        <is>
          <t>Documental</t>
        </is>
      </c>
      <c r="N44" t="inlineStr">
        <is>
          <t>A documentação foi entregue (Databook), porém em avaliação do OIA. As Built não foram entregues. Alguns itens documentaisapresentados estão inconsistentes e incompletos. RNC 07039/25 - Descumprimento om item contratual - inconsistência na documentação entregue; RNC 8961/25 - Descumprimento com item contratual - inconsistência na documentação entrregue.</t>
        </is>
      </c>
      <c r="O44" t="inlineStr">
        <is>
          <t>Tipo B</t>
        </is>
      </c>
      <c r="P44" t="inlineStr">
        <is>
          <t>30+903</t>
        </is>
      </c>
      <c r="Q44" t="inlineStr">
        <is>
          <t>31+045</t>
        </is>
      </c>
      <c r="R44" t="inlineStr">
        <is>
          <t>Aberta</t>
        </is>
      </c>
      <c r="S44" t="inlineStr">
        <is>
          <t>Qualidade/ Topografia</t>
        </is>
      </c>
      <c r="T44" t="inlineStr">
        <is>
          <t>Aline Batista</t>
        </is>
      </c>
      <c r="U44" t="inlineStr">
        <is>
          <t>03/12/2025</t>
        </is>
      </c>
      <c r="V44" t="inlineStr">
        <is>
          <t>18/12/2025</t>
        </is>
      </c>
      <c r="W44">
        <v>174</v>
      </c>
      <c r="AA44" t="inlineStr">
        <is>
          <t>Aberta +120 dias</t>
        </is>
      </c>
      <c r="AB44" t="inlineStr">
        <is>
          <t>EMPA</t>
        </is>
      </c>
      <c r="AC44" t="inlineStr">
        <is>
          <t>Aline</t>
        </is>
      </c>
      <c r="AE44" t="inlineStr">
        <is>
          <t>19/06/2026</t>
        </is>
      </c>
      <c r="AF44" t="inlineStr">
        <is>
          <t>Ata de reunião de RM p/ BK</t>
        </is>
      </c>
    </row>
    <row r="45">
      <c r="A45">
        <v>43</v>
      </c>
      <c r="B45">
        <v>1</v>
      </c>
      <c r="C45" t="inlineStr">
        <is>
          <t>1.3</t>
        </is>
      </c>
      <c r="D45" t="inlineStr">
        <is>
          <t>OAE Rio dos Bois</t>
        </is>
      </c>
      <c r="F45" t="inlineStr">
        <is>
          <t>EMPA</t>
        </is>
      </c>
      <c r="G45" t="inlineStr">
        <is>
          <t>CLP-003</t>
        </is>
      </c>
      <c r="H45" t="inlineStr">
        <is>
          <t>Protocolo</t>
        </is>
      </c>
      <c r="I45">
        <v>8</v>
      </c>
      <c r="J45" t="inlineStr">
        <is>
          <t>Obras de Arte Especiais</t>
        </is>
      </c>
      <c r="K45" t="inlineStr">
        <is>
          <t>8.32</t>
        </is>
      </c>
      <c r="L45" t="inlineStr">
        <is>
          <t>Buzinote</t>
        </is>
      </c>
      <c r="M45" t="inlineStr">
        <is>
          <t>Execuçao divergente do projeto</t>
        </is>
      </c>
      <c r="N45" t="inlineStr">
        <is>
          <t>Buzinotes instalados em desconformidade com projeto(Projeto: Mín 50 mm abaixo da face inferior da laje + o bico da gaita)</t>
        </is>
      </c>
      <c r="O45" t="inlineStr">
        <is>
          <t>Tipo A</t>
        </is>
      </c>
      <c r="P45" t="inlineStr">
        <is>
          <t>30+903</t>
        </is>
      </c>
      <c r="Q45" t="inlineStr">
        <is>
          <t>31+045</t>
        </is>
      </c>
      <c r="R45" t="inlineStr">
        <is>
          <t>Encerrado</t>
        </is>
      </c>
      <c r="S45" t="inlineStr">
        <is>
          <t>Qualidade/ Topografia</t>
        </is>
      </c>
      <c r="T45" t="inlineStr">
        <is>
          <t>Aline Batista</t>
        </is>
      </c>
      <c r="U45" t="inlineStr">
        <is>
          <t>03/12/2025</t>
        </is>
      </c>
      <c r="V45" t="inlineStr">
        <is>
          <t>10/12/2025</t>
        </is>
      </c>
      <c r="W45">
        <v>182</v>
      </c>
      <c r="Y45" t="inlineStr">
        <is>
          <t>30/03/2026</t>
        </is>
      </c>
      <c r="Z45" t="inlineStr">
        <is>
          <t>Concluído</t>
        </is>
      </c>
      <c r="AA45" t="inlineStr">
        <is>
          <t>Fechada 90-120 dias</t>
        </is>
      </c>
    </row>
    <row r="46">
      <c r="A46">
        <v>44</v>
      </c>
      <c r="B46">
        <v>1</v>
      </c>
      <c r="C46" t="inlineStr">
        <is>
          <t>1.3</t>
        </is>
      </c>
      <c r="D46" t="inlineStr">
        <is>
          <t>OAE Rio dos Bois</t>
        </is>
      </c>
      <c r="F46" t="inlineStr">
        <is>
          <t>EMPA</t>
        </is>
      </c>
      <c r="G46" t="inlineStr">
        <is>
          <t>CLP-003</t>
        </is>
      </c>
      <c r="H46" t="inlineStr">
        <is>
          <t>Protocolo</t>
        </is>
      </c>
      <c r="I46">
        <v>8</v>
      </c>
      <c r="J46" t="inlineStr">
        <is>
          <t>Obras de Arte Especiais</t>
        </is>
      </c>
      <c r="K46" t="inlineStr">
        <is>
          <t>8.35</t>
        </is>
      </c>
      <c r="L46" t="inlineStr">
        <is>
          <t>Guarda Corpo</t>
        </is>
      </c>
      <c r="M46" t="inlineStr">
        <is>
          <t>Documental</t>
        </is>
      </c>
      <c r="N46" t="inlineStr">
        <is>
          <t>Os guarda corpo foram instalados com alguns parafusos curtos, com desalinhamentos e necessitando em alguns pontos de pintura. Consta RNC 08586/25 - Desvio no processo de fabricação dos guarda corpo</t>
        </is>
      </c>
      <c r="O46" t="inlineStr">
        <is>
          <t>Tipo A</t>
        </is>
      </c>
      <c r="P46" t="inlineStr">
        <is>
          <t>30+903</t>
        </is>
      </c>
      <c r="Q46" t="inlineStr">
        <is>
          <t>31+045</t>
        </is>
      </c>
      <c r="R46" t="inlineStr">
        <is>
          <t>Aberta</t>
        </is>
      </c>
      <c r="S46" t="inlineStr">
        <is>
          <t>Qualidade/ Topografia</t>
        </is>
      </c>
      <c r="T46" t="inlineStr">
        <is>
          <t>Aline Batista</t>
        </is>
      </c>
      <c r="U46" t="inlineStr">
        <is>
          <t>03/12/2025</t>
        </is>
      </c>
      <c r="V46" t="inlineStr">
        <is>
          <t>10/12/2025</t>
        </is>
      </c>
      <c r="W46">
        <v>182</v>
      </c>
      <c r="AA46" t="inlineStr">
        <is>
          <t>Aberta +120 dias</t>
        </is>
      </c>
      <c r="AB46" t="inlineStr">
        <is>
          <t>EMPA</t>
        </is>
      </c>
      <c r="AC46" t="inlineStr">
        <is>
          <t>Aline</t>
        </is>
      </c>
      <c r="AE46" t="inlineStr">
        <is>
          <t>19/06/2026</t>
        </is>
      </c>
      <c r="AF46" t="inlineStr">
        <is>
          <t>Ata de reunião de RM p/ BK</t>
        </is>
      </c>
    </row>
    <row r="47">
      <c r="A47">
        <v>45</v>
      </c>
      <c r="B47">
        <v>1</v>
      </c>
      <c r="C47" t="inlineStr">
        <is>
          <t>1.3</t>
        </is>
      </c>
      <c r="D47" t="inlineStr">
        <is>
          <t>OAE Rio dos Bois</t>
        </is>
      </c>
      <c r="F47" t="inlineStr">
        <is>
          <t>EMPA</t>
        </is>
      </c>
      <c r="G47" t="inlineStr">
        <is>
          <t>CLP-003</t>
        </is>
      </c>
      <c r="H47" t="inlineStr">
        <is>
          <t>Protocolo</t>
        </is>
      </c>
      <c r="I47">
        <v>8</v>
      </c>
      <c r="J47" t="inlineStr">
        <is>
          <t>Obras de Arte Especiais</t>
        </is>
      </c>
      <c r="K47" t="inlineStr">
        <is>
          <t>8.37</t>
        </is>
      </c>
      <c r="L47" t="inlineStr">
        <is>
          <t>Solo Cimento</t>
        </is>
      </c>
      <c r="M47" t="inlineStr">
        <is>
          <t>Documental</t>
        </is>
      </c>
      <c r="N47" t="inlineStr">
        <is>
          <t>A documentação foi entregue (Databook), porém em avaliação do OIA. As Built não foram entregues. Consta RNC aberta: RNC 08267/25 - Solo-cimento - Divergências de informações em ficha de ensaio- Durante ensaio de in situ em solo cimento realizado no Encontro 01 da Ponte sobre o Rio dos Bois no km 30+900 foi verificado divergência de informação do número da camada ensaiada entre a ficha do ensaio de compactação (14ª camada) e a ficha do ensaio de densidade in situ (16ª camada). Além disso a ficha do ensaio de compactação (REG 2792) apresenta no campo de observações um projeto e uma especificação que não estão relacionados com a atividade em questão.</t>
        </is>
      </c>
      <c r="O47" t="inlineStr">
        <is>
          <t>Tipo B</t>
        </is>
      </c>
      <c r="P47" t="inlineStr">
        <is>
          <t>30+903</t>
        </is>
      </c>
      <c r="Q47" t="inlineStr">
        <is>
          <t>31+045</t>
        </is>
      </c>
      <c r="R47" t="inlineStr">
        <is>
          <t>Encerrado</t>
        </is>
      </c>
      <c r="S47" t="inlineStr">
        <is>
          <t>Qualidade/ Topografia</t>
        </is>
      </c>
      <c r="T47" t="inlineStr">
        <is>
          <t>Aline Batista</t>
        </is>
      </c>
      <c r="U47" t="inlineStr">
        <is>
          <t>03/12/2025</t>
        </is>
      </c>
      <c r="V47" t="inlineStr">
        <is>
          <t>18/12/2025</t>
        </is>
      </c>
      <c r="W47">
        <v>174</v>
      </c>
      <c r="Y47" t="inlineStr">
        <is>
          <t>30/03/2026</t>
        </is>
      </c>
      <c r="Z47" t="inlineStr">
        <is>
          <t>Concluído</t>
        </is>
      </c>
      <c r="AA47" t="inlineStr">
        <is>
          <t>Fechada 90-120 dias</t>
        </is>
      </c>
    </row>
    <row r="48">
      <c r="A48">
        <v>46</v>
      </c>
      <c r="B48">
        <v>1</v>
      </c>
      <c r="C48" t="inlineStr">
        <is>
          <t>1.3</t>
        </is>
      </c>
      <c r="D48" t="inlineStr">
        <is>
          <t>OAE Rio dos Bois</t>
        </is>
      </c>
      <c r="F48" t="inlineStr">
        <is>
          <t>EMPA</t>
        </is>
      </c>
      <c r="G48" t="inlineStr">
        <is>
          <t>CLP-003</t>
        </is>
      </c>
      <c r="H48" t="inlineStr">
        <is>
          <t>Protocolo</t>
        </is>
      </c>
      <c r="I48">
        <v>8</v>
      </c>
      <c r="J48" t="inlineStr">
        <is>
          <t>Obras de Arte Especiais</t>
        </is>
      </c>
      <c r="K48" t="inlineStr">
        <is>
          <t>8.38</t>
        </is>
      </c>
      <c r="L48" t="inlineStr">
        <is>
          <t>Lajes</t>
        </is>
      </c>
      <c r="M48" t="inlineStr">
        <is>
          <t>Impossibilidade de inspeção</t>
        </is>
      </c>
      <c r="N48" t="inlineStr">
        <is>
          <t>Impossibilidade de inspeção das juntas devido a colocação de material para proteção.</t>
        </is>
      </c>
      <c r="O48" t="inlineStr">
        <is>
          <t>Tipo A</t>
        </is>
      </c>
      <c r="P48" t="inlineStr">
        <is>
          <t>30+903</t>
        </is>
      </c>
      <c r="Q48" t="inlineStr">
        <is>
          <t>31+045</t>
        </is>
      </c>
      <c r="R48" t="inlineStr">
        <is>
          <t>Aberta</t>
        </is>
      </c>
      <c r="S48" t="inlineStr">
        <is>
          <t>Qualidade/ Topografia</t>
        </is>
      </c>
      <c r="T48" t="inlineStr">
        <is>
          <t>Aline Batista</t>
        </is>
      </c>
      <c r="U48" t="inlineStr">
        <is>
          <t>03/12/2025</t>
        </is>
      </c>
      <c r="V48" t="inlineStr">
        <is>
          <t>10/12/2025</t>
        </is>
      </c>
      <c r="W48">
        <v>182</v>
      </c>
      <c r="AA48" t="inlineStr">
        <is>
          <t>Aberta +120 dias</t>
        </is>
      </c>
      <c r="AB48" t="inlineStr">
        <is>
          <t>EMPA</t>
        </is>
      </c>
      <c r="AC48" t="inlineStr">
        <is>
          <t>Aline</t>
        </is>
      </c>
      <c r="AD48" t="inlineStr">
        <is>
          <t>17/08/2026</t>
        </is>
      </c>
      <c r="AE48" t="inlineStr">
        <is>
          <t>28/08/2026</t>
        </is>
      </c>
      <c r="AF48" t="inlineStr">
        <is>
          <t>Prazo Premissa VALE</t>
        </is>
      </c>
    </row>
    <row r="49">
      <c r="A49">
        <v>47</v>
      </c>
      <c r="B49">
        <v>1</v>
      </c>
      <c r="C49" t="inlineStr">
        <is>
          <t>1.3</t>
        </is>
      </c>
      <c r="D49" t="inlineStr">
        <is>
          <t>OAE Rio dos Bois</t>
        </is>
      </c>
      <c r="F49" t="inlineStr">
        <is>
          <t>EMPA</t>
        </is>
      </c>
      <c r="G49" t="inlineStr">
        <is>
          <t>CLP-003</t>
        </is>
      </c>
      <c r="H49" t="inlineStr">
        <is>
          <t>Protocolo</t>
        </is>
      </c>
      <c r="I49">
        <v>8</v>
      </c>
      <c r="J49" t="inlineStr">
        <is>
          <t>Obras de Arte Especiais</t>
        </is>
      </c>
      <c r="K49" t="inlineStr">
        <is>
          <t>8.40</t>
        </is>
      </c>
      <c r="L49" t="inlineStr">
        <is>
          <t>Lajes</t>
        </is>
      </c>
      <c r="M49" t="inlineStr">
        <is>
          <t>Documental</t>
        </is>
      </c>
      <c r="N49" t="inlineStr">
        <is>
          <t>A documentação foi entregue (Databook), porém em avaliação do OIA. As Built não foram entregues.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is>
      </c>
      <c r="O49" t="inlineStr">
        <is>
          <t>Tipo B</t>
        </is>
      </c>
      <c r="P49" t="inlineStr">
        <is>
          <t>30+903</t>
        </is>
      </c>
      <c r="Q49" t="inlineStr">
        <is>
          <t>31+045</t>
        </is>
      </c>
      <c r="R49" t="inlineStr">
        <is>
          <t>Aberta</t>
        </is>
      </c>
      <c r="S49" t="inlineStr">
        <is>
          <t>Qualidade/ Topografia</t>
        </is>
      </c>
      <c r="T49" t="inlineStr">
        <is>
          <t>Aline Batista</t>
        </is>
      </c>
      <c r="U49" t="inlineStr">
        <is>
          <t>03/12/2025</t>
        </is>
      </c>
      <c r="V49" t="inlineStr">
        <is>
          <t>18/12/2025</t>
        </is>
      </c>
      <c r="W49">
        <v>174</v>
      </c>
      <c r="AA49" t="inlineStr">
        <is>
          <t>Aberta +120 dias</t>
        </is>
      </c>
      <c r="AB49" t="inlineStr">
        <is>
          <t>EMPA</t>
        </is>
      </c>
      <c r="AC49" t="inlineStr">
        <is>
          <t>Aline</t>
        </is>
      </c>
      <c r="AE49" t="inlineStr">
        <is>
          <t>19/06/2026</t>
        </is>
      </c>
      <c r="AF49" t="inlineStr">
        <is>
          <t>Ata de reunião de RM p/ BK</t>
        </is>
      </c>
    </row>
    <row r="50">
      <c r="A50">
        <v>48</v>
      </c>
      <c r="B50">
        <v>1</v>
      </c>
      <c r="C50" t="inlineStr">
        <is>
          <t>1.3</t>
        </is>
      </c>
      <c r="D50" t="inlineStr">
        <is>
          <t>OAE Rio dos Bois</t>
        </is>
      </c>
      <c r="F50" t="inlineStr">
        <is>
          <t>EMPA</t>
        </is>
      </c>
      <c r="G50" t="inlineStr">
        <is>
          <t>CLP-003</t>
        </is>
      </c>
      <c r="H50" t="inlineStr">
        <is>
          <t>Protocolo</t>
        </is>
      </c>
      <c r="I50">
        <v>8</v>
      </c>
      <c r="J50" t="inlineStr">
        <is>
          <t>Obras de Arte Especiais</t>
        </is>
      </c>
      <c r="K50" t="inlineStr">
        <is>
          <t>8.43</t>
        </is>
      </c>
      <c r="L50" t="inlineStr">
        <is>
          <t>As Built</t>
        </is>
      </c>
      <c r="M50" t="inlineStr">
        <is>
          <t>Documental</t>
        </is>
      </c>
      <c r="N50" t="inlineStr">
        <is>
          <t>A documentação foi entregue (Databook), porém em avaliação do OIA. As Buil não foram entregues. A documentação entregue não contempla dados de liberação topográfica do talude. Foi constatado Processos erosivos no Encontro 1 e falta de enrocamneto no lado esquerdo, sendo necessário a conformação do material e complemento de hidrossemeadura.</t>
        </is>
      </c>
      <c r="O50" t="inlineStr">
        <is>
          <t>Tipo A</t>
        </is>
      </c>
      <c r="P50" t="inlineStr">
        <is>
          <t>30+903</t>
        </is>
      </c>
      <c r="Q50" t="inlineStr">
        <is>
          <t>31+045</t>
        </is>
      </c>
      <c r="R50" t="inlineStr">
        <is>
          <t>Encerrado</t>
        </is>
      </c>
      <c r="S50" t="inlineStr">
        <is>
          <t>Qualidade/ Topografia</t>
        </is>
      </c>
      <c r="T50" t="inlineStr">
        <is>
          <t>Aline Batista</t>
        </is>
      </c>
      <c r="U50" t="inlineStr">
        <is>
          <t>03/12/2025</t>
        </is>
      </c>
      <c r="V50" t="inlineStr">
        <is>
          <t>10/12/2025</t>
        </is>
      </c>
      <c r="W50">
        <v>182</v>
      </c>
      <c r="Y50" t="inlineStr">
        <is>
          <t>15/05/2026</t>
        </is>
      </c>
      <c r="Z50" t="inlineStr">
        <is>
          <t>Concluído</t>
        </is>
      </c>
      <c r="AA50" t="inlineStr">
        <is>
          <t>Fechada +120 dias</t>
        </is>
      </c>
    </row>
    <row r="51">
      <c r="A51">
        <v>49</v>
      </c>
      <c r="B51">
        <v>1</v>
      </c>
      <c r="C51" t="inlineStr">
        <is>
          <t>1.3</t>
        </is>
      </c>
      <c r="D51" t="inlineStr">
        <is>
          <t>OAE Rio dos Bois</t>
        </is>
      </c>
      <c r="F51" t="inlineStr">
        <is>
          <t>EMPA</t>
        </is>
      </c>
      <c r="G51" t="inlineStr">
        <is>
          <t>CLP-003</t>
        </is>
      </c>
      <c r="H51" t="inlineStr">
        <is>
          <t>Protocolo</t>
        </is>
      </c>
      <c r="I51">
        <v>8</v>
      </c>
      <c r="J51" t="inlineStr">
        <is>
          <t>Obras de Arte Especiais</t>
        </is>
      </c>
      <c r="K51" t="inlineStr">
        <is>
          <t>8.44</t>
        </is>
      </c>
      <c r="L51" t="inlineStr">
        <is>
          <t>Solos</t>
        </is>
      </c>
      <c r="M51" t="inlineStr">
        <is>
          <t>Documental</t>
        </is>
      </c>
      <c r="N51" t="inlineStr">
        <is>
          <t>A documentação foi entregue (Databook), porém em avaliação do OIA. As Built não foram entregues. A documentação apresentada inconsistências e incompleta. Constam RNCs abertas. RNC 07039/25 - descumprimento com item contratual -, foram constatadas inconsistências na documentação postada; RNC 09120/25 - Descumprimento de item contratual - Inconsistência na documentação postada.</t>
        </is>
      </c>
      <c r="O51" t="inlineStr">
        <is>
          <t>Tipo B</t>
        </is>
      </c>
      <c r="P51" t="inlineStr">
        <is>
          <t>30+903</t>
        </is>
      </c>
      <c r="Q51" t="inlineStr">
        <is>
          <t>31+045</t>
        </is>
      </c>
      <c r="R51" t="inlineStr">
        <is>
          <t>Encerrado</t>
        </is>
      </c>
      <c r="S51" t="inlineStr">
        <is>
          <t>Qualidade/ Topografia</t>
        </is>
      </c>
      <c r="T51" t="inlineStr">
        <is>
          <t>Aline Batista</t>
        </is>
      </c>
      <c r="U51" t="inlineStr">
        <is>
          <t>03/12/2025</t>
        </is>
      </c>
      <c r="V51" t="inlineStr">
        <is>
          <t>18/12/2025</t>
        </is>
      </c>
      <c r="W51">
        <v>174</v>
      </c>
      <c r="Y51" t="inlineStr">
        <is>
          <t>30/03/2026</t>
        </is>
      </c>
      <c r="Z51" t="inlineStr">
        <is>
          <t>Concluído</t>
        </is>
      </c>
      <c r="AA51" t="inlineStr">
        <is>
          <t>Fechada 90-120 dias</t>
        </is>
      </c>
    </row>
    <row r="52">
      <c r="A52">
        <v>50</v>
      </c>
      <c r="B52">
        <v>1</v>
      </c>
      <c r="C52" t="inlineStr">
        <is>
          <t>1.3</t>
        </is>
      </c>
      <c r="D52" t="inlineStr">
        <is>
          <t>OAE Rio dos Bois</t>
        </is>
      </c>
      <c r="F52" t="inlineStr">
        <is>
          <t>EMPA</t>
        </is>
      </c>
      <c r="G52" t="inlineStr">
        <is>
          <t>CLP-003</t>
        </is>
      </c>
      <c r="H52" t="inlineStr">
        <is>
          <t>Protocolo</t>
        </is>
      </c>
      <c r="I52">
        <v>8</v>
      </c>
      <c r="J52" t="inlineStr">
        <is>
          <t>Obras de Arte Especiais</t>
        </is>
      </c>
      <c r="K52" t="inlineStr">
        <is>
          <t>8.45</t>
        </is>
      </c>
      <c r="L52" t="inlineStr">
        <is>
          <t>Lajes</t>
        </is>
      </c>
      <c r="M52" t="inlineStr">
        <is>
          <t>Documental</t>
        </is>
      </c>
      <c r="N52" t="inlineStr">
        <is>
          <t>A documentação foi entregue (Databook), porém em avaliação do OIA. As Built não foram entregues. Constam RNCs abertas: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is>
      </c>
      <c r="O52" t="inlineStr">
        <is>
          <t>Tipo B</t>
        </is>
      </c>
      <c r="P52" t="inlineStr">
        <is>
          <t>30+903</t>
        </is>
      </c>
      <c r="Q52" t="inlineStr">
        <is>
          <t>31+045</t>
        </is>
      </c>
      <c r="R52" t="inlineStr">
        <is>
          <t>Aberta</t>
        </is>
      </c>
      <c r="S52" t="inlineStr">
        <is>
          <t>Qualidade/ Topografia</t>
        </is>
      </c>
      <c r="T52" t="inlineStr">
        <is>
          <t>Aline Batista</t>
        </is>
      </c>
      <c r="U52" t="inlineStr">
        <is>
          <t>03/12/2025</t>
        </is>
      </c>
      <c r="V52" t="inlineStr">
        <is>
          <t>18/12/2025</t>
        </is>
      </c>
      <c r="W52">
        <v>174</v>
      </c>
      <c r="AA52" t="inlineStr">
        <is>
          <t>Aberta +120 dias</t>
        </is>
      </c>
      <c r="AB52" t="inlineStr">
        <is>
          <t>EMPA</t>
        </is>
      </c>
      <c r="AC52" t="inlineStr">
        <is>
          <t>Aline</t>
        </is>
      </c>
      <c r="AE52" t="inlineStr">
        <is>
          <t>19/06/2026</t>
        </is>
      </c>
      <c r="AF52" t="inlineStr">
        <is>
          <t>Ata de reunião de RM p/ BK</t>
        </is>
      </c>
    </row>
    <row r="53">
      <c r="A53">
        <v>51</v>
      </c>
      <c r="B53">
        <v>1</v>
      </c>
      <c r="C53" t="inlineStr">
        <is>
          <t>1.3</t>
        </is>
      </c>
      <c r="D53" t="inlineStr">
        <is>
          <t>OAE Rio dos Bois</t>
        </is>
      </c>
      <c r="F53" t="inlineStr">
        <is>
          <t>EMPA</t>
        </is>
      </c>
      <c r="G53" t="inlineStr">
        <is>
          <t>CLP-003</t>
        </is>
      </c>
      <c r="H53" t="inlineStr">
        <is>
          <t>Protocolo</t>
        </is>
      </c>
      <c r="I53">
        <v>8</v>
      </c>
      <c r="J53" t="inlineStr">
        <is>
          <t>Obras de Arte Especiais</t>
        </is>
      </c>
      <c r="K53" t="inlineStr">
        <is>
          <t>8.47</t>
        </is>
      </c>
      <c r="L53" t="inlineStr">
        <is>
          <t>Guarda Corpo</t>
        </is>
      </c>
      <c r="M53" t="inlineStr">
        <is>
          <t>Documental</t>
        </is>
      </c>
      <c r="N53" t="inlineStr">
        <is>
          <t>A documentação foi entregue (Databook), porém em avaliação do OIA. As Built não foram entregues. Consta RNC em aberto: RNC 08586/25 - Desvio no processo de fabricação- Guarda corpo. Em inspeção visual foram constatados que alguns pontos de fixação do guarda corpo, os parafusos encontram-se curtos, desalinhados e algumas avarias na pintura.</t>
        </is>
      </c>
      <c r="O53" t="inlineStr">
        <is>
          <t>Tipo A</t>
        </is>
      </c>
      <c r="P53" t="inlineStr">
        <is>
          <t>30+903</t>
        </is>
      </c>
      <c r="Q53" t="inlineStr">
        <is>
          <t>31+045</t>
        </is>
      </c>
      <c r="R53" t="inlineStr">
        <is>
          <t>Aberta</t>
        </is>
      </c>
      <c r="S53" t="inlineStr">
        <is>
          <t>Qualidade/ Topografia</t>
        </is>
      </c>
      <c r="T53" t="inlineStr">
        <is>
          <t>Aline Batista</t>
        </is>
      </c>
      <c r="U53" t="inlineStr">
        <is>
          <t>03/12/2025</t>
        </is>
      </c>
      <c r="V53" t="inlineStr">
        <is>
          <t>10/12/2025</t>
        </is>
      </c>
      <c r="W53">
        <v>182</v>
      </c>
      <c r="AA53" t="inlineStr">
        <is>
          <t>Aberta +120 dias</t>
        </is>
      </c>
      <c r="AB53" t="inlineStr">
        <is>
          <t>EMPA</t>
        </is>
      </c>
      <c r="AC53" t="inlineStr">
        <is>
          <t>Aline</t>
        </is>
      </c>
      <c r="AE53" t="inlineStr">
        <is>
          <t>19/06/2026</t>
        </is>
      </c>
      <c r="AF53" t="inlineStr">
        <is>
          <t>Ata de reunião de RM p/ BK</t>
        </is>
      </c>
    </row>
    <row r="54">
      <c r="A54">
        <v>52</v>
      </c>
      <c r="B54">
        <v>1</v>
      </c>
      <c r="C54" t="inlineStr">
        <is>
          <t>1.3</t>
        </is>
      </c>
      <c r="D54" t="inlineStr">
        <is>
          <t>OAE Rio dos Bois</t>
        </is>
      </c>
      <c r="F54" t="inlineStr">
        <is>
          <t>EMPA</t>
        </is>
      </c>
      <c r="G54" t="inlineStr">
        <is>
          <t>CLP-003</t>
        </is>
      </c>
      <c r="H54" t="inlineStr">
        <is>
          <t>Protocolo</t>
        </is>
      </c>
      <c r="I54">
        <v>8</v>
      </c>
      <c r="J54" t="inlineStr">
        <is>
          <t>Obras de Arte Especiais</t>
        </is>
      </c>
      <c r="K54" t="inlineStr">
        <is>
          <t>8.49</t>
        </is>
      </c>
      <c r="L54" t="inlineStr">
        <is>
          <t>Tubos de Concreto</t>
        </is>
      </c>
      <c r="M54" t="inlineStr">
        <is>
          <t>Documental</t>
        </is>
      </c>
      <c r="N54" t="inlineStr">
        <is>
          <t>A documentação foi entregue (Databook), porém em avaliação do OIA. As Built não foram entregues. Não consta na documentação entregue FVS do recebimento dos pré-moldados.</t>
        </is>
      </c>
      <c r="O54" t="inlineStr">
        <is>
          <t>Tipo B</t>
        </is>
      </c>
      <c r="P54" t="inlineStr">
        <is>
          <t>30+903</t>
        </is>
      </c>
      <c r="Q54" t="inlineStr">
        <is>
          <t>31+045</t>
        </is>
      </c>
      <c r="R54" t="inlineStr">
        <is>
          <t>Aberta</t>
        </is>
      </c>
      <c r="S54" t="inlineStr">
        <is>
          <t>Qualidade/ Topografia</t>
        </is>
      </c>
      <c r="T54" t="inlineStr">
        <is>
          <t>Aline Batista</t>
        </is>
      </c>
      <c r="U54" t="inlineStr">
        <is>
          <t>03/12/2025</t>
        </is>
      </c>
      <c r="V54" t="inlineStr">
        <is>
          <t>18/12/2025</t>
        </is>
      </c>
      <c r="W54">
        <v>174</v>
      </c>
      <c r="AA54" t="inlineStr">
        <is>
          <t>Aberta +120 dias</t>
        </is>
      </c>
      <c r="AB54" t="inlineStr">
        <is>
          <t>EMPA</t>
        </is>
      </c>
      <c r="AC54" t="inlineStr">
        <is>
          <t>Aline</t>
        </is>
      </c>
      <c r="AE54" t="inlineStr">
        <is>
          <t>19/06/2026</t>
        </is>
      </c>
      <c r="AF54" t="inlineStr">
        <is>
          <t>Ata de reunião de RM p/ BK</t>
        </is>
      </c>
    </row>
    <row r="55">
      <c r="A55">
        <v>53</v>
      </c>
      <c r="B55">
        <v>1</v>
      </c>
      <c r="C55" t="inlineStr">
        <is>
          <t>1.3</t>
        </is>
      </c>
      <c r="D55" t="inlineStr">
        <is>
          <t>OAE Rio dos Bois</t>
        </is>
      </c>
      <c r="F55" t="inlineStr">
        <is>
          <t>EMPA</t>
        </is>
      </c>
      <c r="G55" t="inlineStr">
        <is>
          <t>CLP-003</t>
        </is>
      </c>
      <c r="H55" t="inlineStr">
        <is>
          <t>Protocolo</t>
        </is>
      </c>
      <c r="I55">
        <v>8</v>
      </c>
      <c r="J55" t="inlineStr">
        <is>
          <t>Obras de Arte Especiais</t>
        </is>
      </c>
      <c r="K55" t="inlineStr">
        <is>
          <t>8.51</t>
        </is>
      </c>
      <c r="L55" t="inlineStr">
        <is>
          <t>Guarda Corpo</t>
        </is>
      </c>
      <c r="M55" t="inlineStr">
        <is>
          <t>Documental</t>
        </is>
      </c>
      <c r="N55" t="inlineStr">
        <is>
          <t>A documentação foi entregue (Databook), porém em avaliação do OIA. As Built não foram entregues. Constam RNCs em aberto: RNC 08586/25 - Desvio no processo de fabricação- Guarda corpo. Em inspeção visual foram constatados que alguns pontos de fixação do guarda corpo, os parafusos encontram-se curtos, desalinhados e algumas avarias na pintura.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is>
      </c>
      <c r="O55" t="inlineStr">
        <is>
          <t>Tipo B</t>
        </is>
      </c>
      <c r="P55" t="inlineStr">
        <is>
          <t>30+903</t>
        </is>
      </c>
      <c r="Q55" t="inlineStr">
        <is>
          <t>31+045</t>
        </is>
      </c>
      <c r="R55" t="inlineStr">
        <is>
          <t>Aberta</t>
        </is>
      </c>
      <c r="S55" t="inlineStr">
        <is>
          <t>Qualidade/ Topografia</t>
        </is>
      </c>
      <c r="T55" t="inlineStr">
        <is>
          <t>Aline Batista</t>
        </is>
      </c>
      <c r="U55" t="inlineStr">
        <is>
          <t>03/12/2025</t>
        </is>
      </c>
      <c r="V55" t="inlineStr">
        <is>
          <t>18/12/2025</t>
        </is>
      </c>
      <c r="W55">
        <v>174</v>
      </c>
      <c r="AA55" t="inlineStr">
        <is>
          <t>Aberta +120 dias</t>
        </is>
      </c>
      <c r="AB55" t="inlineStr">
        <is>
          <t>EMPA</t>
        </is>
      </c>
      <c r="AC55" t="inlineStr">
        <is>
          <t>Aline</t>
        </is>
      </c>
      <c r="AE55" t="inlineStr">
        <is>
          <t>19/06/2026</t>
        </is>
      </c>
      <c r="AF55" t="inlineStr">
        <is>
          <t>Ata de reunião de RM p/ BK</t>
        </is>
      </c>
    </row>
    <row r="56">
      <c r="A56">
        <v>54</v>
      </c>
      <c r="B56">
        <v>2</v>
      </c>
      <c r="C56" t="inlineStr">
        <is>
          <t>1.6</t>
        </is>
      </c>
      <c r="D56" t="inlineStr">
        <is>
          <t>OAE Rio do Peixe</t>
        </is>
      </c>
      <c r="F56" t="inlineStr">
        <is>
          <t>ATERPA</t>
        </is>
      </c>
      <c r="G56" t="inlineStr">
        <is>
          <t>CLP-004</t>
        </is>
      </c>
      <c r="H56" t="inlineStr">
        <is>
          <t>Protocolo</t>
        </is>
      </c>
      <c r="I56">
        <v>8</v>
      </c>
      <c r="J56" t="inlineStr">
        <is>
          <t>Obras de Arte Especiais</t>
        </is>
      </c>
      <c r="K56" t="inlineStr">
        <is>
          <t>8.1</t>
        </is>
      </c>
      <c r="L56" t="inlineStr">
        <is>
          <t>Estaca</t>
        </is>
      </c>
      <c r="M56" t="inlineStr">
        <is>
          <t>Documental</t>
        </is>
      </c>
      <c r="N56" t="inlineStr">
        <is>
          <t>Não apresentado o As built para verificação - GEOMETRICO</t>
        </is>
      </c>
      <c r="O56" t="inlineStr">
        <is>
          <t>Tipo B</t>
        </is>
      </c>
      <c r="P56" t="inlineStr">
        <is>
          <t>71+122</t>
        </is>
      </c>
      <c r="Q56" t="inlineStr">
        <is>
          <t>71+718</t>
        </is>
      </c>
      <c r="R56" t="inlineStr">
        <is>
          <t>Aberta</t>
        </is>
      </c>
      <c r="S56" t="inlineStr">
        <is>
          <t>Ricardo Barbosa Hanemann</t>
        </is>
      </c>
      <c r="T56" t="inlineStr">
        <is>
          <t>Aline Batista</t>
        </is>
      </c>
      <c r="U56" t="inlineStr">
        <is>
          <t>15/12/2025</t>
        </is>
      </c>
      <c r="V56" t="inlineStr">
        <is>
          <t>30/12/2025</t>
        </is>
      </c>
      <c r="W56">
        <v>162</v>
      </c>
      <c r="X56" t="inlineStr">
        <is>
          <t>30/04/2026</t>
        </is>
      </c>
      <c r="AA56" t="inlineStr">
        <is>
          <t>Aberta +120 dias</t>
        </is>
      </c>
      <c r="AB56" t="inlineStr">
        <is>
          <t>ATERPA</t>
        </is>
      </c>
    </row>
    <row r="57">
      <c r="A57">
        <v>55</v>
      </c>
      <c r="B57">
        <v>2</v>
      </c>
      <c r="C57" t="inlineStr">
        <is>
          <t>1.6</t>
        </is>
      </c>
      <c r="D57" t="inlineStr">
        <is>
          <t>OAE Rio do Peixe</t>
        </is>
      </c>
      <c r="F57" t="inlineStr">
        <is>
          <t>ATERPA</t>
        </is>
      </c>
      <c r="G57" t="inlineStr">
        <is>
          <t>CLP-004</t>
        </is>
      </c>
      <c r="H57" t="inlineStr">
        <is>
          <t>Protocolo</t>
        </is>
      </c>
      <c r="I57">
        <v>8</v>
      </c>
      <c r="J57" t="inlineStr">
        <is>
          <t>Obras de Arte Especiais</t>
        </is>
      </c>
      <c r="K57" t="inlineStr">
        <is>
          <t>8.2</t>
        </is>
      </c>
      <c r="L57" t="inlineStr">
        <is>
          <t>Estaca</t>
        </is>
      </c>
      <c r="M57" t="inlineStr">
        <is>
          <t>Documental</t>
        </is>
      </c>
      <c r="N57" t="inlineStr">
        <is>
          <t>Não apresentado o As Buil para verificação - LOCAÇÃO DA OBRA</t>
        </is>
      </c>
      <c r="O57" t="inlineStr">
        <is>
          <t>Tipo B</t>
        </is>
      </c>
      <c r="P57" t="inlineStr">
        <is>
          <t>71+122</t>
        </is>
      </c>
      <c r="Q57" t="inlineStr">
        <is>
          <t>71+718</t>
        </is>
      </c>
      <c r="R57" t="inlineStr">
        <is>
          <t>Aberta</t>
        </is>
      </c>
      <c r="S57" t="inlineStr">
        <is>
          <t>Ricardo Barbosa Hanemann</t>
        </is>
      </c>
      <c r="T57" t="inlineStr">
        <is>
          <t>Aline Batista</t>
        </is>
      </c>
      <c r="U57" t="inlineStr">
        <is>
          <t>15/12/2025</t>
        </is>
      </c>
      <c r="V57" t="inlineStr">
        <is>
          <t>30/12/2025</t>
        </is>
      </c>
      <c r="W57">
        <v>162</v>
      </c>
      <c r="X57" t="inlineStr">
        <is>
          <t>30/04/2026</t>
        </is>
      </c>
      <c r="AA57" t="inlineStr">
        <is>
          <t>Aberta +120 dias</t>
        </is>
      </c>
      <c r="AB57" t="inlineStr">
        <is>
          <t>ATERPA</t>
        </is>
      </c>
    </row>
    <row r="58">
      <c r="A58">
        <v>56</v>
      </c>
      <c r="B58">
        <v>2</v>
      </c>
      <c r="C58" t="inlineStr">
        <is>
          <t>1.6</t>
        </is>
      </c>
      <c r="D58" t="inlineStr">
        <is>
          <t>OAE Rio do Peixe</t>
        </is>
      </c>
      <c r="F58" t="inlineStr">
        <is>
          <t>ATERPA</t>
        </is>
      </c>
      <c r="G58" t="inlineStr">
        <is>
          <t>CLP-004</t>
        </is>
      </c>
      <c r="H58" t="inlineStr">
        <is>
          <t>Protocolo</t>
        </is>
      </c>
      <c r="I58">
        <v>8</v>
      </c>
      <c r="J58" t="inlineStr">
        <is>
          <t>Obras de Arte Especiais</t>
        </is>
      </c>
      <c r="K58" t="inlineStr">
        <is>
          <t>8.12</t>
        </is>
      </c>
      <c r="L58" t="inlineStr">
        <is>
          <t>Estaca</t>
        </is>
      </c>
      <c r="M58" t="inlineStr">
        <is>
          <t>Documental</t>
        </is>
      </c>
      <c r="N58" t="inlineStr">
        <is>
          <t>Há RNCs em aberto para as estruturas - RNC 10618/24 | RNC-L0354-002677</t>
        </is>
      </c>
      <c r="O58" t="inlineStr">
        <is>
          <t>Tipo B</t>
        </is>
      </c>
      <c r="P58" t="inlineStr">
        <is>
          <t>71+122</t>
        </is>
      </c>
      <c r="Q58" t="inlineStr">
        <is>
          <t>71+718</t>
        </is>
      </c>
      <c r="R58" t="inlineStr">
        <is>
          <t>Encerrado</t>
        </is>
      </c>
      <c r="S58" t="inlineStr">
        <is>
          <t>Sheila Nascimento</t>
        </is>
      </c>
      <c r="T58" t="inlineStr">
        <is>
          <t>Aline Batista</t>
        </is>
      </c>
      <c r="U58" t="inlineStr">
        <is>
          <t>15/12/2025</t>
        </is>
      </c>
      <c r="V58" t="inlineStr">
        <is>
          <t>30/12/2025</t>
        </is>
      </c>
      <c r="W58">
        <v>162</v>
      </c>
      <c r="Y58" t="inlineStr">
        <is>
          <t>10/04/2026</t>
        </is>
      </c>
      <c r="Z58" t="inlineStr">
        <is>
          <t>Concluído</t>
        </is>
      </c>
      <c r="AA58" t="inlineStr">
        <is>
          <t>Fechada 90-120 dias</t>
        </is>
      </c>
    </row>
    <row r="59">
      <c r="A59">
        <v>57</v>
      </c>
      <c r="B59">
        <v>2</v>
      </c>
      <c r="C59" t="inlineStr">
        <is>
          <t>1.6</t>
        </is>
      </c>
      <c r="D59" t="inlineStr">
        <is>
          <t>OAE Rio do Peixe</t>
        </is>
      </c>
      <c r="F59" t="inlineStr">
        <is>
          <t>ATERPA</t>
        </is>
      </c>
      <c r="G59" t="inlineStr">
        <is>
          <t>CLP-004</t>
        </is>
      </c>
      <c r="H59" t="inlineStr">
        <is>
          <t>Protocolo</t>
        </is>
      </c>
      <c r="I59">
        <v>8</v>
      </c>
      <c r="J59" t="inlineStr">
        <is>
          <t>Obras de Arte Especiais</t>
        </is>
      </c>
      <c r="K59" t="inlineStr">
        <is>
          <t>8.21</t>
        </is>
      </c>
      <c r="L59" t="inlineStr">
        <is>
          <t>Pilar</t>
        </is>
      </c>
      <c r="M59" t="inlineStr">
        <is>
          <t>Documental</t>
        </is>
      </c>
      <c r="N59" t="inlineStr">
        <is>
          <t>Não apresentado o As Built para verificação - COTAS DE PROJETO</t>
        </is>
      </c>
      <c r="O59" t="inlineStr">
        <is>
          <t>Tipo B</t>
        </is>
      </c>
      <c r="P59" t="inlineStr">
        <is>
          <t>71+122</t>
        </is>
      </c>
      <c r="Q59" t="inlineStr">
        <is>
          <t>71+718</t>
        </is>
      </c>
      <c r="R59" t="inlineStr">
        <is>
          <t>Aberta</t>
        </is>
      </c>
      <c r="S59" t="inlineStr">
        <is>
          <t>Ricardo Barbosa Hanemann</t>
        </is>
      </c>
      <c r="T59" t="inlineStr">
        <is>
          <t>Aline Batista</t>
        </is>
      </c>
      <c r="U59" t="inlineStr">
        <is>
          <t>15/12/2025</t>
        </is>
      </c>
      <c r="V59" t="inlineStr">
        <is>
          <t>30/12/2025</t>
        </is>
      </c>
      <c r="W59">
        <v>162</v>
      </c>
      <c r="X59" t="inlineStr">
        <is>
          <t>30/04/2026</t>
        </is>
      </c>
      <c r="AA59" t="inlineStr">
        <is>
          <t>Aberta +120 dias</t>
        </is>
      </c>
      <c r="AB59" t="inlineStr">
        <is>
          <t>ATERPA</t>
        </is>
      </c>
    </row>
    <row r="60">
      <c r="A60">
        <v>58</v>
      </c>
      <c r="B60">
        <v>2</v>
      </c>
      <c r="C60" t="inlineStr">
        <is>
          <t>1.6</t>
        </is>
      </c>
      <c r="D60" t="inlineStr">
        <is>
          <t>OAE Rio do Peixe</t>
        </is>
      </c>
      <c r="F60" t="inlineStr">
        <is>
          <t>ATERPA</t>
        </is>
      </c>
      <c r="G60" t="inlineStr">
        <is>
          <t>CLP-004</t>
        </is>
      </c>
      <c r="H60" t="inlineStr">
        <is>
          <t>Protocolo</t>
        </is>
      </c>
      <c r="I60">
        <v>8</v>
      </c>
      <c r="J60" t="inlineStr">
        <is>
          <t>Obras de Arte Especiais</t>
        </is>
      </c>
      <c r="K60" t="inlineStr">
        <is>
          <t>8.22</t>
        </is>
      </c>
      <c r="L60" t="inlineStr">
        <is>
          <t>Pilar</t>
        </is>
      </c>
      <c r="M60" t="inlineStr">
        <is>
          <t>Documental</t>
        </is>
      </c>
      <c r="N60" t="inlineStr">
        <is>
          <t>Há RNC em aberto para tratamento de patologias - PILARES</t>
        </is>
      </c>
      <c r="O60" t="inlineStr">
        <is>
          <t>Tipo B</t>
        </is>
      </c>
      <c r="P60" t="inlineStr">
        <is>
          <t>71+122</t>
        </is>
      </c>
      <c r="Q60" t="inlineStr">
        <is>
          <t>71+718</t>
        </is>
      </c>
      <c r="R60" t="inlineStr">
        <is>
          <t>Encerrado</t>
        </is>
      </c>
      <c r="S60" t="inlineStr">
        <is>
          <t>Sheila Nascimento</t>
        </is>
      </c>
      <c r="T60" t="inlineStr">
        <is>
          <t>Aline Batista</t>
        </is>
      </c>
      <c r="U60" t="inlineStr">
        <is>
          <t>15/12/2025</t>
        </is>
      </c>
      <c r="V60" t="inlineStr">
        <is>
          <t>30/12/2025</t>
        </is>
      </c>
      <c r="W60">
        <v>162</v>
      </c>
      <c r="Y60" t="inlineStr">
        <is>
          <t>26/02/2026</t>
        </is>
      </c>
      <c r="Z60" t="inlineStr">
        <is>
          <t>Concluído</t>
        </is>
      </c>
      <c r="AA60" t="inlineStr">
        <is>
          <t>Fechada 60-90 dias</t>
        </is>
      </c>
    </row>
    <row r="61">
      <c r="A61">
        <v>59</v>
      </c>
      <c r="B61">
        <v>2</v>
      </c>
      <c r="C61" t="inlineStr">
        <is>
          <t>1.6</t>
        </is>
      </c>
      <c r="D61" t="inlineStr">
        <is>
          <t>OAE Rio do Peixe</t>
        </is>
      </c>
      <c r="F61" t="inlineStr">
        <is>
          <t>ATERPA</t>
        </is>
      </c>
      <c r="G61" t="inlineStr">
        <is>
          <t>CLP-004</t>
        </is>
      </c>
      <c r="H61" t="inlineStr">
        <is>
          <t>Protocolo</t>
        </is>
      </c>
      <c r="I61">
        <v>8</v>
      </c>
      <c r="J61" t="inlineStr">
        <is>
          <t>Obras de Arte Especiais</t>
        </is>
      </c>
      <c r="K61" t="inlineStr">
        <is>
          <t>8.33</t>
        </is>
      </c>
      <c r="L61" t="inlineStr">
        <is>
          <t>Cortina atirantada</t>
        </is>
      </c>
      <c r="M61" t="inlineStr">
        <is>
          <t>Documental</t>
        </is>
      </c>
      <c r="N61" t="inlineStr">
        <is>
          <t>Há RNCs em aberto para armação das cortinas</t>
        </is>
      </c>
      <c r="O61" t="inlineStr">
        <is>
          <t>Tipo B</t>
        </is>
      </c>
      <c r="P61" t="inlineStr">
        <is>
          <t>71+122</t>
        </is>
      </c>
      <c r="Q61" t="inlineStr">
        <is>
          <t>71+718</t>
        </is>
      </c>
      <c r="R61" t="inlineStr">
        <is>
          <t>Encerrado</t>
        </is>
      </c>
      <c r="S61" t="inlineStr">
        <is>
          <t>Sheila Nascimento</t>
        </is>
      </c>
      <c r="T61" t="inlineStr">
        <is>
          <t>Aline Batista</t>
        </is>
      </c>
      <c r="U61" t="inlineStr">
        <is>
          <t>15/12/2025</t>
        </is>
      </c>
      <c r="V61" t="inlineStr">
        <is>
          <t>30/12/2025</t>
        </is>
      </c>
      <c r="W61">
        <v>162</v>
      </c>
      <c r="Y61" t="inlineStr">
        <is>
          <t>26/02/2026</t>
        </is>
      </c>
      <c r="Z61" t="inlineStr">
        <is>
          <t>Concluído</t>
        </is>
      </c>
      <c r="AA61" t="inlineStr">
        <is>
          <t>Fechada 60-90 dias</t>
        </is>
      </c>
    </row>
    <row r="62">
      <c r="A62">
        <v>60</v>
      </c>
      <c r="B62">
        <v>2</v>
      </c>
      <c r="C62" t="inlineStr">
        <is>
          <t>1.6</t>
        </is>
      </c>
      <c r="D62" t="inlineStr">
        <is>
          <t>OAE Rio do Peixe</t>
        </is>
      </c>
      <c r="F62" t="inlineStr">
        <is>
          <t>ATERPA</t>
        </is>
      </c>
      <c r="G62" t="inlineStr">
        <is>
          <t>CLP-004</t>
        </is>
      </c>
      <c r="H62" t="inlineStr">
        <is>
          <t>Protocolo</t>
        </is>
      </c>
      <c r="I62">
        <v>8</v>
      </c>
      <c r="J62" t="inlineStr">
        <is>
          <t>Obras de Arte Especiais</t>
        </is>
      </c>
      <c r="K62" t="inlineStr">
        <is>
          <t>8.35</t>
        </is>
      </c>
      <c r="L62" t="inlineStr">
        <is>
          <t>Guarda Corpo</t>
        </is>
      </c>
      <c r="M62" t="inlineStr">
        <is>
          <t>Execuçao divergente do projeto</t>
        </is>
      </c>
      <c r="N62" t="inlineStr">
        <is>
          <t>Observado a fixação dos guarda corpos com parafusos curtos e espaçamentos irregulares</t>
        </is>
      </c>
      <c r="O62" t="inlineStr">
        <is>
          <t>Tipo A</t>
        </is>
      </c>
      <c r="P62" t="inlineStr">
        <is>
          <t>71+122</t>
        </is>
      </c>
      <c r="Q62" t="inlineStr">
        <is>
          <t>71+718</t>
        </is>
      </c>
      <c r="R62" t="inlineStr">
        <is>
          <t>Encerrado</t>
        </is>
      </c>
      <c r="S62" t="inlineStr">
        <is>
          <t>Tiago Villaça</t>
        </is>
      </c>
      <c r="T62" t="inlineStr">
        <is>
          <t>Aline Batista</t>
        </is>
      </c>
      <c r="U62" t="inlineStr">
        <is>
          <t>15/12/2025</t>
        </is>
      </c>
      <c r="V62" t="inlineStr">
        <is>
          <t>22/12/2025</t>
        </is>
      </c>
      <c r="W62">
        <v>170</v>
      </c>
      <c r="X62" t="inlineStr">
        <is>
          <t>20/04/2026</t>
        </is>
      </c>
      <c r="Y62" t="inlineStr">
        <is>
          <t>20/04/2026</t>
        </is>
      </c>
      <c r="Z62" t="inlineStr">
        <is>
          <t>Em análise</t>
        </is>
      </c>
      <c r="AA62" t="inlineStr">
        <is>
          <t>Fechada +120 dias</t>
        </is>
      </c>
    </row>
    <row r="63">
      <c r="A63">
        <v>61</v>
      </c>
      <c r="B63">
        <v>2</v>
      </c>
      <c r="C63" t="inlineStr">
        <is>
          <t>1.6</t>
        </is>
      </c>
      <c r="D63" t="inlineStr">
        <is>
          <t>OAE Rio do Peixe</t>
        </is>
      </c>
      <c r="F63" t="inlineStr">
        <is>
          <t>ATERPA</t>
        </is>
      </c>
      <c r="G63" t="inlineStr">
        <is>
          <t>CLP-004</t>
        </is>
      </c>
      <c r="H63" t="inlineStr">
        <is>
          <t>Protocolo</t>
        </is>
      </c>
      <c r="I63">
        <v>8</v>
      </c>
      <c r="J63" t="inlineStr">
        <is>
          <t>Obras de Arte Especiais</t>
        </is>
      </c>
      <c r="K63" t="inlineStr">
        <is>
          <t>8.40</t>
        </is>
      </c>
      <c r="L63" t="inlineStr">
        <is>
          <t>Lajes</t>
        </is>
      </c>
      <c r="M63" t="inlineStr">
        <is>
          <t>Documental</t>
        </is>
      </c>
      <c r="N63" t="inlineStr">
        <is>
          <t>Constam RNCs abertas - vigas e lajes</t>
        </is>
      </c>
      <c r="O63" t="inlineStr">
        <is>
          <t>Tipo B</t>
        </is>
      </c>
      <c r="P63" t="inlineStr">
        <is>
          <t>71+122</t>
        </is>
      </c>
      <c r="Q63" t="inlineStr">
        <is>
          <t>71+718</t>
        </is>
      </c>
      <c r="R63" t="inlineStr">
        <is>
          <t>Encerrado</t>
        </is>
      </c>
      <c r="S63" t="inlineStr">
        <is>
          <t>Sheila Nascimento</t>
        </is>
      </c>
      <c r="T63" t="inlineStr">
        <is>
          <t>Aline Batista</t>
        </is>
      </c>
      <c r="U63" t="inlineStr">
        <is>
          <t>15/12/2025</t>
        </is>
      </c>
      <c r="V63" t="inlineStr">
        <is>
          <t>30/12/2025</t>
        </is>
      </c>
      <c r="W63">
        <v>162</v>
      </c>
      <c r="Y63" t="inlineStr">
        <is>
          <t>26/02/2026</t>
        </is>
      </c>
      <c r="Z63" t="inlineStr">
        <is>
          <t>Concluído</t>
        </is>
      </c>
      <c r="AA63" t="inlineStr">
        <is>
          <t>Fechada 60-90 dias</t>
        </is>
      </c>
    </row>
    <row r="64">
      <c r="A64">
        <v>62</v>
      </c>
      <c r="B64">
        <v>2</v>
      </c>
      <c r="C64" t="inlineStr">
        <is>
          <t>1.6</t>
        </is>
      </c>
      <c r="D64" t="inlineStr">
        <is>
          <t>OAE Rio do Peixe</t>
        </is>
      </c>
      <c r="F64" t="inlineStr">
        <is>
          <t>ATERPA</t>
        </is>
      </c>
      <c r="G64" t="inlineStr">
        <is>
          <t>CLP-004</t>
        </is>
      </c>
      <c r="H64" t="inlineStr">
        <is>
          <t>Protocolo</t>
        </is>
      </c>
      <c r="I64">
        <v>8</v>
      </c>
      <c r="J64" t="inlineStr">
        <is>
          <t>Obras de Arte Especiais</t>
        </is>
      </c>
      <c r="K64" t="inlineStr">
        <is>
          <t>8.43</t>
        </is>
      </c>
      <c r="L64" t="inlineStr">
        <is>
          <t>Talude</t>
        </is>
      </c>
      <c r="M64" t="inlineStr">
        <is>
          <t>Contaminação</t>
        </is>
      </c>
      <c r="N64" t="inlineStr">
        <is>
          <t>Contaminação de finos no enroncamento e áreas sem pega de Hidrossemeadura.</t>
        </is>
      </c>
      <c r="O64" t="inlineStr">
        <is>
          <t>Tipo A</t>
        </is>
      </c>
      <c r="P64" t="inlineStr">
        <is>
          <t>71+122</t>
        </is>
      </c>
      <c r="Q64" t="inlineStr">
        <is>
          <t>71+718</t>
        </is>
      </c>
      <c r="R64" t="inlineStr">
        <is>
          <t>Encerrado</t>
        </is>
      </c>
      <c r="S64" t="inlineStr">
        <is>
          <t>Sheila Nascimento</t>
        </is>
      </c>
      <c r="T64" t="inlineStr">
        <is>
          <t>Aline Batista</t>
        </is>
      </c>
      <c r="U64" t="inlineStr">
        <is>
          <t>15/12/2025</t>
        </is>
      </c>
      <c r="V64" t="inlineStr">
        <is>
          <t>22/12/2025</t>
        </is>
      </c>
      <c r="W64">
        <v>170</v>
      </c>
      <c r="Y64" t="inlineStr">
        <is>
          <t>26/02/2026</t>
        </is>
      </c>
      <c r="Z64" t="inlineStr">
        <is>
          <t>Em análise</t>
        </is>
      </c>
      <c r="AA64" t="inlineStr">
        <is>
          <t>Fechada 60-90 dias</t>
        </is>
      </c>
    </row>
    <row r="65">
      <c r="A65">
        <v>63</v>
      </c>
      <c r="B65">
        <v>2</v>
      </c>
      <c r="C65" t="inlineStr">
        <is>
          <t>1.6</t>
        </is>
      </c>
      <c r="D65" t="inlineStr">
        <is>
          <t>OAE Rio do Peixe</t>
        </is>
      </c>
      <c r="F65" t="inlineStr">
        <is>
          <t>ATERPA</t>
        </is>
      </c>
      <c r="G65" t="inlineStr">
        <is>
          <t>CLP-004</t>
        </is>
      </c>
      <c r="H65" t="inlineStr">
        <is>
          <t>Protocolo</t>
        </is>
      </c>
      <c r="I65">
        <v>8</v>
      </c>
      <c r="J65" t="inlineStr">
        <is>
          <t>Obras de Arte Especiais</t>
        </is>
      </c>
      <c r="K65" t="inlineStr">
        <is>
          <t>8.45</t>
        </is>
      </c>
      <c r="L65" t="inlineStr">
        <is>
          <t>Lajes</t>
        </is>
      </c>
      <c r="M65" t="inlineStr">
        <is>
          <t>Documental</t>
        </is>
      </c>
      <c r="N65" t="inlineStr">
        <is>
          <t>Há RNCs para armação da Laje de transição</t>
        </is>
      </c>
      <c r="O65" t="inlineStr">
        <is>
          <t>Tipo B</t>
        </is>
      </c>
      <c r="P65" t="inlineStr">
        <is>
          <t>71+122</t>
        </is>
      </c>
      <c r="Q65" t="inlineStr">
        <is>
          <t>71+718</t>
        </is>
      </c>
      <c r="R65" t="inlineStr">
        <is>
          <t>Encerrado</t>
        </is>
      </c>
      <c r="S65" t="inlineStr">
        <is>
          <t>Sheila Nascimento</t>
        </is>
      </c>
      <c r="T65" t="inlineStr">
        <is>
          <t>Aline Batista</t>
        </is>
      </c>
      <c r="U65" t="inlineStr">
        <is>
          <t>15/12/2025</t>
        </is>
      </c>
      <c r="V65" t="inlineStr">
        <is>
          <t>30/12/2025</t>
        </is>
      </c>
      <c r="W65">
        <v>162</v>
      </c>
      <c r="Y65" t="inlineStr">
        <is>
          <t>26/02/2026</t>
        </is>
      </c>
      <c r="Z65" t="inlineStr">
        <is>
          <t>Concluído</t>
        </is>
      </c>
      <c r="AA65" t="inlineStr">
        <is>
          <t>Fechada 60-90 dias</t>
        </is>
      </c>
    </row>
    <row r="66">
      <c r="A66">
        <v>64</v>
      </c>
      <c r="B66">
        <v>2</v>
      </c>
      <c r="C66" t="inlineStr">
        <is>
          <t>1.6</t>
        </is>
      </c>
      <c r="D66" t="inlineStr">
        <is>
          <t>OAE Rio do Peixe</t>
        </is>
      </c>
      <c r="F66" t="inlineStr">
        <is>
          <t>ATERPA</t>
        </is>
      </c>
      <c r="G66" t="inlineStr">
        <is>
          <t>CLP-004</t>
        </is>
      </c>
      <c r="H66" t="inlineStr">
        <is>
          <t>Protocolo</t>
        </is>
      </c>
      <c r="I66">
        <v>8</v>
      </c>
      <c r="J66" t="inlineStr">
        <is>
          <t>Obras de Arte Especiais</t>
        </is>
      </c>
      <c r="K66" t="inlineStr">
        <is>
          <t>8.46</t>
        </is>
      </c>
      <c r="L66" t="inlineStr">
        <is>
          <t>Sublastro</t>
        </is>
      </c>
      <c r="M66" t="inlineStr">
        <is>
          <t>Documental</t>
        </is>
      </c>
      <c r="N66" t="inlineStr">
        <is>
          <t>Não apresentado As built para verificação - Plataforma</t>
        </is>
      </c>
      <c r="O66" t="inlineStr">
        <is>
          <t>Tipo B</t>
        </is>
      </c>
      <c r="P66" t="inlineStr">
        <is>
          <t>71+122</t>
        </is>
      </c>
      <c r="Q66" t="inlineStr">
        <is>
          <t>71+718</t>
        </is>
      </c>
      <c r="R66" t="inlineStr">
        <is>
          <t>Aberta</t>
        </is>
      </c>
      <c r="S66" t="inlineStr">
        <is>
          <t>Ricardo Barbosa Hanemann</t>
        </is>
      </c>
      <c r="T66" t="inlineStr">
        <is>
          <t>Aline Batista</t>
        </is>
      </c>
      <c r="U66" t="inlineStr">
        <is>
          <t>15/12/2025</t>
        </is>
      </c>
      <c r="V66" t="inlineStr">
        <is>
          <t>30/12/2025</t>
        </is>
      </c>
      <c r="W66">
        <v>162</v>
      </c>
      <c r="X66" t="inlineStr">
        <is>
          <t>30/04/2026</t>
        </is>
      </c>
      <c r="AA66" t="inlineStr">
        <is>
          <t>Aberta +120 dias</t>
        </is>
      </c>
      <c r="AB66" t="inlineStr">
        <is>
          <t>ATERPA</t>
        </is>
      </c>
    </row>
    <row r="67">
      <c r="A67">
        <v>65</v>
      </c>
      <c r="B67">
        <v>2</v>
      </c>
      <c r="C67" t="inlineStr">
        <is>
          <t>1.6</t>
        </is>
      </c>
      <c r="D67" t="inlineStr">
        <is>
          <t>OAE Rio do Peixe</t>
        </is>
      </c>
      <c r="F67" t="inlineStr">
        <is>
          <t>ATERPA</t>
        </is>
      </c>
      <c r="G67" t="inlineStr">
        <is>
          <t>CLP-004</t>
        </is>
      </c>
      <c r="H67" t="inlineStr">
        <is>
          <t>Protocolo</t>
        </is>
      </c>
      <c r="I67">
        <v>8</v>
      </c>
      <c r="J67" t="inlineStr">
        <is>
          <t>Obras de Arte Especiais</t>
        </is>
      </c>
      <c r="K67" t="inlineStr">
        <is>
          <t>8.50</t>
        </is>
      </c>
      <c r="L67" t="inlineStr">
        <is>
          <t>Gabaritos</t>
        </is>
      </c>
      <c r="M67" t="inlineStr">
        <is>
          <t>Documental</t>
        </is>
      </c>
      <c r="N67" t="inlineStr">
        <is>
          <t>Não apresentado o As built pare verificação - gabaritos</t>
        </is>
      </c>
      <c r="O67" t="inlineStr">
        <is>
          <t>Tipo B</t>
        </is>
      </c>
      <c r="P67" t="inlineStr">
        <is>
          <t>71+122</t>
        </is>
      </c>
      <c r="Q67" t="inlineStr">
        <is>
          <t>71+718</t>
        </is>
      </c>
      <c r="R67" t="inlineStr">
        <is>
          <t>Aberta</t>
        </is>
      </c>
      <c r="S67" t="inlineStr">
        <is>
          <t>Ricardo Barbosa Hanemann</t>
        </is>
      </c>
      <c r="T67" t="inlineStr">
        <is>
          <t>Aline Batista</t>
        </is>
      </c>
      <c r="U67" t="inlineStr">
        <is>
          <t>15/12/2025</t>
        </is>
      </c>
      <c r="V67" t="inlineStr">
        <is>
          <t>30/12/2025</t>
        </is>
      </c>
      <c r="W67">
        <v>162</v>
      </c>
      <c r="X67" t="inlineStr">
        <is>
          <t>30/04/2026</t>
        </is>
      </c>
      <c r="AA67" t="inlineStr">
        <is>
          <t>Aberta +120 dias</t>
        </is>
      </c>
      <c r="AB67" t="inlineStr">
        <is>
          <t>ATERPA</t>
        </is>
      </c>
    </row>
    <row r="68">
      <c r="A68">
        <v>66</v>
      </c>
      <c r="B68">
        <v>2</v>
      </c>
      <c r="C68" t="inlineStr">
        <is>
          <t>1.6</t>
        </is>
      </c>
      <c r="D68" t="inlineStr">
        <is>
          <t>OAE Rio do Peixe</t>
        </is>
      </c>
      <c r="F68" t="inlineStr">
        <is>
          <t>ATERPA</t>
        </is>
      </c>
      <c r="G68" t="inlineStr">
        <is>
          <t>CLP-004</t>
        </is>
      </c>
      <c r="H68" t="inlineStr">
        <is>
          <t>Protocolo</t>
        </is>
      </c>
      <c r="I68">
        <v>8</v>
      </c>
      <c r="J68" t="inlineStr">
        <is>
          <t>Obras de Arte Especiais</t>
        </is>
      </c>
      <c r="K68" t="inlineStr">
        <is>
          <t>8.21</t>
        </is>
      </c>
      <c r="L68" t="inlineStr">
        <is>
          <t>Pilar</t>
        </is>
      </c>
      <c r="M68" t="inlineStr">
        <is>
          <t>Documental</t>
        </is>
      </c>
      <c r="N68" t="inlineStr">
        <is>
          <t>Não apresentado o As Built para verificação - cotas de projeto</t>
        </is>
      </c>
      <c r="O68" t="inlineStr">
        <is>
          <t>Tipo B</t>
        </is>
      </c>
      <c r="P68" t="inlineStr">
        <is>
          <t>71+122</t>
        </is>
      </c>
      <c r="Q68" t="inlineStr">
        <is>
          <t>71+718</t>
        </is>
      </c>
      <c r="R68" t="inlineStr">
        <is>
          <t>Encerrado</t>
        </is>
      </c>
      <c r="S68" t="inlineStr">
        <is>
          <t>Ricardo Barbosa Hanemann</t>
        </is>
      </c>
      <c r="T68" t="inlineStr">
        <is>
          <t>Aline Batista</t>
        </is>
      </c>
      <c r="U68" t="inlineStr">
        <is>
          <t>15/12/2025</t>
        </is>
      </c>
      <c r="V68" t="inlineStr">
        <is>
          <t>30/12/2025</t>
        </is>
      </c>
      <c r="W68">
        <v>162</v>
      </c>
      <c r="X68" t="inlineStr">
        <is>
          <t>30/04/2026</t>
        </is>
      </c>
      <c r="Y68" t="inlineStr">
        <is>
          <t>30/04/2026</t>
        </is>
      </c>
      <c r="Z68" t="inlineStr">
        <is>
          <t>Concluído</t>
        </is>
      </c>
      <c r="AA68" t="inlineStr">
        <is>
          <t>Fechada +120 dias</t>
        </is>
      </c>
    </row>
    <row r="69">
      <c r="A69">
        <v>67</v>
      </c>
      <c r="B69">
        <v>2</v>
      </c>
      <c r="C69" t="inlineStr">
        <is>
          <t>1.5</t>
        </is>
      </c>
      <c r="D69" t="inlineStr">
        <is>
          <t>OAE Ribeirão do Meio</t>
        </is>
      </c>
      <c r="F69" t="inlineStr">
        <is>
          <t>ATERPA</t>
        </is>
      </c>
      <c r="G69" t="inlineStr">
        <is>
          <t>CLP-005</t>
        </is>
      </c>
      <c r="H69" t="inlineStr">
        <is>
          <t>Protocolo</t>
        </is>
      </c>
      <c r="I69">
        <v>8</v>
      </c>
      <c r="J69" t="inlineStr">
        <is>
          <t>Obras de Arte Especiais</t>
        </is>
      </c>
      <c r="K69" t="inlineStr">
        <is>
          <t>8.1</t>
        </is>
      </c>
      <c r="L69" t="inlineStr">
        <is>
          <t>Estaca</t>
        </is>
      </c>
      <c r="M69" t="inlineStr">
        <is>
          <t>Documental</t>
        </is>
      </c>
      <c r="N69" t="inlineStr">
        <is>
          <t>A documentação foi entregue (Databook), porém em avaliação do OIA. As Built não foram entregues - controle geométrico</t>
        </is>
      </c>
      <c r="O69" t="inlineStr">
        <is>
          <t>Tipo B</t>
        </is>
      </c>
      <c r="P69" t="inlineStr">
        <is>
          <t xml:space="preserve">46+066 </t>
        </is>
      </c>
      <c r="Q69" t="inlineStr">
        <is>
          <t>46+176</t>
        </is>
      </c>
      <c r="R69" t="inlineStr">
        <is>
          <t>Aberta</t>
        </is>
      </c>
      <c r="S69" t="inlineStr">
        <is>
          <t>Ricardo Barbosa Hanemann</t>
        </is>
      </c>
      <c r="T69" t="inlineStr">
        <is>
          <t>Aline Batista</t>
        </is>
      </c>
      <c r="U69" t="inlineStr">
        <is>
          <t>15/12/2025</t>
        </is>
      </c>
      <c r="V69" t="inlineStr">
        <is>
          <t>30/12/2025</t>
        </is>
      </c>
      <c r="W69">
        <v>162</v>
      </c>
      <c r="X69" t="inlineStr">
        <is>
          <t>30/04/2026</t>
        </is>
      </c>
      <c r="AA69" t="inlineStr">
        <is>
          <t>Aberta +120 dias</t>
        </is>
      </c>
      <c r="AB69" t="inlineStr">
        <is>
          <t>ATERPA</t>
        </is>
      </c>
    </row>
    <row r="70">
      <c r="A70">
        <v>68</v>
      </c>
      <c r="B70">
        <v>2</v>
      </c>
      <c r="C70" t="inlineStr">
        <is>
          <t>1.5</t>
        </is>
      </c>
      <c r="D70" t="inlineStr">
        <is>
          <t>OAE Ribeirão do Meio</t>
        </is>
      </c>
      <c r="F70" t="inlineStr">
        <is>
          <t>ATERPA</t>
        </is>
      </c>
      <c r="G70" t="inlineStr">
        <is>
          <t>CLP-005</t>
        </is>
      </c>
      <c r="H70" t="inlineStr">
        <is>
          <t>Protocolo</t>
        </is>
      </c>
      <c r="I70">
        <v>8</v>
      </c>
      <c r="J70" t="inlineStr">
        <is>
          <t>Obras de Arte Especiais</t>
        </is>
      </c>
      <c r="K70" t="inlineStr">
        <is>
          <t>8.2</t>
        </is>
      </c>
      <c r="L70" t="inlineStr">
        <is>
          <t>Estaca</t>
        </is>
      </c>
      <c r="M70" t="inlineStr">
        <is>
          <t>Documental</t>
        </is>
      </c>
      <c r="N70" t="inlineStr">
        <is>
          <t>A documentação foi entregue (Databook), porém em avaliação do OIA. As Built não foram entregues - LOCAÇÃO DE OBRA</t>
        </is>
      </c>
      <c r="O70" t="inlineStr">
        <is>
          <t>Tipo B</t>
        </is>
      </c>
      <c r="P70" t="inlineStr">
        <is>
          <t xml:space="preserve">46+066 </t>
        </is>
      </c>
      <c r="Q70" t="inlineStr">
        <is>
          <t>46+176</t>
        </is>
      </c>
      <c r="R70" t="inlineStr">
        <is>
          <t>Aberta</t>
        </is>
      </c>
      <c r="S70" t="inlineStr">
        <is>
          <t>Ricardo Barbosa Hanemann</t>
        </is>
      </c>
      <c r="T70" t="inlineStr">
        <is>
          <t>Aline Batista</t>
        </is>
      </c>
      <c r="U70" t="inlineStr">
        <is>
          <t>15/12/2025</t>
        </is>
      </c>
      <c r="V70" t="inlineStr">
        <is>
          <t>30/12/2025</t>
        </is>
      </c>
      <c r="W70">
        <v>162</v>
      </c>
      <c r="X70" t="inlineStr">
        <is>
          <t>30/04/2026</t>
        </is>
      </c>
      <c r="AA70" t="inlineStr">
        <is>
          <t>Aberta +120 dias</t>
        </is>
      </c>
      <c r="AB70" t="inlineStr">
        <is>
          <t>ATERPA</t>
        </is>
      </c>
    </row>
    <row r="71">
      <c r="A71">
        <v>69</v>
      </c>
      <c r="B71">
        <v>2</v>
      </c>
      <c r="C71" t="inlineStr">
        <is>
          <t>1.5</t>
        </is>
      </c>
      <c r="D71" t="inlineStr">
        <is>
          <t>OAE Ribeirão do Meio</t>
        </is>
      </c>
      <c r="F71" t="inlineStr">
        <is>
          <t>ATERPA</t>
        </is>
      </c>
      <c r="G71" t="inlineStr">
        <is>
          <t>CLP-005</t>
        </is>
      </c>
      <c r="H71" t="inlineStr">
        <is>
          <t>Protocolo</t>
        </is>
      </c>
      <c r="I71">
        <v>8</v>
      </c>
      <c r="J71" t="inlineStr">
        <is>
          <t>Obras de Arte Especiais</t>
        </is>
      </c>
      <c r="K71" t="inlineStr">
        <is>
          <t>8.3</t>
        </is>
      </c>
      <c r="L71" t="inlineStr">
        <is>
          <t>Estaca</t>
        </is>
      </c>
      <c r="M71" t="inlineStr">
        <is>
          <t>Documental</t>
        </is>
      </c>
      <c r="N71" t="inlineStr">
        <is>
          <t>A documentação foi entregue (databook), porém em avaliação do OIA. As Built não foram entregues - CONTROLE TECNOLOGICO</t>
        </is>
      </c>
      <c r="O71" t="inlineStr">
        <is>
          <t>Tipo B</t>
        </is>
      </c>
      <c r="P71" t="inlineStr">
        <is>
          <t xml:space="preserve">46+066 </t>
        </is>
      </c>
      <c r="Q71" t="inlineStr">
        <is>
          <t>46+176</t>
        </is>
      </c>
      <c r="R71" t="inlineStr">
        <is>
          <t>Aberta</t>
        </is>
      </c>
      <c r="S71" t="inlineStr">
        <is>
          <t>Ricardo Barbosa Hanemann</t>
        </is>
      </c>
      <c r="T71" t="inlineStr">
        <is>
          <t>Aline Batista</t>
        </is>
      </c>
      <c r="U71" t="inlineStr">
        <is>
          <t>15/12/2025</t>
        </is>
      </c>
      <c r="V71" t="inlineStr">
        <is>
          <t>30/12/2025</t>
        </is>
      </c>
      <c r="W71">
        <v>162</v>
      </c>
      <c r="X71" t="inlineStr">
        <is>
          <t>30/04/2026</t>
        </is>
      </c>
      <c r="AA71" t="inlineStr">
        <is>
          <t>Aberta +120 dias</t>
        </is>
      </c>
      <c r="AB71" t="inlineStr">
        <is>
          <t>ATERPA</t>
        </is>
      </c>
    </row>
    <row r="72">
      <c r="A72">
        <v>70</v>
      </c>
      <c r="B72">
        <v>2</v>
      </c>
      <c r="C72" t="inlineStr">
        <is>
          <t>1.5</t>
        </is>
      </c>
      <c r="D72" t="inlineStr">
        <is>
          <t>OAE Ribeirão do Meio</t>
        </is>
      </c>
      <c r="F72" t="inlineStr">
        <is>
          <t>ATERPA</t>
        </is>
      </c>
      <c r="G72" t="inlineStr">
        <is>
          <t>CLP-005</t>
        </is>
      </c>
      <c r="H72" t="inlineStr">
        <is>
          <t>Protocolo</t>
        </is>
      </c>
      <c r="I72">
        <v>8</v>
      </c>
      <c r="J72" t="inlineStr">
        <is>
          <t>Obras de Arte Especiais</t>
        </is>
      </c>
      <c r="K72" t="inlineStr">
        <is>
          <t>8.12</t>
        </is>
      </c>
      <c r="L72" t="inlineStr">
        <is>
          <t>Bloco</t>
        </is>
      </c>
      <c r="M72" t="inlineStr">
        <is>
          <t>Documental</t>
        </is>
      </c>
      <c r="N72" t="inlineStr">
        <is>
          <t>Consta RNCs abertas: RNC - L0354 - 002697 - Bloco 1 - Temperatura do concreto acima do preconizado em norma; RNC - L0354 - 002844 - Bloco 1 - Temperatura do concreto acima do preconizado em norma</t>
        </is>
      </c>
      <c r="O72" t="inlineStr">
        <is>
          <t>Tipo B</t>
        </is>
      </c>
      <c r="P72" t="inlineStr">
        <is>
          <t xml:space="preserve">46+066 </t>
        </is>
      </c>
      <c r="Q72" t="inlineStr">
        <is>
          <t>46+176</t>
        </is>
      </c>
      <c r="R72" t="inlineStr">
        <is>
          <t>Encerrado</t>
        </is>
      </c>
      <c r="S72" t="inlineStr">
        <is>
          <t>Sheila Nascimento</t>
        </is>
      </c>
      <c r="T72" t="inlineStr">
        <is>
          <t>Aline Batista</t>
        </is>
      </c>
      <c r="U72" t="inlineStr">
        <is>
          <t>15/12/2025</t>
        </is>
      </c>
      <c r="V72" t="inlineStr">
        <is>
          <t>30/12/2025</t>
        </is>
      </c>
      <c r="W72">
        <v>162</v>
      </c>
      <c r="Y72" t="inlineStr">
        <is>
          <t>06/04/2026</t>
        </is>
      </c>
      <c r="Z72" t="inlineStr">
        <is>
          <t>Concluído</t>
        </is>
      </c>
      <c r="AA72" t="inlineStr">
        <is>
          <t>Fechada 90-120 dias</t>
        </is>
      </c>
    </row>
    <row r="73">
      <c r="A73">
        <v>71</v>
      </c>
      <c r="B73">
        <v>2</v>
      </c>
      <c r="C73" t="inlineStr">
        <is>
          <t>1.5</t>
        </is>
      </c>
      <c r="D73" t="inlineStr">
        <is>
          <t>OAE Ribeirão do Meio</t>
        </is>
      </c>
      <c r="F73" t="inlineStr">
        <is>
          <t>ATERPA</t>
        </is>
      </c>
      <c r="G73" t="inlineStr">
        <is>
          <t>CLP-005</t>
        </is>
      </c>
      <c r="H73" t="inlineStr">
        <is>
          <t>Protocolo</t>
        </is>
      </c>
      <c r="I73">
        <v>8</v>
      </c>
      <c r="J73" t="inlineStr">
        <is>
          <t>Obras de Arte Especiais</t>
        </is>
      </c>
      <c r="K73" t="inlineStr">
        <is>
          <t>8.13</t>
        </is>
      </c>
      <c r="L73" t="inlineStr">
        <is>
          <t>Pilar</t>
        </is>
      </c>
      <c r="M73" t="inlineStr">
        <is>
          <t>Documental</t>
        </is>
      </c>
      <c r="N73" t="inlineStr">
        <is>
          <t>A documentação foi entregue (Databook), porém em avaliação do OIA. As Built não foram entregues. Não foi apresentado levantamento topográfico dos pilares, travessas - CONTROLE TOPOGRAFICO PILARES E TRAVESSAS</t>
        </is>
      </c>
      <c r="O73" t="inlineStr">
        <is>
          <t>Tipo B</t>
        </is>
      </c>
      <c r="P73" t="inlineStr">
        <is>
          <t xml:space="preserve">46+066 </t>
        </is>
      </c>
      <c r="Q73" t="inlineStr">
        <is>
          <t>46+176</t>
        </is>
      </c>
      <c r="R73" t="inlineStr">
        <is>
          <t>Encerrado</t>
        </is>
      </c>
      <c r="S73" t="inlineStr">
        <is>
          <t>Ricardo Barbosa Hanemann</t>
        </is>
      </c>
      <c r="T73" t="inlineStr">
        <is>
          <t>Aline Batista</t>
        </is>
      </c>
      <c r="U73" t="inlineStr">
        <is>
          <t>15/12/2025</t>
        </is>
      </c>
      <c r="V73" t="inlineStr">
        <is>
          <t>30/12/2025</t>
        </is>
      </c>
      <c r="W73">
        <v>162</v>
      </c>
      <c r="X73" t="inlineStr">
        <is>
          <t>30/04/2026</t>
        </is>
      </c>
      <c r="Y73" t="inlineStr">
        <is>
          <t>07/05/2026</t>
        </is>
      </c>
      <c r="Z73" t="inlineStr">
        <is>
          <t>Concluído</t>
        </is>
      </c>
      <c r="AA73" t="inlineStr">
        <is>
          <t>Fechada +120 dias</t>
        </is>
      </c>
    </row>
    <row r="74">
      <c r="A74">
        <v>72</v>
      </c>
      <c r="B74">
        <v>2</v>
      </c>
      <c r="C74" t="inlineStr">
        <is>
          <t>1.5</t>
        </is>
      </c>
      <c r="D74" t="inlineStr">
        <is>
          <t>OAE Ribeirão do Meio</t>
        </is>
      </c>
      <c r="F74" t="inlineStr">
        <is>
          <t>ATERPA</t>
        </is>
      </c>
      <c r="G74" t="inlineStr">
        <is>
          <t>CLP-005</t>
        </is>
      </c>
      <c r="H74" t="inlineStr">
        <is>
          <t>Protocolo</t>
        </is>
      </c>
      <c r="I74">
        <v>8</v>
      </c>
      <c r="J74" t="inlineStr">
        <is>
          <t>Obras de Arte Especiais</t>
        </is>
      </c>
      <c r="K74" t="inlineStr">
        <is>
          <t>8.20</t>
        </is>
      </c>
      <c r="L74" t="inlineStr">
        <is>
          <t>Aparelho de apoio</t>
        </is>
      </c>
      <c r="M74" t="inlineStr">
        <is>
          <t>Documental</t>
        </is>
      </c>
      <c r="N74" t="inlineStr">
        <is>
          <t>A documentação foi entregue Databook), porém em avaliação do OIA. As built não foram entregues. Não foram apresentados os documentos atualizados dos aparelhos de apoio do E2/LD  - NIVELAMENTO DOS APARELHOS DE APOIO - TOPOGRAFIA</t>
        </is>
      </c>
      <c r="O74" t="inlineStr">
        <is>
          <t>Tipo B</t>
        </is>
      </c>
      <c r="P74" t="inlineStr">
        <is>
          <t xml:space="preserve">46+066 </t>
        </is>
      </c>
      <c r="Q74" t="inlineStr">
        <is>
          <t>46+176</t>
        </is>
      </c>
      <c r="R74" t="inlineStr">
        <is>
          <t>Encerrado</t>
        </is>
      </c>
      <c r="S74" t="inlineStr">
        <is>
          <t>Ricardo Barbosa Hanemann</t>
        </is>
      </c>
      <c r="T74" t="inlineStr">
        <is>
          <t>Aline Batista</t>
        </is>
      </c>
      <c r="U74" t="inlineStr">
        <is>
          <t>15/12/2025</t>
        </is>
      </c>
      <c r="V74" t="inlineStr">
        <is>
          <t>30/12/2025</t>
        </is>
      </c>
      <c r="W74">
        <v>162</v>
      </c>
      <c r="X74" t="inlineStr">
        <is>
          <t>30/04/2026</t>
        </is>
      </c>
      <c r="Y74" t="inlineStr">
        <is>
          <t>07/05/2026</t>
        </is>
      </c>
      <c r="Z74" t="inlineStr">
        <is>
          <t>Concluído</t>
        </is>
      </c>
      <c r="AA74" t="inlineStr">
        <is>
          <t>Fechada +120 dias</t>
        </is>
      </c>
    </row>
    <row r="75">
      <c r="A75">
        <v>73</v>
      </c>
      <c r="B75">
        <v>2</v>
      </c>
      <c r="C75" t="inlineStr">
        <is>
          <t>1.5</t>
        </is>
      </c>
      <c r="D75" t="inlineStr">
        <is>
          <t>OAE Ribeirão do Meio</t>
        </is>
      </c>
      <c r="F75" t="inlineStr">
        <is>
          <t>ATERPA</t>
        </is>
      </c>
      <c r="G75" t="inlineStr">
        <is>
          <t>CLP-005</t>
        </is>
      </c>
      <c r="H75" t="inlineStr">
        <is>
          <t>Protocolo</t>
        </is>
      </c>
      <c r="I75">
        <v>8</v>
      </c>
      <c r="J75" t="inlineStr">
        <is>
          <t>Obras de Arte Especiais</t>
        </is>
      </c>
      <c r="K75" t="inlineStr">
        <is>
          <t>8.22</t>
        </is>
      </c>
      <c r="L75" t="inlineStr">
        <is>
          <t>Pilar</t>
        </is>
      </c>
      <c r="M75" t="inlineStr">
        <is>
          <t>Documental</t>
        </is>
      </c>
      <c r="N75" t="inlineStr">
        <is>
          <t>Constam RNCs abertas : RNC 6117/24 - Fissuras nos apoios - Durante a inspeção realizada por meio de drone na Obra de Arte Especial (OAE) implantada entre os km 46+066 e km 46+175, sobre o rio Ribeirão do Meio. Foram encontrados fissuras no pilar 01 e pilar 02 , em desacordo com a NBR 14931:2023, item 5.7."Quando for identificada uma não conformidade que possa comprometer o desempenho do elemento estrutural, correções devem ser promovidas para assegurar o desempenho projetado para a estrutura; RNC 9970/24 - Realizada a inspeção visual no pilar P1 da Ponte Ribeirão do Meio após as deformas. Durante a inspeção, foi observado que há uma junta de concretagem (junta fria) no pilar, o que entra em desacordo com a NBR 6118:2023, Item 21.6, onde “ O projeto de execução de uma junta de concretagem deve indicar de forma precisa o local e a configuração de sua superfície. Sempre que não forem asseguradas a aderência e a rugosidade entre o concreto novo e o existente, devem ser previstas armaduras de costura, devidamente ancoradas em regiões capazes de resistir a esforços de tração”.</t>
        </is>
      </c>
      <c r="O75" t="inlineStr">
        <is>
          <t>Tipo B</t>
        </is>
      </c>
      <c r="P75" t="inlineStr">
        <is>
          <t xml:space="preserve">46+066 </t>
        </is>
      </c>
      <c r="Q75" t="inlineStr">
        <is>
          <t>46+176</t>
        </is>
      </c>
      <c r="R75" t="inlineStr">
        <is>
          <t>Encerrado</t>
        </is>
      </c>
      <c r="S75" t="inlineStr">
        <is>
          <t>Sheila Nascimento</t>
        </is>
      </c>
      <c r="T75" t="inlineStr">
        <is>
          <t>Aline Batista</t>
        </is>
      </c>
      <c r="U75" t="inlineStr">
        <is>
          <t>15/12/2025</t>
        </is>
      </c>
      <c r="V75" t="inlineStr">
        <is>
          <t>30/12/2025</t>
        </is>
      </c>
      <c r="W75">
        <v>162</v>
      </c>
      <c r="Y75" t="inlineStr">
        <is>
          <t>08/01/2026</t>
        </is>
      </c>
      <c r="Z75" t="inlineStr">
        <is>
          <t>Concluído</t>
        </is>
      </c>
      <c r="AA75" t="inlineStr">
        <is>
          <t>Fechada -30 dias</t>
        </is>
      </c>
    </row>
    <row r="76">
      <c r="A76">
        <v>74</v>
      </c>
      <c r="B76">
        <v>2</v>
      </c>
      <c r="C76" t="inlineStr">
        <is>
          <t>1.5</t>
        </is>
      </c>
      <c r="D76" t="inlineStr">
        <is>
          <t>OAE Ribeirão do Meio</t>
        </is>
      </c>
      <c r="F76" t="inlineStr">
        <is>
          <t>ATERPA</t>
        </is>
      </c>
      <c r="G76" t="inlineStr">
        <is>
          <t>CLP-005</t>
        </is>
      </c>
      <c r="H76" t="inlineStr">
        <is>
          <t>Protocolo</t>
        </is>
      </c>
      <c r="I76">
        <v>8</v>
      </c>
      <c r="J76" t="inlineStr">
        <is>
          <t>Obras de Arte Especiais</t>
        </is>
      </c>
      <c r="K76" t="inlineStr">
        <is>
          <t>8.24</t>
        </is>
      </c>
      <c r="L76" t="inlineStr">
        <is>
          <t>Lajes</t>
        </is>
      </c>
      <c r="M76" t="inlineStr">
        <is>
          <t>Documental</t>
        </is>
      </c>
      <c r="N76" t="inlineStr">
        <is>
          <t>A documentação foi entregue (Databook), porém em avaliação do OIA. As Built não foram entregues. Consta RNC aberta: RNC 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is>
      </c>
      <c r="O76" t="inlineStr">
        <is>
          <t>Tipo B</t>
        </is>
      </c>
      <c r="P76" t="inlineStr">
        <is>
          <t xml:space="preserve">46+066 </t>
        </is>
      </c>
      <c r="Q76" t="inlineStr">
        <is>
          <t>46+176</t>
        </is>
      </c>
      <c r="R76" t="inlineStr">
        <is>
          <t>Encerrado</t>
        </is>
      </c>
      <c r="S76" t="inlineStr">
        <is>
          <t>Ricardo Barbosa Hanemann</t>
        </is>
      </c>
      <c r="T76" t="inlineStr">
        <is>
          <t>Aline Batista</t>
        </is>
      </c>
      <c r="U76" t="inlineStr">
        <is>
          <t>15/12/2025</t>
        </is>
      </c>
      <c r="V76" t="inlineStr">
        <is>
          <t>30/12/2025</t>
        </is>
      </c>
      <c r="W76">
        <v>162</v>
      </c>
      <c r="Y76" t="inlineStr">
        <is>
          <t>30/03/2026</t>
        </is>
      </c>
      <c r="Z76" t="inlineStr">
        <is>
          <t>Em análise</t>
        </is>
      </c>
      <c r="AA76" t="inlineStr">
        <is>
          <t>Fechada 90-120 dias</t>
        </is>
      </c>
    </row>
    <row r="77">
      <c r="A77">
        <v>75</v>
      </c>
      <c r="B77">
        <v>2</v>
      </c>
      <c r="C77" t="inlineStr">
        <is>
          <t>1.5</t>
        </is>
      </c>
      <c r="D77" t="inlineStr">
        <is>
          <t>OAE Ribeirão do Meio</t>
        </is>
      </c>
      <c r="F77" t="inlineStr">
        <is>
          <t>ATERPA</t>
        </is>
      </c>
      <c r="G77" t="inlineStr">
        <is>
          <t>CLP-005</t>
        </is>
      </c>
      <c r="H77" t="inlineStr">
        <is>
          <t>Protocolo</t>
        </is>
      </c>
      <c r="I77">
        <v>8</v>
      </c>
      <c r="J77" t="inlineStr">
        <is>
          <t>Obras de Arte Especiais</t>
        </is>
      </c>
      <c r="K77" t="inlineStr">
        <is>
          <t>8.27</t>
        </is>
      </c>
      <c r="L77" t="inlineStr">
        <is>
          <t>Lajes</t>
        </is>
      </c>
      <c r="M77" t="inlineStr">
        <is>
          <t>Acabamento do concreto</t>
        </is>
      </c>
      <c r="N77" t="inlineStr">
        <is>
          <t>Durante a inspeção foi evidenciado fissuras no no concreto da laje. As canaletas apresentam em alguns pontos com concreto quebrado.</t>
        </is>
      </c>
      <c r="O77" t="inlineStr">
        <is>
          <t>Tipo A</t>
        </is>
      </c>
      <c r="P77" t="inlineStr">
        <is>
          <t xml:space="preserve">46+066 </t>
        </is>
      </c>
      <c r="Q77" t="inlineStr">
        <is>
          <t>46+176</t>
        </is>
      </c>
      <c r="R77" t="inlineStr">
        <is>
          <t>Encerrado</t>
        </is>
      </c>
      <c r="S77" t="inlineStr">
        <is>
          <t>Sheila Nascimento</t>
        </is>
      </c>
      <c r="T77" t="inlineStr">
        <is>
          <t>Aline Batista</t>
        </is>
      </c>
      <c r="U77" t="inlineStr">
        <is>
          <t>15/12/2025</t>
        </is>
      </c>
      <c r="V77" t="inlineStr">
        <is>
          <t>22/12/2025</t>
        </is>
      </c>
      <c r="W77">
        <v>170</v>
      </c>
      <c r="Y77" t="inlineStr">
        <is>
          <t>27/01/2026</t>
        </is>
      </c>
      <c r="Z77" t="inlineStr">
        <is>
          <t>Concluído</t>
        </is>
      </c>
      <c r="AA77" t="inlineStr">
        <is>
          <t>Fechada 30-60 dias</t>
        </is>
      </c>
    </row>
    <row r="78">
      <c r="A78">
        <v>76</v>
      </c>
      <c r="B78">
        <v>2</v>
      </c>
      <c r="C78" t="inlineStr">
        <is>
          <t>1.5</t>
        </is>
      </c>
      <c r="D78" t="inlineStr">
        <is>
          <t>OAE Ribeirão do Meio</t>
        </is>
      </c>
      <c r="F78" t="inlineStr">
        <is>
          <t>ATERPA</t>
        </is>
      </c>
      <c r="G78" t="inlineStr">
        <is>
          <t>CLP-005</t>
        </is>
      </c>
      <c r="H78" t="inlineStr">
        <is>
          <t>Protocolo</t>
        </is>
      </c>
      <c r="I78">
        <v>8</v>
      </c>
      <c r="J78" t="inlineStr">
        <is>
          <t>Obras de Arte Especiais</t>
        </is>
      </c>
      <c r="K78" t="inlineStr">
        <is>
          <t>8.33</t>
        </is>
      </c>
      <c r="L78" t="inlineStr">
        <is>
          <t>Cortina atirantada</t>
        </is>
      </c>
      <c r="M78" t="inlineStr">
        <is>
          <t>Documental</t>
        </is>
      </c>
      <c r="N78" t="inlineStr">
        <is>
          <t>A documentação foi entregue (Databook), porém em avaliação do OIA. As Built não foram entregues. Consta RNC aberta: RNC-L0354-002874 - Posições divergentes do projeto - Durante conferência da armação da cortina E1 da ponte sobre o rio Ribeirão do meio foi verificado que as posições N49, N50 e N30 estavam divergentes do projeto. O projeto 1172FE-C-500006 REV.00 solicita as posições N49 e N50 internamente e uma das posições N30 externamente e na execução foram alteradas; RNC-L0354-002933 - Cobrimento em desacordo com o preconizado em projeto - Em inspeção visual após a desforma da cortina E1 da ponte sobre Rio Ribeirão do meio foi verificada que a posição N49 montada em desacordo com o projeto causou a segregação por falta de espaço para o agregado graúdo entre a armação e a fôrma e consequentemente falta de espaçamento mínimo solicitado no projeto 1172FE-C-500006 REV.00.</t>
        </is>
      </c>
      <c r="O78" t="inlineStr">
        <is>
          <t>Tipo B</t>
        </is>
      </c>
      <c r="P78" t="inlineStr">
        <is>
          <t xml:space="preserve">46+066 </t>
        </is>
      </c>
      <c r="Q78" t="inlineStr">
        <is>
          <t>46+176</t>
        </is>
      </c>
      <c r="R78" t="inlineStr">
        <is>
          <t>Aberta</t>
        </is>
      </c>
      <c r="S78" t="inlineStr">
        <is>
          <t>Ricardo Barbosa Hanemann</t>
        </is>
      </c>
      <c r="T78" t="inlineStr">
        <is>
          <t>Aline Batista</t>
        </is>
      </c>
      <c r="U78" t="inlineStr">
        <is>
          <t>15/12/2025</t>
        </is>
      </c>
      <c r="V78" t="inlineStr">
        <is>
          <t>30/12/2025</t>
        </is>
      </c>
      <c r="W78">
        <v>162</v>
      </c>
      <c r="X78" t="inlineStr">
        <is>
          <t>30/04/2026</t>
        </is>
      </c>
      <c r="AA78" t="inlineStr">
        <is>
          <t>Aberta +120 dias</t>
        </is>
      </c>
      <c r="AB78" t="inlineStr">
        <is>
          <t>ATERPA</t>
        </is>
      </c>
    </row>
    <row r="79">
      <c r="A79">
        <v>77</v>
      </c>
      <c r="B79">
        <v>2</v>
      </c>
      <c r="C79" t="inlineStr">
        <is>
          <t>1.5</t>
        </is>
      </c>
      <c r="D79" t="inlineStr">
        <is>
          <t>OAE Ribeirão do Meio</t>
        </is>
      </c>
      <c r="F79" t="inlineStr">
        <is>
          <t>ATERPA</t>
        </is>
      </c>
      <c r="G79" t="inlineStr">
        <is>
          <t>CLP-005</t>
        </is>
      </c>
      <c r="H79" t="inlineStr">
        <is>
          <t>Protocolo</t>
        </is>
      </c>
      <c r="I79">
        <v>8</v>
      </c>
      <c r="J79" t="inlineStr">
        <is>
          <t>Obras de Arte Especiais</t>
        </is>
      </c>
      <c r="K79" t="inlineStr">
        <is>
          <t>8.35</t>
        </is>
      </c>
      <c r="L79" t="inlineStr">
        <is>
          <t>Guarda Corpo</t>
        </is>
      </c>
      <c r="M79" t="inlineStr">
        <is>
          <t>Execuçao divergente do projeto</t>
        </is>
      </c>
      <c r="N79" t="inlineStr">
        <is>
          <t xml:space="preserve">Alguns parafusos de fixação dos guarda corpos estão curtos e apresentam desalinhamentos, distanciamento diferenciados entre as chapas. </t>
        </is>
      </c>
      <c r="O79" t="inlineStr">
        <is>
          <t>Tipo A</t>
        </is>
      </c>
      <c r="P79" t="inlineStr">
        <is>
          <t xml:space="preserve">46+066 </t>
        </is>
      </c>
      <c r="Q79" t="inlineStr">
        <is>
          <t>46+176</t>
        </is>
      </c>
      <c r="R79" t="inlineStr">
        <is>
          <t>Aberta</t>
        </is>
      </c>
      <c r="S79" t="inlineStr">
        <is>
          <t>Sheila Nascimento</t>
        </is>
      </c>
      <c r="T79" t="inlineStr">
        <is>
          <t>Aline Batista</t>
        </is>
      </c>
      <c r="U79" t="inlineStr">
        <is>
          <t>15/12/2025</t>
        </is>
      </c>
      <c r="V79" t="inlineStr">
        <is>
          <t>22/12/2025</t>
        </is>
      </c>
      <c r="W79">
        <v>170</v>
      </c>
      <c r="AA79" t="inlineStr">
        <is>
          <t>Aberta +120 dias</t>
        </is>
      </c>
      <c r="AB79" t="inlineStr">
        <is>
          <t>ATERPA</t>
        </is>
      </c>
    </row>
    <row r="80">
      <c r="A80">
        <v>78</v>
      </c>
      <c r="B80">
        <v>2</v>
      </c>
      <c r="C80" t="inlineStr">
        <is>
          <t>1.5</t>
        </is>
      </c>
      <c r="D80" t="inlineStr">
        <is>
          <t>OAE Ribeirão do Meio</t>
        </is>
      </c>
      <c r="F80" t="inlineStr">
        <is>
          <t>ATERPA</t>
        </is>
      </c>
      <c r="G80" t="inlineStr">
        <is>
          <t>CLP-005</t>
        </is>
      </c>
      <c r="H80" t="inlineStr">
        <is>
          <t>Protocolo</t>
        </is>
      </c>
      <c r="I80">
        <v>8</v>
      </c>
      <c r="J80" t="inlineStr">
        <is>
          <t>Obras de Arte Especiais</t>
        </is>
      </c>
      <c r="K80" t="inlineStr">
        <is>
          <t>8.40</t>
        </is>
      </c>
      <c r="L80" t="inlineStr">
        <is>
          <t>Lajes</t>
        </is>
      </c>
      <c r="M80" t="inlineStr">
        <is>
          <t>Documental</t>
        </is>
      </c>
      <c r="N80" t="inlineStr">
        <is>
          <t>Constam RNCs abertas: RNC-06119/25 -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is>
      </c>
      <c r="O80" t="inlineStr">
        <is>
          <t>Tipo B</t>
        </is>
      </c>
      <c r="P80" t="inlineStr">
        <is>
          <t xml:space="preserve">46+066 </t>
        </is>
      </c>
      <c r="Q80" t="inlineStr">
        <is>
          <t>46+176</t>
        </is>
      </c>
      <c r="R80" t="inlineStr">
        <is>
          <t>Encerrado</t>
        </is>
      </c>
      <c r="S80" t="inlineStr">
        <is>
          <t>Ricardo Barbosa Hanemann</t>
        </is>
      </c>
      <c r="T80" t="inlineStr">
        <is>
          <t>Aline Batista</t>
        </is>
      </c>
      <c r="U80" t="inlineStr">
        <is>
          <t>15/12/2025</t>
        </is>
      </c>
      <c r="V80" t="inlineStr">
        <is>
          <t>30/12/2025</t>
        </is>
      </c>
      <c r="W80">
        <v>162</v>
      </c>
      <c r="Y80" t="inlineStr">
        <is>
          <t>20/04/2026</t>
        </is>
      </c>
      <c r="Z80" t="inlineStr">
        <is>
          <t>Concluído</t>
        </is>
      </c>
      <c r="AA80" t="inlineStr">
        <is>
          <t>Fechada +120 dias</t>
        </is>
      </c>
    </row>
    <row r="81">
      <c r="A81">
        <v>79</v>
      </c>
      <c r="B81">
        <v>2</v>
      </c>
      <c r="C81" t="inlineStr">
        <is>
          <t>1.5</t>
        </is>
      </c>
      <c r="D81" t="inlineStr">
        <is>
          <t>OAE Ribeirão do Meio</t>
        </is>
      </c>
      <c r="F81" t="inlineStr">
        <is>
          <t>ATERPA</t>
        </is>
      </c>
      <c r="G81" t="inlineStr">
        <is>
          <t>CLP-005</t>
        </is>
      </c>
      <c r="H81" t="inlineStr">
        <is>
          <t>Protocolo</t>
        </is>
      </c>
      <c r="I81">
        <v>8</v>
      </c>
      <c r="J81" t="inlineStr">
        <is>
          <t>Obras de Arte Especiais</t>
        </is>
      </c>
      <c r="K81" t="inlineStr">
        <is>
          <t>8.44</t>
        </is>
      </c>
      <c r="L81" t="inlineStr">
        <is>
          <t>Lajes</t>
        </is>
      </c>
      <c r="M81" t="inlineStr">
        <is>
          <t>Documental</t>
        </is>
      </c>
      <c r="N81" t="inlineStr">
        <is>
          <t>A documentação foi entregue (Databook), porém em avaliação do OIA. As Built não foram entregues. Consta RNC aberta : RNC-05130/25 - Resistência do concreto inferior a especificada (30,0 MPa)-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t>
        </is>
      </c>
      <c r="O81" t="inlineStr">
        <is>
          <t>Tipo B</t>
        </is>
      </c>
      <c r="P81" t="inlineStr">
        <is>
          <t xml:space="preserve">46+066 </t>
        </is>
      </c>
      <c r="Q81" t="inlineStr">
        <is>
          <t>46+176</t>
        </is>
      </c>
      <c r="R81" t="inlineStr">
        <is>
          <t>Encerrado</t>
        </is>
      </c>
      <c r="S81" t="inlineStr">
        <is>
          <t>Ricardo Barbosa Hanemann</t>
        </is>
      </c>
      <c r="T81" t="inlineStr">
        <is>
          <t>Aline Batista</t>
        </is>
      </c>
      <c r="U81" t="inlineStr">
        <is>
          <t>15/12/2025</t>
        </is>
      </c>
      <c r="V81" t="inlineStr">
        <is>
          <t>30/12/2025</t>
        </is>
      </c>
      <c r="W81">
        <v>162</v>
      </c>
      <c r="Y81" t="inlineStr">
        <is>
          <t>26/02/2026</t>
        </is>
      </c>
      <c r="Z81" t="inlineStr">
        <is>
          <t>Em análise</t>
        </is>
      </c>
      <c r="AA81" t="inlineStr">
        <is>
          <t>Fechada 60-90 dias</t>
        </is>
      </c>
    </row>
    <row r="82">
      <c r="A82">
        <v>80</v>
      </c>
      <c r="B82">
        <v>2</v>
      </c>
      <c r="C82" t="inlineStr">
        <is>
          <t>1.5</t>
        </is>
      </c>
      <c r="D82" t="inlineStr">
        <is>
          <t>OAE Ribeirão do Meio</t>
        </is>
      </c>
      <c r="F82" t="inlineStr">
        <is>
          <t>ATERPA</t>
        </is>
      </c>
      <c r="G82" t="inlineStr">
        <is>
          <t>CLP-005</t>
        </is>
      </c>
      <c r="H82" t="inlineStr">
        <is>
          <t>Protocolo</t>
        </is>
      </c>
      <c r="I82">
        <v>8</v>
      </c>
      <c r="J82" t="inlineStr">
        <is>
          <t>Obras de Arte Especiais</t>
        </is>
      </c>
      <c r="K82" t="inlineStr">
        <is>
          <t>8.43</t>
        </is>
      </c>
      <c r="L82" t="inlineStr">
        <is>
          <t>Talude</t>
        </is>
      </c>
      <c r="M82" t="inlineStr">
        <is>
          <t>Revegetação/ Hidrossemeadura</t>
        </is>
      </c>
      <c r="N82" t="inlineStr">
        <is>
          <t>Encontro 1(E1) e encontro 2 (E2) - LD/LE - Necessidade de conformação do material e complemento de hidrossemeadura. Consta RNC :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is>
      </c>
      <c r="O82" t="inlineStr">
        <is>
          <t>Tipo A</t>
        </is>
      </c>
      <c r="P82" t="inlineStr">
        <is>
          <t xml:space="preserve">46+066 </t>
        </is>
      </c>
      <c r="Q82" t="inlineStr">
        <is>
          <t>46+176</t>
        </is>
      </c>
      <c r="R82" t="inlineStr">
        <is>
          <t>Encerrado</t>
        </is>
      </c>
      <c r="S82" t="inlineStr">
        <is>
          <t>Sheila Nascimento</t>
        </is>
      </c>
      <c r="T82" t="inlineStr">
        <is>
          <t>Aline Batista</t>
        </is>
      </c>
      <c r="U82" t="inlineStr">
        <is>
          <t>15/12/2025</t>
        </is>
      </c>
      <c r="V82" t="inlineStr">
        <is>
          <t>22/12/2025</t>
        </is>
      </c>
      <c r="W82">
        <v>170</v>
      </c>
      <c r="Y82" t="inlineStr">
        <is>
          <t>15/12/2025</t>
        </is>
      </c>
      <c r="Z82" t="inlineStr">
        <is>
          <t>Concluído</t>
        </is>
      </c>
      <c r="AA82" t="inlineStr">
        <is>
          <t>Fechada -30 dias</t>
        </is>
      </c>
    </row>
    <row r="83">
      <c r="A83">
        <v>81</v>
      </c>
      <c r="B83">
        <v>2</v>
      </c>
      <c r="C83" t="inlineStr">
        <is>
          <t>1.5</t>
        </is>
      </c>
      <c r="D83" t="inlineStr">
        <is>
          <t>OAE Ribeirão do Meio</t>
        </is>
      </c>
      <c r="F83" t="inlineStr">
        <is>
          <t>ATERPA</t>
        </is>
      </c>
      <c r="G83" t="inlineStr">
        <is>
          <t>CLP-005</t>
        </is>
      </c>
      <c r="H83" t="inlineStr">
        <is>
          <t>Protocolo</t>
        </is>
      </c>
      <c r="I83">
        <v>8</v>
      </c>
      <c r="J83" t="inlineStr">
        <is>
          <t>Obras de Arte Especiais</t>
        </is>
      </c>
      <c r="K83" t="inlineStr">
        <is>
          <t>8.47</t>
        </is>
      </c>
      <c r="L83" t="inlineStr">
        <is>
          <t>Guarda Corpo</t>
        </is>
      </c>
      <c r="M83" t="inlineStr">
        <is>
          <t>Execuçao divergente do projeto</t>
        </is>
      </c>
      <c r="N83" t="inlineStr">
        <is>
          <t>Guarda corpo - Parafusos de fixação curtos</t>
        </is>
      </c>
      <c r="O83" t="inlineStr">
        <is>
          <t>Tipo A</t>
        </is>
      </c>
      <c r="P83" t="inlineStr">
        <is>
          <t xml:space="preserve">46+066 </t>
        </is>
      </c>
      <c r="Q83" t="inlineStr">
        <is>
          <t>46+176</t>
        </is>
      </c>
      <c r="R83" t="inlineStr">
        <is>
          <t>Encerrado</t>
        </is>
      </c>
      <c r="S83" t="inlineStr">
        <is>
          <t>Tiago Villaça</t>
        </is>
      </c>
      <c r="T83" t="inlineStr">
        <is>
          <t>Aline Batista</t>
        </is>
      </c>
      <c r="U83" t="inlineStr">
        <is>
          <t>15/12/2025</t>
        </is>
      </c>
      <c r="V83" t="inlineStr">
        <is>
          <t>22/12/2025</t>
        </is>
      </c>
      <c r="W83">
        <v>170</v>
      </c>
      <c r="Y83" t="inlineStr">
        <is>
          <t>07/05/2026</t>
        </is>
      </c>
      <c r="Z83" t="inlineStr">
        <is>
          <t>Concluído</t>
        </is>
      </c>
      <c r="AA83" t="inlineStr">
        <is>
          <t>Fechada +120 dias</t>
        </is>
      </c>
    </row>
    <row r="84">
      <c r="A84">
        <v>82</v>
      </c>
      <c r="B84">
        <v>2</v>
      </c>
      <c r="C84" t="inlineStr">
        <is>
          <t>1.5</t>
        </is>
      </c>
      <c r="D84" t="inlineStr">
        <is>
          <t>OAE Ribeirão do Meio</t>
        </is>
      </c>
      <c r="F84" t="inlineStr">
        <is>
          <t>ATERPA</t>
        </is>
      </c>
      <c r="G84" t="inlineStr">
        <is>
          <t>CLP-005</t>
        </is>
      </c>
      <c r="H84" t="inlineStr">
        <is>
          <t>Protocolo</t>
        </is>
      </c>
      <c r="I84">
        <v>8</v>
      </c>
      <c r="J84" t="inlineStr">
        <is>
          <t>Obras de Arte Especiais</t>
        </is>
      </c>
      <c r="K84" t="inlineStr">
        <is>
          <t>8.51</t>
        </is>
      </c>
      <c r="L84" t="inlineStr">
        <is>
          <t>Lajes</t>
        </is>
      </c>
      <c r="M84" t="inlineStr">
        <is>
          <t>Documental</t>
        </is>
      </c>
      <c r="N84" t="inlineStr">
        <is>
          <t>Consta RNC em aberto: RNC-05130/25 - Resistência do concreto inferior a especificada (30,0 MPa) -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is>
      </c>
      <c r="O84" t="inlineStr">
        <is>
          <t>Tipo B</t>
        </is>
      </c>
      <c r="P84" t="inlineStr">
        <is>
          <t xml:space="preserve">46+066 </t>
        </is>
      </c>
      <c r="Q84" t="inlineStr">
        <is>
          <t>46+176</t>
        </is>
      </c>
      <c r="R84" t="inlineStr">
        <is>
          <t>Encerrado</t>
        </is>
      </c>
      <c r="S84" t="inlineStr">
        <is>
          <t>Sheila Nascimento</t>
        </is>
      </c>
      <c r="T84" t="inlineStr">
        <is>
          <t>Aline Batista</t>
        </is>
      </c>
      <c r="U84" t="inlineStr">
        <is>
          <t>15/12/2025</t>
        </is>
      </c>
      <c r="V84" t="inlineStr">
        <is>
          <t>30/12/2025</t>
        </is>
      </c>
      <c r="W84">
        <v>162</v>
      </c>
      <c r="Y84" t="inlineStr">
        <is>
          <t>27/03/2026</t>
        </is>
      </c>
      <c r="Z84" t="inlineStr">
        <is>
          <t>Concluído</t>
        </is>
      </c>
      <c r="AA84" t="inlineStr">
        <is>
          <t>Fechada 90-120 dias</t>
        </is>
      </c>
    </row>
    <row r="85">
      <c r="A85">
        <v>83</v>
      </c>
      <c r="B85">
        <v>1</v>
      </c>
      <c r="C85" t="inlineStr">
        <is>
          <t>1.4A</t>
        </is>
      </c>
      <c r="D85" t="inlineStr">
        <is>
          <t>PI GO - GO-556</t>
        </is>
      </c>
      <c r="F85" t="inlineStr">
        <is>
          <t>EMPA</t>
        </is>
      </c>
      <c r="G85" t="inlineStr">
        <is>
          <t>CLP-006</t>
        </is>
      </c>
      <c r="H85" t="inlineStr">
        <is>
          <t>Protocolo</t>
        </is>
      </c>
      <c r="I85">
        <v>1</v>
      </c>
      <c r="J85" t="inlineStr">
        <is>
          <t>Obras Complementares</t>
        </is>
      </c>
      <c r="K85" t="inlineStr">
        <is>
          <t>1.9</t>
        </is>
      </c>
      <c r="L85" t="inlineStr">
        <is>
          <t>Supressão</t>
        </is>
      </c>
      <c r="M85" t="inlineStr">
        <is>
          <t>Documental</t>
        </is>
      </c>
      <c r="N85" t="inlineStr">
        <is>
          <t>A documentação foi entregue (Databook), porém em avaliação do OIA. os relatórios de romaneios não contempla na documentação entregue.</t>
        </is>
      </c>
      <c r="O85" t="inlineStr">
        <is>
          <t>Tipo B</t>
        </is>
      </c>
      <c r="P85" t="inlineStr">
        <is>
          <t>35+074</t>
        </is>
      </c>
      <c r="Q85" t="inlineStr">
        <is>
          <t>35+080</t>
        </is>
      </c>
      <c r="R85" t="inlineStr">
        <is>
          <t>Aberta</t>
        </is>
      </c>
      <c r="S85" t="inlineStr">
        <is>
          <t>Qualidade</t>
        </is>
      </c>
      <c r="T85" t="inlineStr">
        <is>
          <t>Aline Batista</t>
        </is>
      </c>
      <c r="U85" t="inlineStr">
        <is>
          <t>03/12/2025</t>
        </is>
      </c>
      <c r="V85" t="inlineStr">
        <is>
          <t>18/12/2025</t>
        </is>
      </c>
      <c r="W85">
        <v>174</v>
      </c>
      <c r="AA85" t="inlineStr">
        <is>
          <t>Aberta +120 dias</t>
        </is>
      </c>
      <c r="AB85" t="inlineStr">
        <is>
          <t>EMPA</t>
        </is>
      </c>
      <c r="AC85" t="inlineStr">
        <is>
          <t>Aline</t>
        </is>
      </c>
      <c r="AE85" t="inlineStr">
        <is>
          <t>19/06/2026</t>
        </is>
      </c>
      <c r="AF85" t="inlineStr">
        <is>
          <t>Ata de reunião de RM p/ BK</t>
        </is>
      </c>
    </row>
    <row r="86">
      <c r="A86">
        <v>84</v>
      </c>
      <c r="B86">
        <v>1</v>
      </c>
      <c r="C86" t="inlineStr">
        <is>
          <t>1.4A</t>
        </is>
      </c>
      <c r="D86" t="inlineStr">
        <is>
          <t>PI GO - GO-556</t>
        </is>
      </c>
      <c r="F86" t="inlineStr">
        <is>
          <t>EMPA</t>
        </is>
      </c>
      <c r="G86" t="inlineStr">
        <is>
          <t>CLP-006</t>
        </is>
      </c>
      <c r="H86" t="inlineStr">
        <is>
          <t>Protocolo</t>
        </is>
      </c>
      <c r="I86">
        <v>1</v>
      </c>
      <c r="J86" t="inlineStr">
        <is>
          <t>Obras Complementares</t>
        </is>
      </c>
      <c r="K86" t="inlineStr">
        <is>
          <t>1.11</t>
        </is>
      </c>
      <c r="L86" t="inlineStr">
        <is>
          <t>Supressão</t>
        </is>
      </c>
      <c r="M86" t="inlineStr">
        <is>
          <t>Documental</t>
        </is>
      </c>
      <c r="N86" t="inlineStr">
        <is>
          <t>A documentação foi entregue Databook), porém em avaliação do OIA. As Built não foram entregues - areas suprimidas</t>
        </is>
      </c>
      <c r="O86" t="inlineStr">
        <is>
          <t>Tipo B</t>
        </is>
      </c>
      <c r="P86" t="inlineStr">
        <is>
          <t>35+074</t>
        </is>
      </c>
      <c r="Q86" t="inlineStr">
        <is>
          <t>35+080</t>
        </is>
      </c>
      <c r="R86" t="inlineStr">
        <is>
          <t>Encerrado</t>
        </is>
      </c>
      <c r="S86" t="inlineStr">
        <is>
          <t>Qualidade</t>
        </is>
      </c>
      <c r="T86" t="inlineStr">
        <is>
          <t>Aline Batista</t>
        </is>
      </c>
      <c r="U86" t="inlineStr">
        <is>
          <t>03/12/2025</t>
        </is>
      </c>
      <c r="V86" t="inlineStr">
        <is>
          <t>18/12/2025</t>
        </is>
      </c>
      <c r="W86">
        <v>174</v>
      </c>
      <c r="X86" t="inlineStr">
        <is>
          <t>-</t>
        </is>
      </c>
      <c r="Y86" t="inlineStr">
        <is>
          <t>15/05/2026</t>
        </is>
      </c>
      <c r="Z86" t="inlineStr">
        <is>
          <t>Concluído</t>
        </is>
      </c>
      <c r="AA86" t="inlineStr">
        <is>
          <t>Fechada +120 dias</t>
        </is>
      </c>
    </row>
    <row r="87">
      <c r="A87">
        <v>85</v>
      </c>
      <c r="B87">
        <v>1</v>
      </c>
      <c r="C87" t="inlineStr">
        <is>
          <t>1.4A</t>
        </is>
      </c>
      <c r="D87" t="inlineStr">
        <is>
          <t>PI GO - GO-556</t>
        </is>
      </c>
      <c r="F87" t="inlineStr">
        <is>
          <t>EMPA</t>
        </is>
      </c>
      <c r="G87" t="inlineStr">
        <is>
          <t>CLP-006</t>
        </is>
      </c>
      <c r="H87" t="inlineStr">
        <is>
          <t>Protocolo</t>
        </is>
      </c>
      <c r="I87">
        <v>1</v>
      </c>
      <c r="J87" t="inlineStr">
        <is>
          <t>Obras Complementares</t>
        </is>
      </c>
      <c r="K87" t="inlineStr">
        <is>
          <t>1.15</t>
        </is>
      </c>
      <c r="L87" t="inlineStr">
        <is>
          <t>New Jersey</t>
        </is>
      </c>
      <c r="M87" t="inlineStr">
        <is>
          <t>Acabamento do concreto</t>
        </is>
      </c>
      <c r="N87" t="inlineStr">
        <is>
          <t>Foi constatado durante a inspeção a necessidade de melhorias nos acabamentos: concreto quebrado, parafusos sobressalentes -  NEW JERSEY</t>
        </is>
      </c>
      <c r="O87" t="inlineStr">
        <is>
          <t>Tipo C</t>
        </is>
      </c>
      <c r="P87" t="inlineStr">
        <is>
          <t>35+074</t>
        </is>
      </c>
      <c r="Q87" t="inlineStr">
        <is>
          <t>35+080</t>
        </is>
      </c>
      <c r="R87" t="inlineStr">
        <is>
          <t>Encerrado</t>
        </is>
      </c>
      <c r="S87" t="inlineStr">
        <is>
          <t>Produção</t>
        </is>
      </c>
      <c r="T87" t="inlineStr">
        <is>
          <t>Aline Batista</t>
        </is>
      </c>
      <c r="U87" t="inlineStr">
        <is>
          <t>03/12/2025</t>
        </is>
      </c>
      <c r="V87" t="inlineStr">
        <is>
          <t>02/01/2026</t>
        </is>
      </c>
      <c r="W87">
        <v>159</v>
      </c>
      <c r="X87" t="inlineStr">
        <is>
          <t>-</t>
        </is>
      </c>
      <c r="Y87" t="inlineStr">
        <is>
          <t>30/03/2026</t>
        </is>
      </c>
      <c r="Z87" t="inlineStr">
        <is>
          <t>Concluído</t>
        </is>
      </c>
      <c r="AA87" t="inlineStr">
        <is>
          <t>Fechada 90-120 dias</t>
        </is>
      </c>
    </row>
    <row r="88">
      <c r="A88">
        <v>86</v>
      </c>
      <c r="B88">
        <v>1</v>
      </c>
      <c r="C88" t="inlineStr">
        <is>
          <t>1.4A</t>
        </is>
      </c>
      <c r="D88" t="inlineStr">
        <is>
          <t>PI GO - GO-556</t>
        </is>
      </c>
      <c r="F88" t="inlineStr">
        <is>
          <t>EMPA</t>
        </is>
      </c>
      <c r="G88" t="inlineStr">
        <is>
          <t>CLP-006</t>
        </is>
      </c>
      <c r="H88" t="inlineStr">
        <is>
          <t>Protocolo</t>
        </is>
      </c>
      <c r="I88">
        <v>1</v>
      </c>
      <c r="J88" t="inlineStr">
        <is>
          <t>Obras Complementares</t>
        </is>
      </c>
      <c r="K88" t="inlineStr">
        <is>
          <t>1.16</t>
        </is>
      </c>
      <c r="L88" t="inlineStr">
        <is>
          <t>Juntas de dilatação</t>
        </is>
      </c>
      <c r="M88" t="inlineStr">
        <is>
          <t>Tratamento de junta</t>
        </is>
      </c>
      <c r="N88" t="inlineStr">
        <is>
          <t>Durante a inspeção foi constatado a necessidade de melhorias nos acabamentos de trincas das juntas de dilatação.</t>
        </is>
      </c>
      <c r="O88" t="inlineStr">
        <is>
          <t>Tipo C</t>
        </is>
      </c>
      <c r="P88" t="inlineStr">
        <is>
          <t>35+074</t>
        </is>
      </c>
      <c r="Q88" t="inlineStr">
        <is>
          <t>35+080</t>
        </is>
      </c>
      <c r="R88" t="inlineStr">
        <is>
          <t>Encerrado</t>
        </is>
      </c>
      <c r="S88" t="inlineStr">
        <is>
          <t>Produção</t>
        </is>
      </c>
      <c r="T88" t="inlineStr">
        <is>
          <t>Aline Batista</t>
        </is>
      </c>
      <c r="U88" t="inlineStr">
        <is>
          <t>03/12/2025</t>
        </is>
      </c>
      <c r="V88" t="inlineStr">
        <is>
          <t>02/01/2026</t>
        </is>
      </c>
      <c r="W88">
        <v>159</v>
      </c>
      <c r="X88" t="inlineStr">
        <is>
          <t>-</t>
        </is>
      </c>
      <c r="Y88" t="inlineStr">
        <is>
          <t>30/03/2026</t>
        </is>
      </c>
      <c r="Z88" t="inlineStr">
        <is>
          <t>Concluído</t>
        </is>
      </c>
      <c r="AA88" t="inlineStr">
        <is>
          <t>Fechada 90-120 dias</t>
        </is>
      </c>
    </row>
    <row r="89">
      <c r="A89">
        <v>87</v>
      </c>
      <c r="B89">
        <v>1</v>
      </c>
      <c r="C89" t="inlineStr">
        <is>
          <t>1.4A</t>
        </is>
      </c>
      <c r="D89" t="inlineStr">
        <is>
          <t>PI GO - GO-556</t>
        </is>
      </c>
      <c r="F89" t="inlineStr">
        <is>
          <t>EMPA</t>
        </is>
      </c>
      <c r="G89" t="inlineStr">
        <is>
          <t>CLP-006</t>
        </is>
      </c>
      <c r="H89" t="inlineStr">
        <is>
          <t>Protocolo</t>
        </is>
      </c>
      <c r="I89">
        <v>1</v>
      </c>
      <c r="J89" t="inlineStr">
        <is>
          <t>Obras Complementares</t>
        </is>
      </c>
      <c r="K89" t="inlineStr">
        <is>
          <t>1.18</t>
        </is>
      </c>
      <c r="L89" t="inlineStr">
        <is>
          <t>New Jersey</t>
        </is>
      </c>
      <c r="M89" t="inlineStr">
        <is>
          <t>Acabamento do concreto</t>
        </is>
      </c>
      <c r="N89" t="inlineStr">
        <is>
          <t>Foi constatado durante a inspeção a necessidade de melhorias nos acabamentos: concreto quebrado, parafusos sobressalentes</t>
        </is>
      </c>
      <c r="O89" t="inlineStr">
        <is>
          <t>Tipo C</t>
        </is>
      </c>
      <c r="P89" t="inlineStr">
        <is>
          <t>35+074</t>
        </is>
      </c>
      <c r="Q89" t="inlineStr">
        <is>
          <t>35+080</t>
        </is>
      </c>
      <c r="R89" t="inlineStr">
        <is>
          <t>Encerrado</t>
        </is>
      </c>
      <c r="S89" t="inlineStr">
        <is>
          <t>Produção</t>
        </is>
      </c>
      <c r="T89" t="inlineStr">
        <is>
          <t>Aline Batista</t>
        </is>
      </c>
      <c r="U89" t="inlineStr">
        <is>
          <t>03/12/2025</t>
        </is>
      </c>
      <c r="V89" t="inlineStr">
        <is>
          <t>02/01/2026</t>
        </is>
      </c>
      <c r="W89">
        <v>159</v>
      </c>
      <c r="X89" t="inlineStr">
        <is>
          <t>-</t>
        </is>
      </c>
      <c r="Y89" t="inlineStr">
        <is>
          <t>30/03/2026</t>
        </is>
      </c>
      <c r="Z89" t="inlineStr">
        <is>
          <t>Concluído</t>
        </is>
      </c>
      <c r="AA89" t="inlineStr">
        <is>
          <t>Fechada 90-120 dias</t>
        </is>
      </c>
    </row>
    <row r="90">
      <c r="A90">
        <v>88</v>
      </c>
      <c r="B90">
        <v>1</v>
      </c>
      <c r="C90" t="inlineStr">
        <is>
          <t>1.4A</t>
        </is>
      </c>
      <c r="D90" t="inlineStr">
        <is>
          <t>PI GO - GO-556</t>
        </is>
      </c>
      <c r="F90" t="inlineStr">
        <is>
          <t>EMPA</t>
        </is>
      </c>
      <c r="G90" t="inlineStr">
        <is>
          <t>CLP-006</t>
        </is>
      </c>
      <c r="H90" t="inlineStr">
        <is>
          <t>Protocolo</t>
        </is>
      </c>
      <c r="I90">
        <v>1</v>
      </c>
      <c r="J90" t="inlineStr">
        <is>
          <t>Obras Complementares</t>
        </is>
      </c>
      <c r="K90" t="inlineStr">
        <is>
          <t>1.20</t>
        </is>
      </c>
      <c r="L90" t="inlineStr">
        <is>
          <t>Defensas Metálicas</t>
        </is>
      </c>
      <c r="M90" t="inlineStr">
        <is>
          <t>Documental</t>
        </is>
      </c>
      <c r="N90" t="inlineStr">
        <is>
          <t>A documentação foi entregue (Databook), porém em avaliação do OIA. A documentação entregue não contempla certificado dos ensaios de dobramento.</t>
        </is>
      </c>
      <c r="O90" t="inlineStr">
        <is>
          <t>Tipo B</t>
        </is>
      </c>
      <c r="P90" t="inlineStr">
        <is>
          <t>35+074</t>
        </is>
      </c>
      <c r="Q90" t="inlineStr">
        <is>
          <t>35+080</t>
        </is>
      </c>
      <c r="R90" t="inlineStr">
        <is>
          <t>Encerrado</t>
        </is>
      </c>
      <c r="S90" t="inlineStr">
        <is>
          <t>Qualidade</t>
        </is>
      </c>
      <c r="T90" t="inlineStr">
        <is>
          <t>Aline Batista</t>
        </is>
      </c>
      <c r="U90" t="inlineStr">
        <is>
          <t>03/12/2025</t>
        </is>
      </c>
      <c r="V90" t="inlineStr">
        <is>
          <t>18/12/2025</t>
        </is>
      </c>
      <c r="W90">
        <v>174</v>
      </c>
      <c r="X90" t="inlineStr">
        <is>
          <t>-</t>
        </is>
      </c>
      <c r="Y90" t="inlineStr">
        <is>
          <t>15/05/2026</t>
        </is>
      </c>
      <c r="Z90" t="inlineStr">
        <is>
          <t>Concluído</t>
        </is>
      </c>
      <c r="AA90" t="inlineStr">
        <is>
          <t>Fechada +120 dias</t>
        </is>
      </c>
    </row>
    <row r="91">
      <c r="A91">
        <v>89</v>
      </c>
      <c r="B91">
        <v>1</v>
      </c>
      <c r="C91" t="inlineStr">
        <is>
          <t>1.4A</t>
        </is>
      </c>
      <c r="D91" t="inlineStr">
        <is>
          <t>PI GO - GO-556</t>
        </is>
      </c>
      <c r="F91" t="inlineStr">
        <is>
          <t>EMPA</t>
        </is>
      </c>
      <c r="G91" t="inlineStr">
        <is>
          <t>CLP-006</t>
        </is>
      </c>
      <c r="H91" t="inlineStr">
        <is>
          <t>Protocolo</t>
        </is>
      </c>
      <c r="I91">
        <v>1</v>
      </c>
      <c r="J91" t="inlineStr">
        <is>
          <t>Obras Complementares</t>
        </is>
      </c>
      <c r="K91" t="inlineStr">
        <is>
          <t>1.21</t>
        </is>
      </c>
      <c r="L91" t="inlineStr">
        <is>
          <t>Defensas Metálicas</t>
        </is>
      </c>
      <c r="M91" t="inlineStr">
        <is>
          <t>Documental</t>
        </is>
      </c>
      <c r="N91" t="inlineStr">
        <is>
          <t>A documentação foi entregue (Databook), porém em avaliação do OIA. A documentação entregue não contempla o certificado do ensaio de Preece.</t>
        </is>
      </c>
      <c r="O91" t="inlineStr">
        <is>
          <t>Tipo B</t>
        </is>
      </c>
      <c r="P91" t="inlineStr">
        <is>
          <t>35+074</t>
        </is>
      </c>
      <c r="Q91" t="inlineStr">
        <is>
          <t>35+080</t>
        </is>
      </c>
      <c r="R91" t="inlineStr">
        <is>
          <t>Encerrado</t>
        </is>
      </c>
      <c r="S91" t="inlineStr">
        <is>
          <t>Qualidade</t>
        </is>
      </c>
      <c r="T91" t="inlineStr">
        <is>
          <t>Aline Batista</t>
        </is>
      </c>
      <c r="U91" t="inlineStr">
        <is>
          <t>03/12/2025</t>
        </is>
      </c>
      <c r="V91" t="inlineStr">
        <is>
          <t>18/12/2025</t>
        </is>
      </c>
      <c r="W91">
        <v>174</v>
      </c>
      <c r="X91" t="inlineStr">
        <is>
          <t>-</t>
        </is>
      </c>
      <c r="Y91" t="inlineStr">
        <is>
          <t>15/05/2026</t>
        </is>
      </c>
      <c r="Z91" t="inlineStr">
        <is>
          <t>Concluído</t>
        </is>
      </c>
      <c r="AA91" t="inlineStr">
        <is>
          <t>Fechada +120 dias</t>
        </is>
      </c>
    </row>
    <row r="92">
      <c r="A92">
        <v>90</v>
      </c>
      <c r="B92">
        <v>1</v>
      </c>
      <c r="C92" t="inlineStr">
        <is>
          <t>1.4A</t>
        </is>
      </c>
      <c r="D92" t="inlineStr">
        <is>
          <t>PI GO - GO-556</t>
        </is>
      </c>
      <c r="F92" t="inlineStr">
        <is>
          <t>EMPA</t>
        </is>
      </c>
      <c r="G92" t="inlineStr">
        <is>
          <t>CLP-006</t>
        </is>
      </c>
      <c r="H92" t="inlineStr">
        <is>
          <t>Protocolo</t>
        </is>
      </c>
      <c r="I92">
        <v>1</v>
      </c>
      <c r="J92" t="inlineStr">
        <is>
          <t>Obras Complementares</t>
        </is>
      </c>
      <c r="K92" t="inlineStr">
        <is>
          <t>1.22</t>
        </is>
      </c>
      <c r="L92" t="inlineStr">
        <is>
          <t>Defensas Metálicas</t>
        </is>
      </c>
      <c r="M92" t="inlineStr">
        <is>
          <t>Documental</t>
        </is>
      </c>
      <c r="N92" t="inlineStr">
        <is>
          <t>A documentação foi entregue (Databook), porém em avaliação do OIA. A documentação entregue não contempla o certificado do ensaio de Preece.</t>
        </is>
      </c>
      <c r="O92" t="inlineStr">
        <is>
          <t>Tipo B</t>
        </is>
      </c>
      <c r="P92" t="inlineStr">
        <is>
          <t>35+074</t>
        </is>
      </c>
      <c r="Q92" t="inlineStr">
        <is>
          <t>35+080</t>
        </is>
      </c>
      <c r="R92" t="inlineStr">
        <is>
          <t>Encerrado</t>
        </is>
      </c>
      <c r="S92" t="inlineStr">
        <is>
          <t>Qualidade</t>
        </is>
      </c>
      <c r="T92" t="inlineStr">
        <is>
          <t>Aline Batista</t>
        </is>
      </c>
      <c r="U92" t="inlineStr">
        <is>
          <t>03/12/2025</t>
        </is>
      </c>
      <c r="V92" t="inlineStr">
        <is>
          <t>18/12/2025</t>
        </is>
      </c>
      <c r="W92">
        <v>174</v>
      </c>
      <c r="X92" t="inlineStr">
        <is>
          <t>-</t>
        </is>
      </c>
      <c r="Y92" t="inlineStr">
        <is>
          <t>15/05/2026</t>
        </is>
      </c>
      <c r="Z92" t="inlineStr">
        <is>
          <t>Concluído</t>
        </is>
      </c>
      <c r="AA92" t="inlineStr">
        <is>
          <t>Fechada +120 dias</t>
        </is>
      </c>
    </row>
    <row r="93">
      <c r="A93">
        <v>91</v>
      </c>
      <c r="B93">
        <v>1</v>
      </c>
      <c r="C93" t="inlineStr">
        <is>
          <t>1.4A</t>
        </is>
      </c>
      <c r="D93" t="inlineStr">
        <is>
          <t>PI GO - GO-556</t>
        </is>
      </c>
      <c r="F93" t="inlineStr">
        <is>
          <t>EMPA</t>
        </is>
      </c>
      <c r="G93" t="inlineStr">
        <is>
          <t>CLP-006</t>
        </is>
      </c>
      <c r="H93" t="inlineStr">
        <is>
          <t>Protocolo</t>
        </is>
      </c>
      <c r="I93">
        <v>1</v>
      </c>
      <c r="J93" t="inlineStr">
        <is>
          <t>Obras Complementares</t>
        </is>
      </c>
      <c r="K93" t="inlineStr">
        <is>
          <t>1.23</t>
        </is>
      </c>
      <c r="L93" t="inlineStr">
        <is>
          <t>Defensas Metálicas</t>
        </is>
      </c>
      <c r="M93" t="inlineStr">
        <is>
          <t>Documental</t>
        </is>
      </c>
      <c r="N93" t="inlineStr">
        <is>
          <t>A documentação foi entregue (Databook), porém em avaliação do OIA. A documentação entregue não contempla certificado de ensaios destrutivos.</t>
        </is>
      </c>
      <c r="O93" t="inlineStr">
        <is>
          <t>Tipo B</t>
        </is>
      </c>
      <c r="P93" t="inlineStr">
        <is>
          <t>35+074</t>
        </is>
      </c>
      <c r="Q93" t="inlineStr">
        <is>
          <t>35+080</t>
        </is>
      </c>
      <c r="R93" t="inlineStr">
        <is>
          <t>Encerrado</t>
        </is>
      </c>
      <c r="S93" t="inlineStr">
        <is>
          <t>Qualidade</t>
        </is>
      </c>
      <c r="T93" t="inlineStr">
        <is>
          <t>Aline Batista</t>
        </is>
      </c>
      <c r="U93" t="inlineStr">
        <is>
          <t>03/12/2025</t>
        </is>
      </c>
      <c r="V93" t="inlineStr">
        <is>
          <t>18/12/2025</t>
        </is>
      </c>
      <c r="W93">
        <v>174</v>
      </c>
      <c r="X93" t="inlineStr">
        <is>
          <t>-</t>
        </is>
      </c>
      <c r="Y93" t="inlineStr">
        <is>
          <t>15/05/2026</t>
        </is>
      </c>
      <c r="Z93" t="inlineStr">
        <is>
          <t>Concluído</t>
        </is>
      </c>
      <c r="AA93" t="inlineStr">
        <is>
          <t>Fechada +120 dias</t>
        </is>
      </c>
    </row>
    <row r="94">
      <c r="A94">
        <v>92</v>
      </c>
      <c r="B94">
        <v>1</v>
      </c>
      <c r="C94" t="inlineStr">
        <is>
          <t>1.4A</t>
        </is>
      </c>
      <c r="D94" t="inlineStr">
        <is>
          <t>PI GO - GO-556</t>
        </is>
      </c>
      <c r="F94" t="inlineStr">
        <is>
          <t>EMPA</t>
        </is>
      </c>
      <c r="G94" t="inlineStr">
        <is>
          <t>CLP-006</t>
        </is>
      </c>
      <c r="H94" t="inlineStr">
        <is>
          <t>Protocolo</t>
        </is>
      </c>
      <c r="I94">
        <v>4</v>
      </c>
      <c r="J94" t="inlineStr">
        <is>
          <t>Terraplenagem</t>
        </is>
      </c>
      <c r="K94" t="inlineStr">
        <is>
          <t>4.1</t>
        </is>
      </c>
      <c r="L94" t="inlineStr">
        <is>
          <t>Aterro</t>
        </is>
      </c>
      <c r="M94" t="inlineStr">
        <is>
          <t>Documental</t>
        </is>
      </c>
      <c r="N94" t="inlineStr">
        <is>
          <t>A documentação foi entregue (Databook), porém em avaliação do OIA. As Built não foram entregues. A documentação entregue não contempla os ensaios das camadas de reaterro.</t>
        </is>
      </c>
      <c r="O94" t="inlineStr">
        <is>
          <t>Tipo B</t>
        </is>
      </c>
      <c r="P94" t="inlineStr">
        <is>
          <t>35+074</t>
        </is>
      </c>
      <c r="Q94" t="inlineStr">
        <is>
          <t>35+080</t>
        </is>
      </c>
      <c r="R94" t="inlineStr">
        <is>
          <t>Aberta</t>
        </is>
      </c>
      <c r="S94" t="inlineStr">
        <is>
          <t>Qualidade</t>
        </is>
      </c>
      <c r="T94" t="inlineStr">
        <is>
          <t>Aline Batista</t>
        </is>
      </c>
      <c r="U94" t="inlineStr">
        <is>
          <t>03/12/2025</t>
        </is>
      </c>
      <c r="V94" t="inlineStr">
        <is>
          <t>18/12/2025</t>
        </is>
      </c>
      <c r="W94">
        <v>174</v>
      </c>
      <c r="AA94" t="inlineStr">
        <is>
          <t>Aberta +120 dias</t>
        </is>
      </c>
      <c r="AB94" t="inlineStr">
        <is>
          <t>EMPA</t>
        </is>
      </c>
      <c r="AC94" t="inlineStr">
        <is>
          <t>Aline</t>
        </is>
      </c>
      <c r="AE94" t="inlineStr">
        <is>
          <t>19/06/2026</t>
        </is>
      </c>
      <c r="AF94" t="inlineStr">
        <is>
          <t>Ata de reunião de RM p/ BK</t>
        </is>
      </c>
    </row>
    <row r="95">
      <c r="A95">
        <v>93</v>
      </c>
      <c r="B95">
        <v>1</v>
      </c>
      <c r="C95" t="inlineStr">
        <is>
          <t>1.4A</t>
        </is>
      </c>
      <c r="D95" t="inlineStr">
        <is>
          <t>PI GO - GO-556</t>
        </is>
      </c>
      <c r="F95" t="inlineStr">
        <is>
          <t>EMPA</t>
        </is>
      </c>
      <c r="G95" t="inlineStr">
        <is>
          <t>CLP-006</t>
        </is>
      </c>
      <c r="H95" t="inlineStr">
        <is>
          <t>Protocolo</t>
        </is>
      </c>
      <c r="I95">
        <v>4</v>
      </c>
      <c r="J95" t="inlineStr">
        <is>
          <t>Terraplenagem</t>
        </is>
      </c>
      <c r="K95" t="inlineStr">
        <is>
          <t>4.2</t>
        </is>
      </c>
      <c r="L95" t="inlineStr">
        <is>
          <t>Sublastro</t>
        </is>
      </c>
      <c r="M95" t="inlineStr">
        <is>
          <t>Documental</t>
        </is>
      </c>
      <c r="N95" t="inlineStr">
        <is>
          <t>A documentação foi entregue (Databook), porém em avaliação do OIA. As Built não foram entregues. A documentação entregue não contempla levantamentos topográficos.</t>
        </is>
      </c>
      <c r="O95" t="inlineStr">
        <is>
          <t>Tipo B</t>
        </is>
      </c>
      <c r="P95" t="inlineStr">
        <is>
          <t>35+074</t>
        </is>
      </c>
      <c r="Q95" t="inlineStr">
        <is>
          <t>35+080</t>
        </is>
      </c>
      <c r="R95" t="inlineStr">
        <is>
          <t>Encerrado</t>
        </is>
      </c>
      <c r="S95" t="inlineStr">
        <is>
          <t>Qualidade</t>
        </is>
      </c>
      <c r="T95" t="inlineStr">
        <is>
          <t>Aline Batista</t>
        </is>
      </c>
      <c r="U95" t="inlineStr">
        <is>
          <t>03/12/2025</t>
        </is>
      </c>
      <c r="V95" t="inlineStr">
        <is>
          <t>18/12/2025</t>
        </is>
      </c>
      <c r="W95">
        <v>174</v>
      </c>
      <c r="X95" t="inlineStr">
        <is>
          <t>-</t>
        </is>
      </c>
      <c r="Y95" t="inlineStr">
        <is>
          <t>15/05/2026</t>
        </is>
      </c>
      <c r="Z95" t="inlineStr">
        <is>
          <t>Concluído</t>
        </is>
      </c>
      <c r="AA95" t="inlineStr">
        <is>
          <t>Fechada +120 dias</t>
        </is>
      </c>
    </row>
    <row r="96">
      <c r="A96">
        <v>94</v>
      </c>
      <c r="B96">
        <v>1</v>
      </c>
      <c r="C96" t="inlineStr">
        <is>
          <t>1.4A</t>
        </is>
      </c>
      <c r="D96" t="inlineStr">
        <is>
          <t>PI GO - GO-556</t>
        </is>
      </c>
      <c r="F96" t="inlineStr">
        <is>
          <t>EMPA</t>
        </is>
      </c>
      <c r="G96" t="inlineStr">
        <is>
          <t>CLP-006</t>
        </is>
      </c>
      <c r="H96" t="inlineStr">
        <is>
          <t>Protocolo</t>
        </is>
      </c>
      <c r="I96">
        <v>4</v>
      </c>
      <c r="J96" t="inlineStr">
        <is>
          <t>Terraplenagem</t>
        </is>
      </c>
      <c r="K96" t="inlineStr">
        <is>
          <t>4.6</t>
        </is>
      </c>
      <c r="L96" t="inlineStr">
        <is>
          <t>Sublastro</t>
        </is>
      </c>
      <c r="M96" t="inlineStr">
        <is>
          <t>Documental</t>
        </is>
      </c>
      <c r="N96" t="inlineStr">
        <is>
          <t>A documentação foi entregue (databook), porém em avaliação do OIA. As Built não foram entregues. A documentação entregue não contempla liberação topográfica e controle de todas as camadas de aterro executadas.</t>
        </is>
      </c>
      <c r="O96" t="inlineStr">
        <is>
          <t>Tipo B</t>
        </is>
      </c>
      <c r="P96" t="inlineStr">
        <is>
          <t>35+074</t>
        </is>
      </c>
      <c r="Q96" t="inlineStr">
        <is>
          <t>35+080</t>
        </is>
      </c>
      <c r="R96" t="inlineStr">
        <is>
          <t>Encerrado</t>
        </is>
      </c>
      <c r="S96" t="inlineStr">
        <is>
          <t>Qualidade</t>
        </is>
      </c>
      <c r="T96" t="inlineStr">
        <is>
          <t>Aline Batista</t>
        </is>
      </c>
      <c r="U96" t="inlineStr">
        <is>
          <t>03/12/2025</t>
        </is>
      </c>
      <c r="V96" t="inlineStr">
        <is>
          <t>18/12/2025</t>
        </is>
      </c>
      <c r="W96">
        <v>174</v>
      </c>
      <c r="X96" t="inlineStr">
        <is>
          <t>-</t>
        </is>
      </c>
      <c r="Y96" t="inlineStr">
        <is>
          <t>15/05/2026</t>
        </is>
      </c>
      <c r="Z96" t="inlineStr">
        <is>
          <t>Concluído</t>
        </is>
      </c>
      <c r="AA96" t="inlineStr">
        <is>
          <t>Fechada +120 dias</t>
        </is>
      </c>
    </row>
    <row r="97">
      <c r="A97">
        <v>95</v>
      </c>
      <c r="B97">
        <v>1</v>
      </c>
      <c r="C97" t="inlineStr">
        <is>
          <t>1.4A</t>
        </is>
      </c>
      <c r="D97" t="inlineStr">
        <is>
          <t>PI GO - GO-556</t>
        </is>
      </c>
      <c r="F97" t="inlineStr">
        <is>
          <t>EMPA</t>
        </is>
      </c>
      <c r="G97" t="inlineStr">
        <is>
          <t>CLP-006</t>
        </is>
      </c>
      <c r="H97" t="inlineStr">
        <is>
          <t>Protocolo</t>
        </is>
      </c>
      <c r="I97">
        <v>4</v>
      </c>
      <c r="J97" t="inlineStr">
        <is>
          <t>Terraplenagem</t>
        </is>
      </c>
      <c r="K97" t="inlineStr">
        <is>
          <t>4.7</t>
        </is>
      </c>
      <c r="L97" t="inlineStr">
        <is>
          <t>Corte</t>
        </is>
      </c>
      <c r="M97" t="inlineStr">
        <is>
          <t>Documental</t>
        </is>
      </c>
      <c r="N97" t="inlineStr">
        <is>
          <t>A documentação foi entregue (Databook), porém em avaliação do OIA. As Built não foram entregues - seção transversal do corte</t>
        </is>
      </c>
      <c r="O97" t="inlineStr">
        <is>
          <t>Tipo B</t>
        </is>
      </c>
      <c r="P97" t="inlineStr">
        <is>
          <t>35+074</t>
        </is>
      </c>
      <c r="Q97" t="inlineStr">
        <is>
          <t>35+080</t>
        </is>
      </c>
      <c r="R97" t="inlineStr">
        <is>
          <t>Encerrado</t>
        </is>
      </c>
      <c r="S97" t="inlineStr">
        <is>
          <t>Qualidade</t>
        </is>
      </c>
      <c r="T97" t="inlineStr">
        <is>
          <t>Aline Batista</t>
        </is>
      </c>
      <c r="U97" t="inlineStr">
        <is>
          <t>03/12/2025</t>
        </is>
      </c>
      <c r="V97" t="inlineStr">
        <is>
          <t>18/12/2025</t>
        </is>
      </c>
      <c r="W97">
        <v>174</v>
      </c>
      <c r="X97" t="inlineStr">
        <is>
          <t>-</t>
        </is>
      </c>
      <c r="Y97" t="inlineStr">
        <is>
          <t>15/05/2026</t>
        </is>
      </c>
      <c r="Z97" t="inlineStr">
        <is>
          <t>Concluído</t>
        </is>
      </c>
      <c r="AA97" t="inlineStr">
        <is>
          <t>Fechada +120 dias</t>
        </is>
      </c>
    </row>
    <row r="98">
      <c r="A98">
        <v>96</v>
      </c>
      <c r="B98">
        <v>1</v>
      </c>
      <c r="C98" t="inlineStr">
        <is>
          <t>1.4A</t>
        </is>
      </c>
      <c r="D98" t="inlineStr">
        <is>
          <t>PI GO - GO-556</t>
        </is>
      </c>
      <c r="F98" t="inlineStr">
        <is>
          <t>EMPA</t>
        </is>
      </c>
      <c r="G98" t="inlineStr">
        <is>
          <t>CLP-006</t>
        </is>
      </c>
      <c r="H98" t="inlineStr">
        <is>
          <t>Protocolo</t>
        </is>
      </c>
      <c r="I98">
        <v>4</v>
      </c>
      <c r="J98" t="inlineStr">
        <is>
          <t>Terraplenagem</t>
        </is>
      </c>
      <c r="K98" t="inlineStr">
        <is>
          <t>4.8</t>
        </is>
      </c>
      <c r="L98" t="inlineStr">
        <is>
          <t>Aterro</t>
        </is>
      </c>
      <c r="M98" t="inlineStr">
        <is>
          <t>Documental</t>
        </is>
      </c>
      <c r="N98" t="inlineStr">
        <is>
          <t>A documentação foi entregue (Databook), porém em avaliação do OIA. As Built não foram entregues - seção transversal do aterro</t>
        </is>
      </c>
      <c r="O98" t="inlineStr">
        <is>
          <t>Tipo B</t>
        </is>
      </c>
      <c r="P98" t="inlineStr">
        <is>
          <t>35+074</t>
        </is>
      </c>
      <c r="Q98" t="inlineStr">
        <is>
          <t>35+080</t>
        </is>
      </c>
      <c r="R98" t="inlineStr">
        <is>
          <t>Encerrado</t>
        </is>
      </c>
      <c r="S98" t="inlineStr">
        <is>
          <t>Qualidade</t>
        </is>
      </c>
      <c r="T98" t="inlineStr">
        <is>
          <t>Aline Batista</t>
        </is>
      </c>
      <c r="U98" t="inlineStr">
        <is>
          <t>03/12/2025</t>
        </is>
      </c>
      <c r="V98" t="inlineStr">
        <is>
          <t>18/12/2025</t>
        </is>
      </c>
      <c r="W98">
        <v>174</v>
      </c>
      <c r="X98" t="inlineStr">
        <is>
          <t>-</t>
        </is>
      </c>
      <c r="Y98" t="inlineStr">
        <is>
          <t>15/05/2026</t>
        </is>
      </c>
      <c r="Z98" t="inlineStr">
        <is>
          <t>Concluído</t>
        </is>
      </c>
      <c r="AA98" t="inlineStr">
        <is>
          <t>Fechada +120 dias</t>
        </is>
      </c>
    </row>
    <row r="99">
      <c r="A99">
        <v>97</v>
      </c>
      <c r="B99">
        <v>1</v>
      </c>
      <c r="C99" t="inlineStr">
        <is>
          <t>1.4A</t>
        </is>
      </c>
      <c r="D99" t="inlineStr">
        <is>
          <t>PI GO - GO-556</t>
        </is>
      </c>
      <c r="F99" t="inlineStr">
        <is>
          <t>EMPA</t>
        </is>
      </c>
      <c r="G99" t="inlineStr">
        <is>
          <t>CLP-006</t>
        </is>
      </c>
      <c r="H99" t="inlineStr">
        <is>
          <t>Protocolo</t>
        </is>
      </c>
      <c r="I99">
        <v>4</v>
      </c>
      <c r="J99" t="inlineStr">
        <is>
          <t>Terraplenagem</t>
        </is>
      </c>
      <c r="K99" t="inlineStr">
        <is>
          <t>4.10</t>
        </is>
      </c>
      <c r="L99" t="inlineStr">
        <is>
          <t>Sublastro</t>
        </is>
      </c>
      <c r="M99" t="inlineStr">
        <is>
          <t>Documental</t>
        </is>
      </c>
      <c r="N99" t="inlineStr">
        <is>
          <t>A documentação foi entregue (Databook), porém em avaliação do OIA. As Built não foram entregues. A documentação entregue não contempla documentos de verificação geométrica.</t>
        </is>
      </c>
      <c r="O99" t="inlineStr">
        <is>
          <t>Tipo B</t>
        </is>
      </c>
      <c r="P99" t="inlineStr">
        <is>
          <t>35+074</t>
        </is>
      </c>
      <c r="Q99" t="inlineStr">
        <is>
          <t>35+080</t>
        </is>
      </c>
      <c r="R99" t="inlineStr">
        <is>
          <t>Encerrado</t>
        </is>
      </c>
      <c r="S99" t="inlineStr">
        <is>
          <t>Qualidade</t>
        </is>
      </c>
      <c r="T99" t="inlineStr">
        <is>
          <t>Aline Batista</t>
        </is>
      </c>
      <c r="U99" t="inlineStr">
        <is>
          <t>03/12/2025</t>
        </is>
      </c>
      <c r="V99" t="inlineStr">
        <is>
          <t>18/12/2025</t>
        </is>
      </c>
      <c r="W99">
        <v>174</v>
      </c>
      <c r="X99" t="inlineStr">
        <is>
          <t>-</t>
        </is>
      </c>
      <c r="Y99" t="inlineStr">
        <is>
          <t>15/05/2026</t>
        </is>
      </c>
      <c r="Z99" t="inlineStr">
        <is>
          <t>Concluído</t>
        </is>
      </c>
      <c r="AA99" t="inlineStr">
        <is>
          <t>Fechada +120 dias</t>
        </is>
      </c>
    </row>
    <row r="100">
      <c r="A100">
        <v>98</v>
      </c>
      <c r="B100">
        <v>1</v>
      </c>
      <c r="C100" t="inlineStr">
        <is>
          <t>1.4A</t>
        </is>
      </c>
      <c r="D100" t="inlineStr">
        <is>
          <t>PI GO - GO-556</t>
        </is>
      </c>
      <c r="F100" t="inlineStr">
        <is>
          <t>EMPA</t>
        </is>
      </c>
      <c r="G100" t="inlineStr">
        <is>
          <t>CLP-006</t>
        </is>
      </c>
      <c r="H100" t="inlineStr">
        <is>
          <t>Protocolo</t>
        </is>
      </c>
      <c r="I100">
        <v>4</v>
      </c>
      <c r="J100" t="inlineStr">
        <is>
          <t>Terraplenagem</t>
        </is>
      </c>
      <c r="K100" t="inlineStr">
        <is>
          <t>4.11</t>
        </is>
      </c>
      <c r="L100" t="inlineStr">
        <is>
          <t>Talude</t>
        </is>
      </c>
      <c r="M100" t="inlineStr">
        <is>
          <t>Erosões</t>
        </is>
      </c>
      <c r="N100" t="inlineStr">
        <is>
          <t>Foi evidenciado durante a inspeção processos erosivos nos taludes LE/LD e aplicação de hidrossemeadura.</t>
        </is>
      </c>
      <c r="O100" t="inlineStr">
        <is>
          <t>Tipo A</t>
        </is>
      </c>
      <c r="P100" t="inlineStr">
        <is>
          <t>35+074</t>
        </is>
      </c>
      <c r="Q100" t="inlineStr">
        <is>
          <t>35+080</t>
        </is>
      </c>
      <c r="R100" t="inlineStr">
        <is>
          <t>Encerrado</t>
        </is>
      </c>
      <c r="S100" t="inlineStr">
        <is>
          <t>Qualidade</t>
        </is>
      </c>
      <c r="T100" t="inlineStr">
        <is>
          <t>Aline Batista</t>
        </is>
      </c>
      <c r="U100" t="inlineStr">
        <is>
          <t>03/12/2025</t>
        </is>
      </c>
      <c r="V100" t="inlineStr">
        <is>
          <t>10/12/2025</t>
        </is>
      </c>
      <c r="W100">
        <v>182</v>
      </c>
      <c r="X100" t="inlineStr">
        <is>
          <t>-</t>
        </is>
      </c>
      <c r="Y100" t="inlineStr">
        <is>
          <t>15/05/2026</t>
        </is>
      </c>
      <c r="Z100" t="inlineStr">
        <is>
          <t>Concluído</t>
        </is>
      </c>
      <c r="AA100" t="inlineStr">
        <is>
          <t>Fechada +120 dias</t>
        </is>
      </c>
    </row>
    <row r="101">
      <c r="A101">
        <v>99</v>
      </c>
      <c r="B101">
        <v>1</v>
      </c>
      <c r="C101" t="inlineStr">
        <is>
          <t>1.4A</t>
        </is>
      </c>
      <c r="D101" t="inlineStr">
        <is>
          <t>PI GO - GO-556</t>
        </is>
      </c>
      <c r="F101" t="inlineStr">
        <is>
          <t>EMPA</t>
        </is>
      </c>
      <c r="G101" t="inlineStr">
        <is>
          <t>CLP-006</t>
        </is>
      </c>
      <c r="H101" t="inlineStr">
        <is>
          <t>Protocolo</t>
        </is>
      </c>
      <c r="I101">
        <v>4</v>
      </c>
      <c r="J101" t="inlineStr">
        <is>
          <t>Terraplenagem</t>
        </is>
      </c>
      <c r="K101" t="inlineStr">
        <is>
          <t>4.12</t>
        </is>
      </c>
      <c r="L101" t="inlineStr">
        <is>
          <t>Aterro</t>
        </is>
      </c>
      <c r="M101" t="inlineStr">
        <is>
          <t>Documental</t>
        </is>
      </c>
      <c r="N101" t="inlineStr">
        <is>
          <t>A documentação foi entregue (Databook), porém em avaliaçao do OIA. A documentação entregue apresenta inconsistências e confusa quanto ao material empregado - Fichas geotécnicas</t>
        </is>
      </c>
      <c r="O101" t="inlineStr">
        <is>
          <t>Tipo B</t>
        </is>
      </c>
      <c r="P101" t="inlineStr">
        <is>
          <t>35+074</t>
        </is>
      </c>
      <c r="Q101" t="inlineStr">
        <is>
          <t>35+080</t>
        </is>
      </c>
      <c r="R101" t="inlineStr">
        <is>
          <t>Aberta</t>
        </is>
      </c>
      <c r="S101" t="inlineStr">
        <is>
          <t>Qualidade</t>
        </is>
      </c>
      <c r="T101" t="inlineStr">
        <is>
          <t>Aline Batista</t>
        </is>
      </c>
      <c r="U101" t="inlineStr">
        <is>
          <t>03/12/2025</t>
        </is>
      </c>
      <c r="V101" t="inlineStr">
        <is>
          <t>18/12/2025</t>
        </is>
      </c>
      <c r="W101">
        <v>174</v>
      </c>
      <c r="AA101" t="inlineStr">
        <is>
          <t>Aberta +120 dias</t>
        </is>
      </c>
      <c r="AB101" t="inlineStr">
        <is>
          <t>EMPA</t>
        </is>
      </c>
      <c r="AC101" t="inlineStr">
        <is>
          <t>Aline</t>
        </is>
      </c>
      <c r="AE101" t="inlineStr">
        <is>
          <t>19/06/2026</t>
        </is>
      </c>
      <c r="AF101" t="inlineStr">
        <is>
          <t>Ata de reunião de RM p/ BK</t>
        </is>
      </c>
    </row>
    <row r="102">
      <c r="A102">
        <v>100</v>
      </c>
      <c r="B102">
        <v>1</v>
      </c>
      <c r="C102" t="inlineStr">
        <is>
          <t>1.4A</t>
        </is>
      </c>
      <c r="D102" t="inlineStr">
        <is>
          <t>PI GO - GO-556</t>
        </is>
      </c>
      <c r="F102" t="inlineStr">
        <is>
          <t>EMPA</t>
        </is>
      </c>
      <c r="G102" t="inlineStr">
        <is>
          <t>CLP-006</t>
        </is>
      </c>
      <c r="H102" t="inlineStr">
        <is>
          <t>Protocolo</t>
        </is>
      </c>
      <c r="I102">
        <v>4</v>
      </c>
      <c r="J102" t="inlineStr">
        <is>
          <t>Terraplenagem</t>
        </is>
      </c>
      <c r="K102" t="inlineStr">
        <is>
          <t>4.13</t>
        </is>
      </c>
      <c r="L102" t="inlineStr">
        <is>
          <t>Aterro</t>
        </is>
      </c>
      <c r="M102" t="inlineStr">
        <is>
          <t>Documental</t>
        </is>
      </c>
      <c r="N102" t="inlineStr">
        <is>
          <t>A documentação foi entregue (Databook), porém em avaliação do OIA. A documentação entregue está incompleta quanto aos ensaios do reaterro.</t>
        </is>
      </c>
      <c r="O102" t="inlineStr">
        <is>
          <t>Tipo B</t>
        </is>
      </c>
      <c r="P102" t="inlineStr">
        <is>
          <t>35+074</t>
        </is>
      </c>
      <c r="Q102" t="inlineStr">
        <is>
          <t>35+080</t>
        </is>
      </c>
      <c r="R102" t="inlineStr">
        <is>
          <t>Aberta</t>
        </is>
      </c>
      <c r="S102" t="inlineStr">
        <is>
          <t>Qualidade</t>
        </is>
      </c>
      <c r="T102" t="inlineStr">
        <is>
          <t>Aline Batista</t>
        </is>
      </c>
      <c r="U102" t="inlineStr">
        <is>
          <t>03/12/2025</t>
        </is>
      </c>
      <c r="V102" t="inlineStr">
        <is>
          <t>18/12/2025</t>
        </is>
      </c>
      <c r="W102">
        <v>174</v>
      </c>
      <c r="AA102" t="inlineStr">
        <is>
          <t>Aberta +120 dias</t>
        </is>
      </c>
      <c r="AB102" t="inlineStr">
        <is>
          <t>EMPA</t>
        </is>
      </c>
      <c r="AC102" t="inlineStr">
        <is>
          <t>Aline</t>
        </is>
      </c>
      <c r="AE102" t="inlineStr">
        <is>
          <t>19/06/2026</t>
        </is>
      </c>
      <c r="AF102" t="inlineStr">
        <is>
          <t>Ata de reunião de RM p/ BK</t>
        </is>
      </c>
    </row>
    <row r="103">
      <c r="A103">
        <v>101</v>
      </c>
      <c r="B103">
        <v>1</v>
      </c>
      <c r="C103" t="inlineStr">
        <is>
          <t>1.4A</t>
        </is>
      </c>
      <c r="D103" t="inlineStr">
        <is>
          <t>PI GO - GO-556</t>
        </is>
      </c>
      <c r="F103" t="inlineStr">
        <is>
          <t>EMPA</t>
        </is>
      </c>
      <c r="G103" t="inlineStr">
        <is>
          <t>CLP-006</t>
        </is>
      </c>
      <c r="H103" t="inlineStr">
        <is>
          <t>Protocolo</t>
        </is>
      </c>
      <c r="I103">
        <v>4</v>
      </c>
      <c r="J103" t="inlineStr">
        <is>
          <t>Terraplenagem</t>
        </is>
      </c>
      <c r="K103" t="inlineStr">
        <is>
          <t>4.20</t>
        </is>
      </c>
      <c r="L103" t="inlineStr">
        <is>
          <t>Talude</t>
        </is>
      </c>
      <c r="M103" t="inlineStr">
        <is>
          <t>Erosões</t>
        </is>
      </c>
      <c r="N103" t="inlineStr">
        <is>
          <t>Durante a inspeção foi evidenciado processos erosivos nos taludes do aterro e complemento de hidrossemeadura.</t>
        </is>
      </c>
      <c r="O103" t="inlineStr">
        <is>
          <t>Tipo A</t>
        </is>
      </c>
      <c r="P103" t="inlineStr">
        <is>
          <t>35+074</t>
        </is>
      </c>
      <c r="Q103" t="inlineStr">
        <is>
          <t>35+080</t>
        </is>
      </c>
      <c r="R103" t="inlineStr">
        <is>
          <t>Encerrado</t>
        </is>
      </c>
      <c r="S103" t="inlineStr">
        <is>
          <t>Qualidade</t>
        </is>
      </c>
      <c r="T103" t="inlineStr">
        <is>
          <t>Aline Batista</t>
        </is>
      </c>
      <c r="U103" t="inlineStr">
        <is>
          <t>03/12/2025</t>
        </is>
      </c>
      <c r="V103" t="inlineStr">
        <is>
          <t>10/12/2025</t>
        </is>
      </c>
      <c r="W103">
        <v>182</v>
      </c>
      <c r="X103" t="inlineStr">
        <is>
          <t>-</t>
        </is>
      </c>
      <c r="Y103" t="inlineStr">
        <is>
          <t>15/05/2026</t>
        </is>
      </c>
      <c r="Z103" t="inlineStr">
        <is>
          <t>Concluído</t>
        </is>
      </c>
      <c r="AA103" t="inlineStr">
        <is>
          <t>Fechada +120 dias</t>
        </is>
      </c>
    </row>
    <row r="104">
      <c r="A104">
        <v>102</v>
      </c>
      <c r="B104">
        <v>1</v>
      </c>
      <c r="C104" t="inlineStr">
        <is>
          <t>1.4A</t>
        </is>
      </c>
      <c r="D104" t="inlineStr">
        <is>
          <t>PI GO - GO-556</t>
        </is>
      </c>
      <c r="F104" t="inlineStr">
        <is>
          <t>EMPA</t>
        </is>
      </c>
      <c r="G104" t="inlineStr">
        <is>
          <t>CLP-006</t>
        </is>
      </c>
      <c r="H104" t="inlineStr">
        <is>
          <t>Protocolo</t>
        </is>
      </c>
      <c r="I104">
        <v>4</v>
      </c>
      <c r="J104" t="inlineStr">
        <is>
          <t>Terraplenagem</t>
        </is>
      </c>
      <c r="K104" t="inlineStr">
        <is>
          <t>4.22</t>
        </is>
      </c>
      <c r="L104" t="inlineStr">
        <is>
          <t>Talude</t>
        </is>
      </c>
      <c r="M104" t="inlineStr">
        <is>
          <t>Inclinação</t>
        </is>
      </c>
      <c r="N104" t="inlineStr">
        <is>
          <t>Talude de corte com Ângulo elevado (ofício nº 6541/2025/GOINFRA)</t>
        </is>
      </c>
      <c r="O104" t="inlineStr">
        <is>
          <t>Tipo B</t>
        </is>
      </c>
      <c r="P104" t="inlineStr">
        <is>
          <t>35+074</t>
        </is>
      </c>
      <c r="Q104" t="inlineStr">
        <is>
          <t>35+080</t>
        </is>
      </c>
      <c r="R104" t="inlineStr">
        <is>
          <t>Encerrado</t>
        </is>
      </c>
      <c r="S104" t="inlineStr">
        <is>
          <t>Qualidade</t>
        </is>
      </c>
      <c r="T104" t="inlineStr">
        <is>
          <t>Aline Batista</t>
        </is>
      </c>
      <c r="U104" t="inlineStr">
        <is>
          <t>03/12/2025</t>
        </is>
      </c>
      <c r="V104" t="inlineStr">
        <is>
          <t>18/12/2025</t>
        </is>
      </c>
      <c r="W104">
        <v>174</v>
      </c>
      <c r="X104" t="inlineStr">
        <is>
          <t>-</t>
        </is>
      </c>
      <c r="Y104" t="inlineStr">
        <is>
          <t>15/05/2026</t>
        </is>
      </c>
      <c r="Z104" t="inlineStr">
        <is>
          <t>Concluído</t>
        </is>
      </c>
      <c r="AA104" t="inlineStr">
        <is>
          <t>Fechada +120 dias</t>
        </is>
      </c>
    </row>
    <row r="105">
      <c r="A105">
        <v>103</v>
      </c>
      <c r="B105">
        <v>1</v>
      </c>
      <c r="C105" t="inlineStr">
        <is>
          <t>1.4A</t>
        </is>
      </c>
      <c r="D105" t="inlineStr">
        <is>
          <t>PI GO - GO-556</t>
        </is>
      </c>
      <c r="F105" t="inlineStr">
        <is>
          <t>EMPA</t>
        </is>
      </c>
      <c r="G105" t="inlineStr">
        <is>
          <t>CLP-006</t>
        </is>
      </c>
      <c r="H105" t="inlineStr">
        <is>
          <t>Protocolo</t>
        </is>
      </c>
      <c r="I105">
        <v>4</v>
      </c>
      <c r="J105" t="inlineStr">
        <is>
          <t>Terraplenagem</t>
        </is>
      </c>
      <c r="K105" t="inlineStr">
        <is>
          <t>4.24</t>
        </is>
      </c>
      <c r="L105" t="inlineStr">
        <is>
          <t>Acesso</t>
        </is>
      </c>
      <c r="M105" t="inlineStr">
        <is>
          <t>Regularização e recuperação de área</t>
        </is>
      </c>
      <c r="N105" t="inlineStr">
        <is>
          <t>sendo necessário: descomissionamento, regularização e recuperação da área e a destinação adequada do resíduo de pavimentação</t>
        </is>
      </c>
      <c r="O105" t="inlineStr">
        <is>
          <t>Tipo A</t>
        </is>
      </c>
      <c r="P105" t="inlineStr">
        <is>
          <t>35+074</t>
        </is>
      </c>
      <c r="Q105" t="inlineStr">
        <is>
          <t>35+080</t>
        </is>
      </c>
      <c r="R105" t="inlineStr">
        <is>
          <t>Encerrado</t>
        </is>
      </c>
      <c r="S105" t="inlineStr">
        <is>
          <t>Qualidade</t>
        </is>
      </c>
      <c r="T105" t="inlineStr">
        <is>
          <t>Aline Batista</t>
        </is>
      </c>
      <c r="U105" t="inlineStr">
        <is>
          <t>03/12/2025</t>
        </is>
      </c>
      <c r="V105" t="inlineStr">
        <is>
          <t>10/12/2025</t>
        </is>
      </c>
      <c r="W105">
        <v>182</v>
      </c>
      <c r="X105" t="inlineStr">
        <is>
          <t>-</t>
        </is>
      </c>
      <c r="Y105" t="inlineStr">
        <is>
          <t>15/05/2026</t>
        </is>
      </c>
      <c r="Z105" t="inlineStr">
        <is>
          <t>Concluído</t>
        </is>
      </c>
      <c r="AA105" t="inlineStr">
        <is>
          <t>Fechada +120 dias</t>
        </is>
      </c>
    </row>
    <row r="106">
      <c r="A106">
        <v>104</v>
      </c>
      <c r="B106">
        <v>1</v>
      </c>
      <c r="C106" t="inlineStr">
        <is>
          <t>1.4A</t>
        </is>
      </c>
      <c r="D106" t="inlineStr">
        <is>
          <t>PI GO - GO-556</t>
        </is>
      </c>
      <c r="F106" t="inlineStr">
        <is>
          <t>EMPA</t>
        </is>
      </c>
      <c r="G106" t="inlineStr">
        <is>
          <t>CLP-006</t>
        </is>
      </c>
      <c r="H106" t="inlineStr">
        <is>
          <t>Protocolo</t>
        </is>
      </c>
      <c r="I106">
        <v>4</v>
      </c>
      <c r="J106" t="inlineStr">
        <is>
          <t>Terraplenagem</t>
        </is>
      </c>
      <c r="K106" t="inlineStr">
        <is>
          <t>4.25</t>
        </is>
      </c>
      <c r="L106" t="inlineStr">
        <is>
          <t>Passagem Inferior</t>
        </is>
      </c>
      <c r="M106" t="inlineStr">
        <is>
          <t>Conformação</t>
        </is>
      </c>
      <c r="N106" t="inlineStr">
        <is>
          <t>Conformação do material solto e dos processos erosivos.</t>
        </is>
      </c>
      <c r="O106" t="inlineStr">
        <is>
          <t>Tipo C</t>
        </is>
      </c>
      <c r="P106" t="inlineStr">
        <is>
          <t>35+074</t>
        </is>
      </c>
      <c r="Q106" t="inlineStr">
        <is>
          <t>35+080</t>
        </is>
      </c>
      <c r="R106" t="inlineStr">
        <is>
          <t>Encerrado</t>
        </is>
      </c>
      <c r="S106" t="inlineStr">
        <is>
          <t>Qualidade</t>
        </is>
      </c>
      <c r="T106" t="inlineStr">
        <is>
          <t>Aline Batista</t>
        </is>
      </c>
      <c r="U106" t="inlineStr">
        <is>
          <t>03/12/2025</t>
        </is>
      </c>
      <c r="V106" t="inlineStr">
        <is>
          <t>02/01/2026</t>
        </is>
      </c>
      <c r="W106">
        <v>159</v>
      </c>
      <c r="X106" t="inlineStr">
        <is>
          <t>-</t>
        </is>
      </c>
      <c r="Y106" t="inlineStr">
        <is>
          <t>15/05/2026</t>
        </is>
      </c>
      <c r="Z106" t="inlineStr">
        <is>
          <t>Concluído</t>
        </is>
      </c>
      <c r="AA106" t="inlineStr">
        <is>
          <t>Fechada +120 dias</t>
        </is>
      </c>
    </row>
    <row r="107">
      <c r="A107">
        <v>105</v>
      </c>
      <c r="B107">
        <v>1</v>
      </c>
      <c r="C107" t="inlineStr">
        <is>
          <t>1.4A</t>
        </is>
      </c>
      <c r="D107" t="inlineStr">
        <is>
          <t>PI GO - GO-556</t>
        </is>
      </c>
      <c r="F107" t="inlineStr">
        <is>
          <t>EMPA</t>
        </is>
      </c>
      <c r="G107" t="inlineStr">
        <is>
          <t>CLP-006</t>
        </is>
      </c>
      <c r="H107" t="inlineStr">
        <is>
          <t>Protocolo</t>
        </is>
      </c>
      <c r="I107">
        <v>4</v>
      </c>
      <c r="J107" t="inlineStr">
        <is>
          <t>Terraplenagem</t>
        </is>
      </c>
      <c r="K107" t="inlineStr">
        <is>
          <t>4.26</t>
        </is>
      </c>
      <c r="L107" t="inlineStr">
        <is>
          <t>Passagem Inferior</t>
        </is>
      </c>
      <c r="M107" t="inlineStr">
        <is>
          <t>Documental</t>
        </is>
      </c>
      <c r="N107" t="inlineStr">
        <is>
          <t>A documentação foi entregue (Databook), porém em avaliação do OIA. As Built não foram entregues.</t>
        </is>
      </c>
      <c r="O107" t="inlineStr">
        <is>
          <t>Tipo B</t>
        </is>
      </c>
      <c r="P107" t="inlineStr">
        <is>
          <t>35+074</t>
        </is>
      </c>
      <c r="Q107" t="inlineStr">
        <is>
          <t>35+080</t>
        </is>
      </c>
      <c r="R107" t="inlineStr">
        <is>
          <t>Encerrado</t>
        </is>
      </c>
      <c r="S107" t="inlineStr">
        <is>
          <t>Qualidade</t>
        </is>
      </c>
      <c r="T107" t="inlineStr">
        <is>
          <t>Aline Batista</t>
        </is>
      </c>
      <c r="U107" t="inlineStr">
        <is>
          <t>03/12/2025</t>
        </is>
      </c>
      <c r="V107" t="inlineStr">
        <is>
          <t>18/12/2025</t>
        </is>
      </c>
      <c r="W107">
        <v>174</v>
      </c>
      <c r="X107" t="inlineStr">
        <is>
          <t>-</t>
        </is>
      </c>
      <c r="Y107" t="inlineStr">
        <is>
          <t>15/05/2026</t>
        </is>
      </c>
      <c r="Z107" t="inlineStr">
        <is>
          <t>Concluído</t>
        </is>
      </c>
      <c r="AA107" t="inlineStr">
        <is>
          <t>Fechada +120 dias</t>
        </is>
      </c>
    </row>
    <row r="108">
      <c r="A108">
        <v>106</v>
      </c>
      <c r="B108">
        <v>1</v>
      </c>
      <c r="C108" t="inlineStr">
        <is>
          <t>1.4A</t>
        </is>
      </c>
      <c r="D108" t="inlineStr">
        <is>
          <t>PI GO - GO-556</t>
        </is>
      </c>
      <c r="F108" t="inlineStr">
        <is>
          <t>EMPA</t>
        </is>
      </c>
      <c r="G108" t="inlineStr">
        <is>
          <t>CLP-006</t>
        </is>
      </c>
      <c r="H108" t="inlineStr">
        <is>
          <t>Protocolo</t>
        </is>
      </c>
      <c r="I108">
        <v>4</v>
      </c>
      <c r="J108" t="inlineStr">
        <is>
          <t>Terraplenagem</t>
        </is>
      </c>
      <c r="K108" t="inlineStr">
        <is>
          <t>4.28</t>
        </is>
      </c>
      <c r="L108" t="inlineStr">
        <is>
          <t>Passagem Inferior</t>
        </is>
      </c>
      <c r="M108" t="inlineStr">
        <is>
          <t>Documental</t>
        </is>
      </c>
      <c r="N108" t="inlineStr">
        <is>
          <t>Consta RNC em aberto : RNC 05887/25 - Execução do dreno em desacordo com o projeto; RNC 06137/25 - Não enviado as evidências de reaterro da PI.</t>
        </is>
      </c>
      <c r="O108" t="inlineStr">
        <is>
          <t>Tipo B</t>
        </is>
      </c>
      <c r="P108" t="inlineStr">
        <is>
          <t>35+074</t>
        </is>
      </c>
      <c r="Q108" t="inlineStr">
        <is>
          <t>35+080</t>
        </is>
      </c>
      <c r="R108" t="inlineStr">
        <is>
          <t>Encerrado</t>
        </is>
      </c>
      <c r="S108" t="inlineStr">
        <is>
          <t>Qualidade</t>
        </is>
      </c>
      <c r="T108" t="inlineStr">
        <is>
          <t>Aline Batista</t>
        </is>
      </c>
      <c r="U108" t="inlineStr">
        <is>
          <t>03/12/2025</t>
        </is>
      </c>
      <c r="V108" t="inlineStr">
        <is>
          <t>18/12/2025</t>
        </is>
      </c>
      <c r="W108">
        <v>174</v>
      </c>
      <c r="X108" t="inlineStr">
        <is>
          <t>-</t>
        </is>
      </c>
      <c r="Y108" t="inlineStr">
        <is>
          <t>15/05/2026</t>
        </is>
      </c>
      <c r="Z108" t="inlineStr">
        <is>
          <t>Concluído</t>
        </is>
      </c>
      <c r="AA108" t="inlineStr">
        <is>
          <t>Fechada +120 dias</t>
        </is>
      </c>
    </row>
    <row r="109">
      <c r="A109">
        <v>107</v>
      </c>
      <c r="B109">
        <v>1</v>
      </c>
      <c r="C109" t="inlineStr">
        <is>
          <t>1.4A</t>
        </is>
      </c>
      <c r="D109" t="inlineStr">
        <is>
          <t>PI GO - GO-556</t>
        </is>
      </c>
      <c r="F109" t="inlineStr">
        <is>
          <t>EMPA</t>
        </is>
      </c>
      <c r="G109" t="inlineStr">
        <is>
          <t>CLP-006</t>
        </is>
      </c>
      <c r="H109" t="inlineStr">
        <is>
          <t>Protocolo</t>
        </is>
      </c>
      <c r="I109">
        <v>4</v>
      </c>
      <c r="J109" t="inlineStr">
        <is>
          <t>Terraplenagem</t>
        </is>
      </c>
      <c r="K109" t="inlineStr">
        <is>
          <t>4.33</t>
        </is>
      </c>
      <c r="L109" t="inlineStr">
        <is>
          <t>Drenagem</t>
        </is>
      </c>
      <c r="M109" t="inlineStr">
        <is>
          <t>Dispositivo não executado</t>
        </is>
      </c>
      <c r="N109" t="inlineStr">
        <is>
          <t>A drenagem lateral da PI será inspecionado na inspeção do ativo da infraestrutura. Não foi executada até o momento da inspeção.</t>
        </is>
      </c>
      <c r="O109" t="inlineStr">
        <is>
          <t>Tipo A</t>
        </is>
      </c>
      <c r="P109" t="inlineStr">
        <is>
          <t>35+074</t>
        </is>
      </c>
      <c r="Q109" t="inlineStr">
        <is>
          <t>35+080</t>
        </is>
      </c>
      <c r="R109" t="inlineStr">
        <is>
          <t>Aberta</t>
        </is>
      </c>
      <c r="S109" t="inlineStr">
        <is>
          <t>Qualidade</t>
        </is>
      </c>
      <c r="T109" t="inlineStr">
        <is>
          <t>Aline Batista</t>
        </is>
      </c>
      <c r="U109" t="inlineStr">
        <is>
          <t>03/12/2025</t>
        </is>
      </c>
      <c r="V109" t="inlineStr">
        <is>
          <t>10/12/2025</t>
        </is>
      </c>
      <c r="W109">
        <v>182</v>
      </c>
      <c r="AA109" t="inlineStr">
        <is>
          <t>Aberta +120 dias</t>
        </is>
      </c>
      <c r="AB109" t="inlineStr">
        <is>
          <t>EMPA</t>
        </is>
      </c>
      <c r="AC109" t="inlineStr">
        <is>
          <t>Aline</t>
        </is>
      </c>
      <c r="AD109" t="inlineStr">
        <is>
          <t>31/08/2026</t>
        </is>
      </c>
      <c r="AE109" t="inlineStr">
        <is>
          <t>10/09/2026</t>
        </is>
      </c>
      <c r="AF109" t="inlineStr">
        <is>
          <t>Prazo Premissa VALE</t>
        </is>
      </c>
    </row>
    <row r="110">
      <c r="A110">
        <v>108</v>
      </c>
      <c r="B110">
        <v>1</v>
      </c>
      <c r="C110" t="inlineStr">
        <is>
          <t>1.4A</t>
        </is>
      </c>
      <c r="D110" t="inlineStr">
        <is>
          <t>PI GO - GO-556</t>
        </is>
      </c>
      <c r="F110" t="inlineStr">
        <is>
          <t>EMPA</t>
        </is>
      </c>
      <c r="G110" t="inlineStr">
        <is>
          <t>CLP-006</t>
        </is>
      </c>
      <c r="H110" t="inlineStr">
        <is>
          <t>Protocolo</t>
        </is>
      </c>
      <c r="I110">
        <v>6</v>
      </c>
      <c r="J110" t="inlineStr">
        <is>
          <t>Drenagem Superficial</t>
        </is>
      </c>
      <c r="K110" t="inlineStr">
        <is>
          <t>6.7</t>
        </is>
      </c>
      <c r="L110" t="inlineStr">
        <is>
          <t>Valeta</t>
        </is>
      </c>
      <c r="M110" t="inlineStr">
        <is>
          <t>Acabamento do concreto</t>
        </is>
      </c>
      <c r="N110" t="inlineStr">
        <is>
          <t>Melhoria nos concretos com quebras nas proximidades das juntas de dilatação.</t>
        </is>
      </c>
      <c r="O110" t="inlineStr">
        <is>
          <t>Tipo C</t>
        </is>
      </c>
      <c r="P110" t="inlineStr">
        <is>
          <t>35+074</t>
        </is>
      </c>
      <c r="Q110" t="inlineStr">
        <is>
          <t>35+080</t>
        </is>
      </c>
      <c r="R110" t="inlineStr">
        <is>
          <t>Encerrado</t>
        </is>
      </c>
      <c r="S110" t="inlineStr">
        <is>
          <t>Qualidade</t>
        </is>
      </c>
      <c r="T110" t="inlineStr">
        <is>
          <t>Aline Batista</t>
        </is>
      </c>
      <c r="U110" t="inlineStr">
        <is>
          <t>03/12/2025</t>
        </is>
      </c>
      <c r="V110" t="inlineStr">
        <is>
          <t>02/01/2026</t>
        </is>
      </c>
      <c r="W110">
        <v>159</v>
      </c>
      <c r="X110" t="inlineStr">
        <is>
          <t>-</t>
        </is>
      </c>
      <c r="Y110" t="inlineStr">
        <is>
          <t>20/03/2026</t>
        </is>
      </c>
      <c r="Z110" t="inlineStr">
        <is>
          <t>Concluído</t>
        </is>
      </c>
      <c r="AA110" t="inlineStr">
        <is>
          <t>Fechada 90-120 dias</t>
        </is>
      </c>
    </row>
    <row r="111">
      <c r="A111">
        <v>109</v>
      </c>
      <c r="B111">
        <v>1</v>
      </c>
      <c r="C111" t="inlineStr">
        <is>
          <t>1.4A</t>
        </is>
      </c>
      <c r="D111" t="inlineStr">
        <is>
          <t>PI GO - GO-556</t>
        </is>
      </c>
      <c r="F111" t="inlineStr">
        <is>
          <t>EMPA</t>
        </is>
      </c>
      <c r="G111" t="inlineStr">
        <is>
          <t>CLP-006</t>
        </is>
      </c>
      <c r="H111" t="inlineStr">
        <is>
          <t>Protocolo</t>
        </is>
      </c>
      <c r="I111">
        <v>6</v>
      </c>
      <c r="J111" t="inlineStr">
        <is>
          <t>Drenagem Superficial</t>
        </is>
      </c>
      <c r="K111" t="inlineStr">
        <is>
          <t>6.10</t>
        </is>
      </c>
      <c r="L111" t="inlineStr">
        <is>
          <t>Valeta</t>
        </is>
      </c>
      <c r="M111" t="inlineStr">
        <is>
          <t>Assoreamento</t>
        </is>
      </c>
      <c r="N111" t="inlineStr">
        <is>
          <t>Alguns pontos do sistema de drenagem encontram-se assoreados (faltando limpeza).</t>
        </is>
      </c>
      <c r="O111" t="inlineStr">
        <is>
          <t>Tipo C</t>
        </is>
      </c>
      <c r="P111" t="inlineStr">
        <is>
          <t>35+074</t>
        </is>
      </c>
      <c r="Q111" t="inlineStr">
        <is>
          <t>35+080</t>
        </is>
      </c>
      <c r="R111" t="inlineStr">
        <is>
          <t>Encerrado</t>
        </is>
      </c>
      <c r="S111" t="inlineStr">
        <is>
          <t>Qualidade</t>
        </is>
      </c>
      <c r="T111" t="inlineStr">
        <is>
          <t>Aline Batista</t>
        </is>
      </c>
      <c r="U111" t="inlineStr">
        <is>
          <t>03/12/2025</t>
        </is>
      </c>
      <c r="V111" t="inlineStr">
        <is>
          <t>02/01/2026</t>
        </is>
      </c>
      <c r="W111">
        <v>159</v>
      </c>
      <c r="X111" t="inlineStr">
        <is>
          <t>-</t>
        </is>
      </c>
      <c r="Y111" t="inlineStr">
        <is>
          <t>20/03/2026</t>
        </is>
      </c>
      <c r="Z111" t="inlineStr">
        <is>
          <t>Concluído</t>
        </is>
      </c>
      <c r="AA111" t="inlineStr">
        <is>
          <t>Fechada 90-120 dias</t>
        </is>
      </c>
    </row>
    <row r="112">
      <c r="A112">
        <v>110</v>
      </c>
      <c r="B112">
        <v>1</v>
      </c>
      <c r="C112" t="inlineStr">
        <is>
          <t>1.4A</t>
        </is>
      </c>
      <c r="D112" t="inlineStr">
        <is>
          <t>PI GO - GO-556</t>
        </is>
      </c>
      <c r="F112" t="inlineStr">
        <is>
          <t>EMPA</t>
        </is>
      </c>
      <c r="G112" t="inlineStr">
        <is>
          <t>CLP-006</t>
        </is>
      </c>
      <c r="H112" t="inlineStr">
        <is>
          <t>Protocolo</t>
        </is>
      </c>
      <c r="I112">
        <v>6</v>
      </c>
      <c r="J112" t="inlineStr">
        <is>
          <t>Drenagem Superficial</t>
        </is>
      </c>
      <c r="K112" t="inlineStr">
        <is>
          <t>6.13</t>
        </is>
      </c>
      <c r="L112" t="inlineStr">
        <is>
          <t>Valeta</t>
        </is>
      </c>
      <c r="M112" t="inlineStr">
        <is>
          <t>Assoreamento</t>
        </is>
      </c>
      <c r="N112" t="inlineStr">
        <is>
          <t>Drenagens assoreadas (faltando limpeza)</t>
        </is>
      </c>
      <c r="O112" t="inlineStr">
        <is>
          <t>Tipo C</t>
        </is>
      </c>
      <c r="P112" t="inlineStr">
        <is>
          <t>35+074</t>
        </is>
      </c>
      <c r="Q112" t="inlineStr">
        <is>
          <t>35+080</t>
        </is>
      </c>
      <c r="R112" t="inlineStr">
        <is>
          <t>Encerrado</t>
        </is>
      </c>
      <c r="S112" t="inlineStr">
        <is>
          <t>Qualidade</t>
        </is>
      </c>
      <c r="T112" t="inlineStr">
        <is>
          <t>Aline Batista</t>
        </is>
      </c>
      <c r="U112" t="inlineStr">
        <is>
          <t>03/12/2025</t>
        </is>
      </c>
      <c r="V112" t="inlineStr">
        <is>
          <t>02/01/2026</t>
        </is>
      </c>
      <c r="W112">
        <v>159</v>
      </c>
      <c r="X112" t="inlineStr">
        <is>
          <t>-</t>
        </is>
      </c>
      <c r="Y112" t="inlineStr">
        <is>
          <t>20/03/2026</t>
        </is>
      </c>
      <c r="Z112" t="inlineStr">
        <is>
          <t>Concluído</t>
        </is>
      </c>
      <c r="AA112" t="inlineStr">
        <is>
          <t>Fechada 90-120 dias</t>
        </is>
      </c>
    </row>
    <row r="113">
      <c r="A113">
        <v>111</v>
      </c>
      <c r="B113">
        <v>1</v>
      </c>
      <c r="C113" t="inlineStr">
        <is>
          <t>1.4A</t>
        </is>
      </c>
      <c r="D113" t="inlineStr">
        <is>
          <t>PI GO - GO-556</t>
        </is>
      </c>
      <c r="F113" t="inlineStr">
        <is>
          <t>EMPA</t>
        </is>
      </c>
      <c r="G113" t="inlineStr">
        <is>
          <t>CLP-006</t>
        </is>
      </c>
      <c r="H113" t="inlineStr">
        <is>
          <t>Protocolo</t>
        </is>
      </c>
      <c r="I113">
        <v>6</v>
      </c>
      <c r="J113" t="inlineStr">
        <is>
          <t>Drenagem Superficial</t>
        </is>
      </c>
      <c r="K113" t="inlineStr">
        <is>
          <t>6.15</t>
        </is>
      </c>
      <c r="L113" t="inlineStr">
        <is>
          <t>Passagem Inferior</t>
        </is>
      </c>
      <c r="M113" t="inlineStr">
        <is>
          <t>Documental</t>
        </is>
      </c>
      <c r="N113" t="inlineStr">
        <is>
          <t>A documentação foi entregue (Databook), porém em avaliação do OIA . As Buil não foram entregues. A documentação entregue não contempla a documentação comprobatória de levantamentos topofráfico e notas de serviço.</t>
        </is>
      </c>
      <c r="O113" t="inlineStr">
        <is>
          <t>Tipo B</t>
        </is>
      </c>
      <c r="P113" t="inlineStr">
        <is>
          <t>35+074</t>
        </is>
      </c>
      <c r="Q113" t="inlineStr">
        <is>
          <t>35+080</t>
        </is>
      </c>
      <c r="R113" t="inlineStr">
        <is>
          <t>Encerrado</t>
        </is>
      </c>
      <c r="S113" t="inlineStr">
        <is>
          <t>Qualidade</t>
        </is>
      </c>
      <c r="T113" t="inlineStr">
        <is>
          <t>Aline Batista</t>
        </is>
      </c>
      <c r="U113" t="inlineStr">
        <is>
          <t>03/12/2025</t>
        </is>
      </c>
      <c r="V113" t="inlineStr">
        <is>
          <t>18/12/2025</t>
        </is>
      </c>
      <c r="W113">
        <v>174</v>
      </c>
      <c r="X113" t="inlineStr">
        <is>
          <t>-</t>
        </is>
      </c>
      <c r="Y113" t="inlineStr">
        <is>
          <t>15/05/2026</t>
        </is>
      </c>
      <c r="Z113" t="inlineStr">
        <is>
          <t>Concluído</t>
        </is>
      </c>
      <c r="AA113" t="inlineStr">
        <is>
          <t>Fechada +120 dias</t>
        </is>
      </c>
    </row>
    <row r="114">
      <c r="A114">
        <v>112</v>
      </c>
      <c r="B114">
        <v>1</v>
      </c>
      <c r="C114" t="inlineStr">
        <is>
          <t>1.4A</t>
        </is>
      </c>
      <c r="D114" t="inlineStr">
        <is>
          <t>PI GO - GO-556</t>
        </is>
      </c>
      <c r="F114" t="inlineStr">
        <is>
          <t>EMPA</t>
        </is>
      </c>
      <c r="G114" t="inlineStr">
        <is>
          <t>CLP-006</t>
        </is>
      </c>
      <c r="H114" t="inlineStr">
        <is>
          <t>Protocolo</t>
        </is>
      </c>
      <c r="I114">
        <v>7</v>
      </c>
      <c r="J114" t="inlineStr">
        <is>
          <t>Passagem Inferior</t>
        </is>
      </c>
      <c r="K114" t="inlineStr">
        <is>
          <t>7.1</t>
        </is>
      </c>
      <c r="L114" t="inlineStr">
        <is>
          <t>Passagem Inferior</t>
        </is>
      </c>
      <c r="M114" t="inlineStr">
        <is>
          <t>Documental</t>
        </is>
      </c>
      <c r="N114" t="inlineStr">
        <is>
          <t>A documentação (databook)foi entregue, porém em avaliação do OIA. As Built não foram entregues. A documentação entregue não contempla dados topográficos com nota de serviços.</t>
        </is>
      </c>
      <c r="O114" t="inlineStr">
        <is>
          <t>Tipo B</t>
        </is>
      </c>
      <c r="P114" t="inlineStr">
        <is>
          <t>35+074</t>
        </is>
      </c>
      <c r="Q114" t="inlineStr">
        <is>
          <t>35+080</t>
        </is>
      </c>
      <c r="R114" t="inlineStr">
        <is>
          <t>Encerrado</t>
        </is>
      </c>
      <c r="S114" t="inlineStr">
        <is>
          <t>Qualidade</t>
        </is>
      </c>
      <c r="T114" t="inlineStr">
        <is>
          <t>Aline Batista</t>
        </is>
      </c>
      <c r="U114" t="inlineStr">
        <is>
          <t>03/12/2025</t>
        </is>
      </c>
      <c r="V114" t="inlineStr">
        <is>
          <t>18/12/2025</t>
        </is>
      </c>
      <c r="W114">
        <v>174</v>
      </c>
      <c r="X114" t="inlineStr">
        <is>
          <t>-</t>
        </is>
      </c>
      <c r="Y114" t="inlineStr">
        <is>
          <t>15/05/2026</t>
        </is>
      </c>
      <c r="Z114" t="inlineStr">
        <is>
          <t>Concluído</t>
        </is>
      </c>
      <c r="AA114" t="inlineStr">
        <is>
          <t>Fechada +120 dias</t>
        </is>
      </c>
    </row>
    <row r="115">
      <c r="A115">
        <v>113</v>
      </c>
      <c r="B115">
        <v>1</v>
      </c>
      <c r="C115" t="inlineStr">
        <is>
          <t>1.4A</t>
        </is>
      </c>
      <c r="D115" t="inlineStr">
        <is>
          <t>PI GO - GO-556</t>
        </is>
      </c>
      <c r="F115" t="inlineStr">
        <is>
          <t>EMPA</t>
        </is>
      </c>
      <c r="G115" t="inlineStr">
        <is>
          <t>CLP-006</t>
        </is>
      </c>
      <c r="H115" t="inlineStr">
        <is>
          <t>Protocolo</t>
        </is>
      </c>
      <c r="I115">
        <v>7</v>
      </c>
      <c r="J115" t="inlineStr">
        <is>
          <t>Passagem Inferior</t>
        </is>
      </c>
      <c r="K115" t="inlineStr">
        <is>
          <t>7.2</t>
        </is>
      </c>
      <c r="L115" t="inlineStr">
        <is>
          <t>Passagem Inferior</t>
        </is>
      </c>
      <c r="M115" t="inlineStr">
        <is>
          <t>Documental</t>
        </is>
      </c>
      <c r="N115" t="inlineStr">
        <is>
          <t>A documentação (databook)foi entregue, porém em avaliação do OIA. As Built não foram entregues. A documentação entregue não contempla levantamentos topográficos.</t>
        </is>
      </c>
      <c r="O115" t="inlineStr">
        <is>
          <t>Tipo B</t>
        </is>
      </c>
      <c r="P115" t="inlineStr">
        <is>
          <t>35+074</t>
        </is>
      </c>
      <c r="Q115" t="inlineStr">
        <is>
          <t>35+080</t>
        </is>
      </c>
      <c r="R115" t="inlineStr">
        <is>
          <t>Encerrado</t>
        </is>
      </c>
      <c r="S115" t="inlineStr">
        <is>
          <t>Qualidade</t>
        </is>
      </c>
      <c r="T115" t="inlineStr">
        <is>
          <t>Aline Batista</t>
        </is>
      </c>
      <c r="U115" t="inlineStr">
        <is>
          <t>03/12/2025</t>
        </is>
      </c>
      <c r="V115" t="inlineStr">
        <is>
          <t>18/12/2025</t>
        </is>
      </c>
      <c r="W115">
        <v>174</v>
      </c>
      <c r="X115" t="inlineStr">
        <is>
          <t>-</t>
        </is>
      </c>
      <c r="Y115" t="inlineStr">
        <is>
          <t>15/05/2026</t>
        </is>
      </c>
      <c r="Z115" t="inlineStr">
        <is>
          <t>Concluído</t>
        </is>
      </c>
      <c r="AA115" t="inlineStr">
        <is>
          <t>Fechada +120 dias</t>
        </is>
      </c>
    </row>
    <row r="116">
      <c r="A116">
        <v>114</v>
      </c>
      <c r="B116">
        <v>1</v>
      </c>
      <c r="C116" t="inlineStr">
        <is>
          <t>1.4A</t>
        </is>
      </c>
      <c r="D116" t="inlineStr">
        <is>
          <t>PI GO - GO-556</t>
        </is>
      </c>
      <c r="F116" t="inlineStr">
        <is>
          <t>EMPA</t>
        </is>
      </c>
      <c r="G116" t="inlineStr">
        <is>
          <t>CLP-006</t>
        </is>
      </c>
      <c r="H116" t="inlineStr">
        <is>
          <t>Protocolo</t>
        </is>
      </c>
      <c r="I116">
        <v>7</v>
      </c>
      <c r="J116" t="inlineStr">
        <is>
          <t>Passagem Inferior</t>
        </is>
      </c>
      <c r="K116" t="inlineStr">
        <is>
          <t>7.3</t>
        </is>
      </c>
      <c r="L116" t="inlineStr">
        <is>
          <t>Passagem Inferior</t>
        </is>
      </c>
      <c r="M116" t="inlineStr">
        <is>
          <t>Documental</t>
        </is>
      </c>
      <c r="N116" t="inlineStr">
        <is>
          <t>A documentação foi entregue (Databook), porém em avaliação do OIA. As Built não foram entregues. As documentações entregues apresentam inconsistências : RAA com Agregado da mineração Rio do Sal e a tabalea de traços consta com agregados da Pedreira Bela Vista; SOLOS: Não foram apresentados ensaios do reaterro, não está claro nos ensaios apresentados de qual área de empréstimo foi executado o reaterro, constando somente ensaios de estudo do corte da PI e com inconsistências nos resultados de I.S.C. e Expansão, não apresentou nenhuma FVS de solos e levantamentos topográficos</t>
        </is>
      </c>
      <c r="O116" t="inlineStr">
        <is>
          <t>Tipo B</t>
        </is>
      </c>
      <c r="P116" t="inlineStr">
        <is>
          <t>35+074</t>
        </is>
      </c>
      <c r="Q116" t="inlineStr">
        <is>
          <t>35+080</t>
        </is>
      </c>
      <c r="R116" t="inlineStr">
        <is>
          <t>Aberta</t>
        </is>
      </c>
      <c r="S116" t="inlineStr">
        <is>
          <t>Qualidade</t>
        </is>
      </c>
      <c r="T116" t="inlineStr">
        <is>
          <t>Aline Batista</t>
        </is>
      </c>
      <c r="U116" t="inlineStr">
        <is>
          <t>03/12/2025</t>
        </is>
      </c>
      <c r="V116" t="inlineStr">
        <is>
          <t>18/12/2025</t>
        </is>
      </c>
      <c r="W116">
        <v>174</v>
      </c>
      <c r="AA116" t="inlineStr">
        <is>
          <t>Aberta +120 dias</t>
        </is>
      </c>
      <c r="AB116" t="inlineStr">
        <is>
          <t>EMPA</t>
        </is>
      </c>
      <c r="AC116" t="inlineStr">
        <is>
          <t>Aline</t>
        </is>
      </c>
      <c r="AE116" t="inlineStr">
        <is>
          <t>19/06/2026</t>
        </is>
      </c>
      <c r="AF116" t="inlineStr">
        <is>
          <t>Ata de reunião de RM p/ BK</t>
        </is>
      </c>
    </row>
    <row r="117">
      <c r="A117">
        <v>115</v>
      </c>
      <c r="B117">
        <v>1</v>
      </c>
      <c r="C117" t="inlineStr">
        <is>
          <t>1.4A</t>
        </is>
      </c>
      <c r="D117" t="inlineStr">
        <is>
          <t>PI GO - GO-556</t>
        </is>
      </c>
      <c r="E117" t="inlineStr">
        <is>
          <t>LE</t>
        </is>
      </c>
      <c r="F117" t="inlineStr">
        <is>
          <t>EMPA</t>
        </is>
      </c>
      <c r="G117" t="inlineStr">
        <is>
          <t>CLP-006</t>
        </is>
      </c>
      <c r="H117" t="inlineStr">
        <is>
          <t>Protocolo</t>
        </is>
      </c>
      <c r="I117">
        <v>7</v>
      </c>
      <c r="J117" t="inlineStr">
        <is>
          <t>Passagem Inferior</t>
        </is>
      </c>
      <c r="K117" t="inlineStr">
        <is>
          <t>7.5</t>
        </is>
      </c>
      <c r="L117" t="inlineStr">
        <is>
          <t>Passagem Inferior</t>
        </is>
      </c>
      <c r="M117" t="inlineStr">
        <is>
          <t>Acabamento do concreto</t>
        </is>
      </c>
      <c r="N117" t="inlineStr">
        <is>
          <t>Durante a inspeção foi verificado que na parte da face superior da ala - LE consta pequenos pontos de concreto quebrado.</t>
        </is>
      </c>
      <c r="O117" t="inlineStr">
        <is>
          <t>Tipo C</t>
        </is>
      </c>
      <c r="P117" t="inlineStr">
        <is>
          <t>35+074</t>
        </is>
      </c>
      <c r="Q117" t="inlineStr">
        <is>
          <t>35+080</t>
        </is>
      </c>
      <c r="R117" t="inlineStr">
        <is>
          <t>Encerrado</t>
        </is>
      </c>
      <c r="S117" t="inlineStr">
        <is>
          <t>Qualidade</t>
        </is>
      </c>
      <c r="T117" t="inlineStr">
        <is>
          <t>Aline Batista</t>
        </is>
      </c>
      <c r="U117" t="inlineStr">
        <is>
          <t>03/12/2025</t>
        </is>
      </c>
      <c r="V117" t="inlineStr">
        <is>
          <t>02/01/2026</t>
        </is>
      </c>
      <c r="W117">
        <v>159</v>
      </c>
      <c r="X117" t="inlineStr">
        <is>
          <t>-</t>
        </is>
      </c>
      <c r="Y117" t="inlineStr">
        <is>
          <t>30/03/2026</t>
        </is>
      </c>
      <c r="Z117" t="inlineStr">
        <is>
          <t>Concluído</t>
        </is>
      </c>
      <c r="AA117" t="inlineStr">
        <is>
          <t>Fechada 90-120 dias</t>
        </is>
      </c>
    </row>
    <row r="118">
      <c r="A118">
        <v>116</v>
      </c>
      <c r="B118">
        <v>1</v>
      </c>
      <c r="C118" t="inlineStr">
        <is>
          <t>1.4A</t>
        </is>
      </c>
      <c r="D118" t="inlineStr">
        <is>
          <t>PI GO - GO-556</t>
        </is>
      </c>
      <c r="F118" t="inlineStr">
        <is>
          <t>EMPA</t>
        </is>
      </c>
      <c r="G118" t="inlineStr">
        <is>
          <t>CLP-006</t>
        </is>
      </c>
      <c r="H118" t="inlineStr">
        <is>
          <t>Protocolo</t>
        </is>
      </c>
      <c r="I118">
        <v>7</v>
      </c>
      <c r="J118" t="inlineStr">
        <is>
          <t>Passagem Inferior</t>
        </is>
      </c>
      <c r="K118" t="inlineStr">
        <is>
          <t>7.11</t>
        </is>
      </c>
      <c r="L118" t="inlineStr">
        <is>
          <t>Passagem Inferior</t>
        </is>
      </c>
      <c r="M118" t="inlineStr">
        <is>
          <t>Documental</t>
        </is>
      </c>
      <c r="N118" t="inlineStr">
        <is>
          <t>Consta RNC aberta: RNC 05887/25 - Execução de dreno em desacordo com o projeto - Durante inspeção na PI sob a GO 556 no km 35, foi constatado que o dreno que está sendo executado nas laterais da estrutura está sendo executado em desacordo com o que especifica o “DETALHE TÍPICO DA DRENAGEM FUNDAÇÃO DAS PAREDES” do projeto 1174FE-C-500014 Rev02, visto que no projeto consta a aplicação de uma tela de nylon e está sendo utilizada manta geotêxtil.</t>
        </is>
      </c>
      <c r="O118" t="inlineStr">
        <is>
          <t>Tipo B</t>
        </is>
      </c>
      <c r="P118" t="inlineStr">
        <is>
          <t>35+074</t>
        </is>
      </c>
      <c r="Q118" t="inlineStr">
        <is>
          <t>35+080</t>
        </is>
      </c>
      <c r="R118" t="inlineStr">
        <is>
          <t>Encerrado</t>
        </is>
      </c>
      <c r="S118" t="inlineStr">
        <is>
          <t>Qualidade</t>
        </is>
      </c>
      <c r="T118" t="inlineStr">
        <is>
          <t>Aline Batista</t>
        </is>
      </c>
      <c r="U118" t="inlineStr">
        <is>
          <t>03/12/2025</t>
        </is>
      </c>
      <c r="V118" t="inlineStr">
        <is>
          <t>18/12/2025</t>
        </is>
      </c>
      <c r="W118">
        <v>174</v>
      </c>
      <c r="X118" t="inlineStr">
        <is>
          <t>-</t>
        </is>
      </c>
      <c r="Y118" t="inlineStr">
        <is>
          <t>15/05/2026</t>
        </is>
      </c>
      <c r="Z118" t="inlineStr">
        <is>
          <t>Concluído</t>
        </is>
      </c>
      <c r="AA118" t="inlineStr">
        <is>
          <t>Fechada +120 dias</t>
        </is>
      </c>
    </row>
    <row r="119">
      <c r="A119">
        <v>117</v>
      </c>
      <c r="B119">
        <v>1</v>
      </c>
      <c r="C119" t="inlineStr">
        <is>
          <t>1.4A</t>
        </is>
      </c>
      <c r="D119" t="inlineStr">
        <is>
          <t>PI GO - GO-556</t>
        </is>
      </c>
      <c r="F119" t="inlineStr">
        <is>
          <t>EMPA</t>
        </is>
      </c>
      <c r="G119" t="inlineStr">
        <is>
          <t>CLP-006</t>
        </is>
      </c>
      <c r="H119" t="inlineStr">
        <is>
          <t>Protocolo</t>
        </is>
      </c>
      <c r="I119">
        <v>7</v>
      </c>
      <c r="J119" t="inlineStr">
        <is>
          <t>Passagem Inferior</t>
        </is>
      </c>
      <c r="K119" t="inlineStr">
        <is>
          <t>7.12</t>
        </is>
      </c>
      <c r="L119" t="inlineStr">
        <is>
          <t>Passagem Inferior</t>
        </is>
      </c>
      <c r="M119" t="inlineStr">
        <is>
          <t>Documental</t>
        </is>
      </c>
      <c r="N119" t="inlineStr">
        <is>
          <t>Não foi emitido o aceite do órgão concedente (GOINFRA).</t>
        </is>
      </c>
      <c r="O119" t="inlineStr">
        <is>
          <t>Tipo B</t>
        </is>
      </c>
      <c r="P119" t="inlineStr">
        <is>
          <t>35+074</t>
        </is>
      </c>
      <c r="Q119" t="inlineStr">
        <is>
          <t>35+080</t>
        </is>
      </c>
      <c r="R119" t="inlineStr">
        <is>
          <t>Aberta</t>
        </is>
      </c>
      <c r="S119" t="inlineStr">
        <is>
          <t>Qualidade</t>
        </is>
      </c>
      <c r="T119" t="inlineStr">
        <is>
          <t>Aline Batista</t>
        </is>
      </c>
      <c r="U119" t="inlineStr">
        <is>
          <t>03/12/2025</t>
        </is>
      </c>
      <c r="V119" t="inlineStr">
        <is>
          <t>18/12/2025</t>
        </is>
      </c>
      <c r="W119">
        <v>174</v>
      </c>
      <c r="AA119" t="inlineStr">
        <is>
          <t>Aberta +120 dias</t>
        </is>
      </c>
      <c r="AB119" t="inlineStr">
        <is>
          <t>EMPA</t>
        </is>
      </c>
      <c r="AC119" t="inlineStr">
        <is>
          <t>Aline</t>
        </is>
      </c>
      <c r="AE119" t="inlineStr">
        <is>
          <t>19/06/2026</t>
        </is>
      </c>
      <c r="AF119" t="inlineStr">
        <is>
          <t>Ata de reunião de RM p/ BK</t>
        </is>
      </c>
    </row>
    <row r="120">
      <c r="A120">
        <v>118</v>
      </c>
      <c r="B120">
        <v>1</v>
      </c>
      <c r="C120" t="inlineStr">
        <is>
          <t>1.4A</t>
        </is>
      </c>
      <c r="D120" t="inlineStr">
        <is>
          <t>PI GO - GO-556</t>
        </is>
      </c>
      <c r="F120" t="inlineStr">
        <is>
          <t>EMPA</t>
        </is>
      </c>
      <c r="G120" t="inlineStr">
        <is>
          <t>CLP-006</t>
        </is>
      </c>
      <c r="H120" t="inlineStr">
        <is>
          <t>Protocolo</t>
        </is>
      </c>
      <c r="I120">
        <v>7</v>
      </c>
      <c r="J120" t="inlineStr">
        <is>
          <t>Passagem Inferior</t>
        </is>
      </c>
      <c r="K120" t="inlineStr">
        <is>
          <t>7.13</t>
        </is>
      </c>
      <c r="L120" t="inlineStr">
        <is>
          <t>Passagem Inferior</t>
        </is>
      </c>
      <c r="M120" t="inlineStr">
        <is>
          <t>Documental</t>
        </is>
      </c>
      <c r="N120" t="inlineStr">
        <is>
          <t>RNC 06137/25 - Não evidenciado as evidências do reaterro da PI; RNC 8961/25 - Inconsistências na documentação postada - Descumprimento contratual; RNC 8279/25 - Inconsistências na documentação postada - Descumprimento contratual</t>
        </is>
      </c>
      <c r="O120" t="inlineStr">
        <is>
          <t>Tipo B</t>
        </is>
      </c>
      <c r="P120" t="inlineStr">
        <is>
          <t>35+074</t>
        </is>
      </c>
      <c r="Q120" t="inlineStr">
        <is>
          <t>35+080</t>
        </is>
      </c>
      <c r="R120" t="inlineStr">
        <is>
          <t>Aberta</t>
        </is>
      </c>
      <c r="S120" t="inlineStr">
        <is>
          <t>Qualidade</t>
        </is>
      </c>
      <c r="T120" t="inlineStr">
        <is>
          <t>Aline Batista</t>
        </is>
      </c>
      <c r="U120" t="inlineStr">
        <is>
          <t>03/12/2025</t>
        </is>
      </c>
      <c r="V120" t="inlineStr">
        <is>
          <t>18/12/2025</t>
        </is>
      </c>
      <c r="W120">
        <v>174</v>
      </c>
      <c r="AA120" t="inlineStr">
        <is>
          <t>Aberta +120 dias</t>
        </is>
      </c>
      <c r="AB120" t="inlineStr">
        <is>
          <t>EMPA</t>
        </is>
      </c>
      <c r="AC120" t="inlineStr">
        <is>
          <t>Aline</t>
        </is>
      </c>
      <c r="AE120" t="inlineStr">
        <is>
          <t>19/06/2026</t>
        </is>
      </c>
      <c r="AF120" t="inlineStr">
        <is>
          <t>Ata de reunião de RM p/ BK</t>
        </is>
      </c>
    </row>
    <row r="121">
      <c r="A121">
        <v>119</v>
      </c>
      <c r="B121">
        <v>1</v>
      </c>
      <c r="C121" t="inlineStr">
        <is>
          <t>1.4A</t>
        </is>
      </c>
      <c r="D121" t="inlineStr">
        <is>
          <t>PI GO - GO-556</t>
        </is>
      </c>
      <c r="F121" t="inlineStr">
        <is>
          <t>EMPA</t>
        </is>
      </c>
      <c r="G121" t="inlineStr">
        <is>
          <t>CLP-006</t>
        </is>
      </c>
      <c r="H121" t="inlineStr">
        <is>
          <t>Protocolo</t>
        </is>
      </c>
      <c r="I121">
        <v>10</v>
      </c>
      <c r="J121" t="inlineStr">
        <is>
          <t>Pavimentação</t>
        </is>
      </c>
      <c r="K121" t="inlineStr">
        <is>
          <t>10.1</t>
        </is>
      </c>
      <c r="L121" t="inlineStr">
        <is>
          <t>Passagem Inferior</t>
        </is>
      </c>
      <c r="M121" t="inlineStr">
        <is>
          <t>Documental</t>
        </is>
      </c>
      <c r="N121" t="inlineStr">
        <is>
          <t>A documentação foi entregue (databook), porém em avaliação do OIA. As Built não foram entregues. A documentação entregue está incompleta . Foi apresentado somente os ensaios de taxa de imprimação e taxa de agregado, porém em desconformidade com o normativo. Não foram apresentados o projetode dosagem do TSD aplicado.Constam RNCs abertas RNC 07868/25.</t>
        </is>
      </c>
      <c r="O121" t="inlineStr">
        <is>
          <t>Tipo B</t>
        </is>
      </c>
      <c r="P121" t="inlineStr">
        <is>
          <t>35+074</t>
        </is>
      </c>
      <c r="Q121" t="inlineStr">
        <is>
          <t>35+080</t>
        </is>
      </c>
      <c r="R121" t="inlineStr">
        <is>
          <t>Encerrado</t>
        </is>
      </c>
      <c r="S121" t="inlineStr">
        <is>
          <t>Qualidade</t>
        </is>
      </c>
      <c r="T121" t="inlineStr">
        <is>
          <t>Aline Batista</t>
        </is>
      </c>
      <c r="U121" t="inlineStr">
        <is>
          <t>03/12/2025</t>
        </is>
      </c>
      <c r="V121" t="inlineStr">
        <is>
          <t>18/12/2025</t>
        </is>
      </c>
      <c r="W121">
        <v>174</v>
      </c>
      <c r="X121" t="inlineStr">
        <is>
          <t>-</t>
        </is>
      </c>
      <c r="Y121" t="inlineStr">
        <is>
          <t>30/03/2026</t>
        </is>
      </c>
      <c r="Z121" t="inlineStr">
        <is>
          <t>Concluído</t>
        </is>
      </c>
      <c r="AA121" t="inlineStr">
        <is>
          <t>Fechada 90-120 dias</t>
        </is>
      </c>
    </row>
    <row r="122">
      <c r="A122">
        <v>120</v>
      </c>
      <c r="B122">
        <v>1</v>
      </c>
      <c r="C122" t="inlineStr">
        <is>
          <t>1.4A</t>
        </is>
      </c>
      <c r="D122" t="inlineStr">
        <is>
          <t>PI GO - GO-556</t>
        </is>
      </c>
      <c r="F122" t="inlineStr">
        <is>
          <t>EMPA</t>
        </is>
      </c>
      <c r="G122" t="inlineStr">
        <is>
          <t>CLP-006</t>
        </is>
      </c>
      <c r="H122" t="inlineStr">
        <is>
          <t>Protocolo</t>
        </is>
      </c>
      <c r="I122">
        <v>10</v>
      </c>
      <c r="J122" t="inlineStr">
        <is>
          <t>Pavimentação</t>
        </is>
      </c>
      <c r="K122" t="inlineStr">
        <is>
          <t>10.2</t>
        </is>
      </c>
      <c r="L122" t="inlineStr">
        <is>
          <t>Passagem Inferior</t>
        </is>
      </c>
      <c r="M122" t="inlineStr">
        <is>
          <t>Documental</t>
        </is>
      </c>
      <c r="N122" t="inlineStr">
        <is>
          <t>a documentação foi entregue (databook), porém em avaliação do OIA. As Built não foram entregues. A documentação apresentada não contempla a documentação completa das camadas, sendo apresentado somente os ensaios de solo-cimento .</t>
        </is>
      </c>
      <c r="O122" t="inlineStr">
        <is>
          <t>Tipo B</t>
        </is>
      </c>
      <c r="P122" t="inlineStr">
        <is>
          <t>35+074</t>
        </is>
      </c>
      <c r="Q122" t="inlineStr">
        <is>
          <t>35+080</t>
        </is>
      </c>
      <c r="R122" t="inlineStr">
        <is>
          <t>Aberta</t>
        </is>
      </c>
      <c r="S122" t="inlineStr">
        <is>
          <t>Qualidade</t>
        </is>
      </c>
      <c r="T122" t="inlineStr">
        <is>
          <t>Aline Batista</t>
        </is>
      </c>
      <c r="U122" t="inlineStr">
        <is>
          <t>03/12/2025</t>
        </is>
      </c>
      <c r="V122" t="inlineStr">
        <is>
          <t>18/12/2025</t>
        </is>
      </c>
      <c r="W122">
        <v>174</v>
      </c>
      <c r="AA122" t="inlineStr">
        <is>
          <t>Aberta +120 dias</t>
        </is>
      </c>
      <c r="AB122" t="inlineStr">
        <is>
          <t>EMPA</t>
        </is>
      </c>
      <c r="AC122" t="inlineStr">
        <is>
          <t>Aline</t>
        </is>
      </c>
      <c r="AE122" t="inlineStr">
        <is>
          <t>19/06/2026</t>
        </is>
      </c>
      <c r="AF122" t="inlineStr">
        <is>
          <t>Ata de reunião de RM p/ BK</t>
        </is>
      </c>
    </row>
    <row r="123">
      <c r="A123">
        <v>121</v>
      </c>
      <c r="B123">
        <v>1</v>
      </c>
      <c r="C123" t="inlineStr">
        <is>
          <t>1.4A</t>
        </is>
      </c>
      <c r="D123" t="inlineStr">
        <is>
          <t>PI GO - GO-556</t>
        </is>
      </c>
      <c r="F123" t="inlineStr">
        <is>
          <t>EMPA</t>
        </is>
      </c>
      <c r="G123" t="inlineStr">
        <is>
          <t>CLP-006</t>
        </is>
      </c>
      <c r="H123" t="inlineStr">
        <is>
          <t>Protocolo</t>
        </is>
      </c>
      <c r="I123">
        <v>10</v>
      </c>
      <c r="J123" t="inlineStr">
        <is>
          <t>Pavimentação</t>
        </is>
      </c>
      <c r="K123" t="inlineStr">
        <is>
          <t>10.3</t>
        </is>
      </c>
      <c r="L123" t="inlineStr">
        <is>
          <t>Passagem Inferior</t>
        </is>
      </c>
      <c r="M123" t="inlineStr">
        <is>
          <t>Documental</t>
        </is>
      </c>
      <c r="N123" t="inlineStr">
        <is>
          <t>A documentação foi entregue (databook), porém em avaliação do OIA. As Buil t não foram entregues. A documentação entregue está incompleta.</t>
        </is>
      </c>
      <c r="O123" t="inlineStr">
        <is>
          <t>Tipo B</t>
        </is>
      </c>
      <c r="P123" t="inlineStr">
        <is>
          <t>35+074</t>
        </is>
      </c>
      <c r="Q123" t="inlineStr">
        <is>
          <t>35+080</t>
        </is>
      </c>
      <c r="R123" t="inlineStr">
        <is>
          <t>Aberta</t>
        </is>
      </c>
      <c r="S123" t="inlineStr">
        <is>
          <t>Qualidade</t>
        </is>
      </c>
      <c r="T123" t="inlineStr">
        <is>
          <t>Aline Batista</t>
        </is>
      </c>
      <c r="U123" t="inlineStr">
        <is>
          <t>03/12/2025</t>
        </is>
      </c>
      <c r="V123" t="inlineStr">
        <is>
          <t>18/12/2025</t>
        </is>
      </c>
      <c r="W123">
        <v>174</v>
      </c>
      <c r="AA123" t="inlineStr">
        <is>
          <t>Aberta +120 dias</t>
        </is>
      </c>
      <c r="AB123" t="inlineStr">
        <is>
          <t>EMPA</t>
        </is>
      </c>
      <c r="AC123" t="inlineStr">
        <is>
          <t>Aline</t>
        </is>
      </c>
      <c r="AE123" t="inlineStr">
        <is>
          <t>19/06/2026</t>
        </is>
      </c>
      <c r="AF123" t="inlineStr">
        <is>
          <t>Ata de reunião de RM p/ BK</t>
        </is>
      </c>
    </row>
    <row r="124">
      <c r="A124">
        <v>122</v>
      </c>
      <c r="B124">
        <v>1</v>
      </c>
      <c r="C124" t="inlineStr">
        <is>
          <t>1.4A</t>
        </is>
      </c>
      <c r="D124" t="inlineStr">
        <is>
          <t>PI GO - GO-556</t>
        </is>
      </c>
      <c r="F124" t="inlineStr">
        <is>
          <t>EMPA</t>
        </is>
      </c>
      <c r="G124" t="inlineStr">
        <is>
          <t>CLP-006</t>
        </is>
      </c>
      <c r="H124" t="inlineStr">
        <is>
          <t>Protocolo</t>
        </is>
      </c>
      <c r="I124">
        <v>10</v>
      </c>
      <c r="J124" t="inlineStr">
        <is>
          <t>Pavimentação</t>
        </is>
      </c>
      <c r="K124" t="inlineStr">
        <is>
          <t>10.4</t>
        </is>
      </c>
      <c r="L124" t="inlineStr">
        <is>
          <t>Drenagem</t>
        </is>
      </c>
      <c r="M124" t="inlineStr">
        <is>
          <t>Assoreamento</t>
        </is>
      </c>
      <c r="N124" t="inlineStr">
        <is>
          <t>Durante a inspeção foi verificado que alguns pontos das drenagens encontram-se assoreadas, necessitando de limpeza e alguns pontos necessitam de reparos</t>
        </is>
      </c>
      <c r="O124" t="inlineStr">
        <is>
          <t>Tipo C</t>
        </is>
      </c>
      <c r="P124" t="inlineStr">
        <is>
          <t>35+074</t>
        </is>
      </c>
      <c r="Q124" t="inlineStr">
        <is>
          <t>35+080</t>
        </is>
      </c>
      <c r="R124" t="inlineStr">
        <is>
          <t>Encerrado</t>
        </is>
      </c>
      <c r="S124" t="inlineStr">
        <is>
          <t>Qualidade</t>
        </is>
      </c>
      <c r="T124" t="inlineStr">
        <is>
          <t>Aline Batista</t>
        </is>
      </c>
      <c r="U124" t="inlineStr">
        <is>
          <t>03/12/2025</t>
        </is>
      </c>
      <c r="V124" t="inlineStr">
        <is>
          <t>02/01/2026</t>
        </is>
      </c>
      <c r="W124">
        <v>159</v>
      </c>
      <c r="X124" t="inlineStr">
        <is>
          <t>-</t>
        </is>
      </c>
      <c r="Y124" t="inlineStr">
        <is>
          <t>30/03/2026</t>
        </is>
      </c>
      <c r="Z124" t="inlineStr">
        <is>
          <t>Concluído</t>
        </is>
      </c>
      <c r="AA124" t="inlineStr">
        <is>
          <t>Fechada 90-120 dias</t>
        </is>
      </c>
    </row>
    <row r="125">
      <c r="A125">
        <v>123</v>
      </c>
      <c r="B125">
        <v>1</v>
      </c>
      <c r="C125" t="inlineStr">
        <is>
          <t>1.4A</t>
        </is>
      </c>
      <c r="D125" t="inlineStr">
        <is>
          <t>PI GO - GO-556</t>
        </is>
      </c>
      <c r="F125" t="inlineStr">
        <is>
          <t>EMPA</t>
        </is>
      </c>
      <c r="G125" t="inlineStr">
        <is>
          <t>CLP-006</t>
        </is>
      </c>
      <c r="H125" t="inlineStr">
        <is>
          <t>Protocolo</t>
        </is>
      </c>
      <c r="I125">
        <v>10</v>
      </c>
      <c r="J125" t="inlineStr">
        <is>
          <t>Pavimentação</t>
        </is>
      </c>
      <c r="K125" t="inlineStr">
        <is>
          <t>10.5</t>
        </is>
      </c>
      <c r="L125" t="inlineStr">
        <is>
          <t>Passagem Inferior</t>
        </is>
      </c>
      <c r="M125" t="inlineStr">
        <is>
          <t>Documental</t>
        </is>
      </c>
      <c r="N125" t="inlineStr">
        <is>
          <t>A documentação foi entrega (databook) porém em avaliação do OIA. As Built não foram entregues. A documentação entregue está incompleta e Consta RNC em aberto - RNC 08011/25 - Execução da sinalização horizontal antes da finalização do microrevestimento.. A sinalização vertical foi implantada.</t>
        </is>
      </c>
      <c r="O125" t="inlineStr">
        <is>
          <t>Tipo C</t>
        </is>
      </c>
      <c r="P125" t="inlineStr">
        <is>
          <t>35+074</t>
        </is>
      </c>
      <c r="Q125" t="inlineStr">
        <is>
          <t>35+080</t>
        </is>
      </c>
      <c r="R125" t="inlineStr">
        <is>
          <t>Aberta</t>
        </is>
      </c>
      <c r="S125" t="inlineStr">
        <is>
          <t>Qualidade</t>
        </is>
      </c>
      <c r="T125" t="inlineStr">
        <is>
          <t>Aline Batista</t>
        </is>
      </c>
      <c r="U125" t="inlineStr">
        <is>
          <t>03/12/2025</t>
        </is>
      </c>
      <c r="V125" t="inlineStr">
        <is>
          <t>02/01/2026</t>
        </is>
      </c>
      <c r="W125">
        <v>159</v>
      </c>
      <c r="AA125" t="inlineStr">
        <is>
          <t>Aberta +120 dias</t>
        </is>
      </c>
      <c r="AB125" t="inlineStr">
        <is>
          <t>EMPA</t>
        </is>
      </c>
      <c r="AC125" t="inlineStr">
        <is>
          <t>Aline</t>
        </is>
      </c>
      <c r="AE125" t="inlineStr">
        <is>
          <t>19/06/2026</t>
        </is>
      </c>
      <c r="AF125" t="inlineStr">
        <is>
          <t>Ata de reunião de RM p/ BK</t>
        </is>
      </c>
    </row>
    <row r="126">
      <c r="A126">
        <v>124</v>
      </c>
      <c r="B126">
        <v>1</v>
      </c>
      <c r="C126" t="inlineStr">
        <is>
          <t>1.4A</t>
        </is>
      </c>
      <c r="D126" t="inlineStr">
        <is>
          <t>PI GO - GO-556</t>
        </is>
      </c>
      <c r="F126" t="inlineStr">
        <is>
          <t>EMPA</t>
        </is>
      </c>
      <c r="G126" t="inlineStr">
        <is>
          <t>CLP-006</t>
        </is>
      </c>
      <c r="H126" t="inlineStr">
        <is>
          <t>Protocolo</t>
        </is>
      </c>
      <c r="I126">
        <v>10</v>
      </c>
      <c r="J126" t="inlineStr">
        <is>
          <t>Pavimentação</t>
        </is>
      </c>
      <c r="K126" t="inlineStr">
        <is>
          <t>10.6</t>
        </is>
      </c>
      <c r="L126" t="inlineStr">
        <is>
          <t>Pavimentação</t>
        </is>
      </c>
      <c r="M126" t="inlineStr">
        <is>
          <t>Documental</t>
        </is>
      </c>
      <c r="N126" t="inlineStr">
        <is>
          <t>A documentação foi entregue (Databook), porém em avaliação do OIA. As Built não foram entregues. Consta RNC em aberto - RNC - 07869/25 - Desvio executivo do TSD.</t>
        </is>
      </c>
      <c r="O126" t="inlineStr">
        <is>
          <t>Tipo C</t>
        </is>
      </c>
      <c r="P126" t="inlineStr">
        <is>
          <t>35+074</t>
        </is>
      </c>
      <c r="Q126" t="inlineStr">
        <is>
          <t>35+080</t>
        </is>
      </c>
      <c r="R126" t="inlineStr">
        <is>
          <t>Encerrado</t>
        </is>
      </c>
      <c r="S126" t="inlineStr">
        <is>
          <t>Qualidade</t>
        </is>
      </c>
      <c r="T126" t="inlineStr">
        <is>
          <t>Aline Batista</t>
        </is>
      </c>
      <c r="U126" t="inlineStr">
        <is>
          <t>03/12/2025</t>
        </is>
      </c>
      <c r="V126" t="inlineStr">
        <is>
          <t>02/01/2026</t>
        </is>
      </c>
      <c r="W126">
        <v>159</v>
      </c>
      <c r="X126" t="inlineStr">
        <is>
          <t>-</t>
        </is>
      </c>
      <c r="Y126" t="inlineStr">
        <is>
          <t>30/03/2026</t>
        </is>
      </c>
      <c r="Z126" t="inlineStr">
        <is>
          <t>Concluído</t>
        </is>
      </c>
      <c r="AA126" t="inlineStr">
        <is>
          <t>Fechada 90-120 dias</t>
        </is>
      </c>
    </row>
    <row r="127">
      <c r="A127">
        <v>125</v>
      </c>
      <c r="B127">
        <v>1</v>
      </c>
      <c r="C127" t="inlineStr">
        <is>
          <t>1.4A</t>
        </is>
      </c>
      <c r="D127" t="inlineStr">
        <is>
          <t>PI GO - GO-556</t>
        </is>
      </c>
      <c r="F127" t="inlineStr">
        <is>
          <t>EMPA</t>
        </is>
      </c>
      <c r="G127" t="inlineStr">
        <is>
          <t>CLP-006</t>
        </is>
      </c>
      <c r="H127" t="inlineStr">
        <is>
          <t>Protocolo</t>
        </is>
      </c>
      <c r="I127">
        <v>10</v>
      </c>
      <c r="J127" t="inlineStr">
        <is>
          <t>Pavimentação</t>
        </is>
      </c>
      <c r="K127" t="inlineStr">
        <is>
          <t>10.7</t>
        </is>
      </c>
      <c r="L127" t="inlineStr">
        <is>
          <t>Pavimentação</t>
        </is>
      </c>
      <c r="M127" t="inlineStr">
        <is>
          <t>Documental</t>
        </is>
      </c>
      <c r="N127" t="inlineStr">
        <is>
          <t>A documentação foi entregue((databook), porém em avaliação do OIA. As built não foram entregues. A documentação referente ao IRI não foi entregue.</t>
        </is>
      </c>
      <c r="O127" t="inlineStr">
        <is>
          <t>Tipo C</t>
        </is>
      </c>
      <c r="P127" t="inlineStr">
        <is>
          <t>35+074</t>
        </is>
      </c>
      <c r="Q127" t="inlineStr">
        <is>
          <t>35+080</t>
        </is>
      </c>
      <c r="R127" t="inlineStr">
        <is>
          <t>Aberta</t>
        </is>
      </c>
      <c r="S127" t="inlineStr">
        <is>
          <t>Qualidade</t>
        </is>
      </c>
      <c r="T127" t="inlineStr">
        <is>
          <t>Aline Batista</t>
        </is>
      </c>
      <c r="U127" t="inlineStr">
        <is>
          <t>03/12/2025</t>
        </is>
      </c>
      <c r="V127" t="inlineStr">
        <is>
          <t>02/01/2026</t>
        </is>
      </c>
      <c r="W127">
        <v>159</v>
      </c>
      <c r="AA127" t="inlineStr">
        <is>
          <t>Aberta +120 dias</t>
        </is>
      </c>
      <c r="AB127" t="inlineStr">
        <is>
          <t>EMPA</t>
        </is>
      </c>
      <c r="AC127" t="inlineStr">
        <is>
          <t>Aline</t>
        </is>
      </c>
      <c r="AE127" t="inlineStr">
        <is>
          <t>19/06/2026</t>
        </is>
      </c>
      <c r="AF127" t="inlineStr">
        <is>
          <t>Ata de reunião de RM p/ BK</t>
        </is>
      </c>
    </row>
    <row r="128">
      <c r="A128">
        <v>126</v>
      </c>
      <c r="B128">
        <v>1</v>
      </c>
      <c r="C128" t="inlineStr">
        <is>
          <t>1.4A</t>
        </is>
      </c>
      <c r="D128" t="inlineStr">
        <is>
          <t>PI GO - GO-556</t>
        </is>
      </c>
      <c r="F128" t="inlineStr">
        <is>
          <t>EMPA</t>
        </is>
      </c>
      <c r="G128" t="inlineStr">
        <is>
          <t>CLP-006</t>
        </is>
      </c>
      <c r="H128" t="inlineStr">
        <is>
          <t>Protocolo</t>
        </is>
      </c>
      <c r="I128">
        <v>10</v>
      </c>
      <c r="J128" t="inlineStr">
        <is>
          <t>Pavimentação</t>
        </is>
      </c>
      <c r="K128" t="inlineStr">
        <is>
          <t>10.8</t>
        </is>
      </c>
      <c r="L128" t="inlineStr">
        <is>
          <t>Passagem Inferior</t>
        </is>
      </c>
      <c r="M128" t="inlineStr">
        <is>
          <t>Limpeza/ remoção de material</t>
        </is>
      </c>
      <c r="N128" t="inlineStr">
        <is>
          <t>Durante a Inspeção foi evidenciado que alguns pontos da drenagem encontram-se obstruídas, necessitando de limpeza.</t>
        </is>
      </c>
      <c r="O128" t="inlineStr">
        <is>
          <t>Tipo C</t>
        </is>
      </c>
      <c r="P128" t="inlineStr">
        <is>
          <t>35+074</t>
        </is>
      </c>
      <c r="Q128" t="inlineStr">
        <is>
          <t>35+080</t>
        </is>
      </c>
      <c r="R128" t="inlineStr">
        <is>
          <t>Encerrado</t>
        </is>
      </c>
      <c r="S128" t="inlineStr">
        <is>
          <t>Qualidade</t>
        </is>
      </c>
      <c r="T128" t="inlineStr">
        <is>
          <t>Aline Batista</t>
        </is>
      </c>
      <c r="U128" t="inlineStr">
        <is>
          <t>03/12/2025</t>
        </is>
      </c>
      <c r="V128" t="inlineStr">
        <is>
          <t>02/01/2026</t>
        </is>
      </c>
      <c r="W128">
        <v>159</v>
      </c>
      <c r="X128" t="inlineStr">
        <is>
          <t>-</t>
        </is>
      </c>
      <c r="Y128" t="inlineStr">
        <is>
          <t>30/03/2026</t>
        </is>
      </c>
      <c r="Z128" t="inlineStr">
        <is>
          <t>Concluído</t>
        </is>
      </c>
      <c r="AA128" t="inlineStr">
        <is>
          <t>Fechada 90-120 dias</t>
        </is>
      </c>
    </row>
    <row r="129">
      <c r="A129">
        <v>127</v>
      </c>
      <c r="B129">
        <v>1</v>
      </c>
      <c r="C129" t="inlineStr">
        <is>
          <t>1.4A</t>
        </is>
      </c>
      <c r="D129" t="inlineStr">
        <is>
          <t>PI GO - GO-556</t>
        </is>
      </c>
      <c r="F129" t="inlineStr">
        <is>
          <t>EMPA</t>
        </is>
      </c>
      <c r="G129" t="inlineStr">
        <is>
          <t>CLP-006</t>
        </is>
      </c>
      <c r="H129" t="inlineStr">
        <is>
          <t>Protocolo</t>
        </is>
      </c>
      <c r="I129">
        <v>10</v>
      </c>
      <c r="J129" t="inlineStr">
        <is>
          <t>Pavimentação</t>
        </is>
      </c>
      <c r="K129" t="inlineStr">
        <is>
          <t>10.9</t>
        </is>
      </c>
      <c r="L129" t="inlineStr">
        <is>
          <t>Passagem Inferior</t>
        </is>
      </c>
      <c r="M129" t="inlineStr">
        <is>
          <t>Documental</t>
        </is>
      </c>
      <c r="N129" t="inlineStr">
        <is>
          <t>A documentação foi entregue (Databook) porém em avaliação do OIA. As built não foram entregues. A documentação dos ensaios deflectômetros não foram entregues.</t>
        </is>
      </c>
      <c r="O129" t="inlineStr">
        <is>
          <t>Tipo B</t>
        </is>
      </c>
      <c r="P129" t="inlineStr">
        <is>
          <t>35+074</t>
        </is>
      </c>
      <c r="Q129" t="inlineStr">
        <is>
          <t>35+080</t>
        </is>
      </c>
      <c r="R129" t="inlineStr">
        <is>
          <t>Aberta</t>
        </is>
      </c>
      <c r="S129" t="inlineStr">
        <is>
          <t>Qualidade</t>
        </is>
      </c>
      <c r="T129" t="inlineStr">
        <is>
          <t>Aline Batista</t>
        </is>
      </c>
      <c r="U129" t="inlineStr">
        <is>
          <t>03/12/2025</t>
        </is>
      </c>
      <c r="V129" t="inlineStr">
        <is>
          <t>18/12/2025</t>
        </is>
      </c>
      <c r="W129">
        <v>174</v>
      </c>
      <c r="AA129" t="inlineStr">
        <is>
          <t>Aberta +120 dias</t>
        </is>
      </c>
      <c r="AB129" t="inlineStr">
        <is>
          <t>EMPA</t>
        </is>
      </c>
      <c r="AC129" t="inlineStr">
        <is>
          <t>Aline</t>
        </is>
      </c>
      <c r="AE129" t="inlineStr">
        <is>
          <t>19/06/2026</t>
        </is>
      </c>
      <c r="AF129" t="inlineStr">
        <is>
          <t>Ata de reunião de RM p/ BK</t>
        </is>
      </c>
    </row>
    <row r="130">
      <c r="A130">
        <v>128</v>
      </c>
      <c r="B130">
        <v>1</v>
      </c>
      <c r="C130" t="inlineStr">
        <is>
          <t>1.4A</t>
        </is>
      </c>
      <c r="D130" t="inlineStr">
        <is>
          <t>PI GO - GO-556</t>
        </is>
      </c>
      <c r="F130" t="inlineStr">
        <is>
          <t>EMPA</t>
        </is>
      </c>
      <c r="G130" t="inlineStr">
        <is>
          <t>CLP-006</t>
        </is>
      </c>
      <c r="H130" t="inlineStr">
        <is>
          <t>Protocolo</t>
        </is>
      </c>
      <c r="I130">
        <v>10</v>
      </c>
      <c r="J130" t="inlineStr">
        <is>
          <t>Pavimentação</t>
        </is>
      </c>
      <c r="K130" t="inlineStr">
        <is>
          <t>10.11</t>
        </is>
      </c>
      <c r="L130" t="inlineStr">
        <is>
          <t>Pavimentação</t>
        </is>
      </c>
      <c r="M130" t="inlineStr">
        <is>
          <t>Documental</t>
        </is>
      </c>
      <c r="N130" t="inlineStr">
        <is>
          <t>A documentação (databook)foi entregue, porém em avaliação do OIA. As Built não foram entregues. . A documentação entregue não contempla certificados de qualidade do ligante asfáltico.</t>
        </is>
      </c>
      <c r="O130" t="inlineStr">
        <is>
          <t>Tipo B</t>
        </is>
      </c>
      <c r="P130" t="inlineStr">
        <is>
          <t>35+074</t>
        </is>
      </c>
      <c r="Q130" t="inlineStr">
        <is>
          <t>35+080</t>
        </is>
      </c>
      <c r="R130" t="inlineStr">
        <is>
          <t>Aberta</t>
        </is>
      </c>
      <c r="S130" t="inlineStr">
        <is>
          <t>Qualidade</t>
        </is>
      </c>
      <c r="T130" t="inlineStr">
        <is>
          <t>Aline Batista</t>
        </is>
      </c>
      <c r="U130" t="inlineStr">
        <is>
          <t>03/12/2025</t>
        </is>
      </c>
      <c r="V130" t="inlineStr">
        <is>
          <t>18/12/2025</t>
        </is>
      </c>
      <c r="W130">
        <v>174</v>
      </c>
      <c r="AA130" t="inlineStr">
        <is>
          <t>Aberta +120 dias</t>
        </is>
      </c>
      <c r="AB130" t="inlineStr">
        <is>
          <t>EMPA</t>
        </is>
      </c>
      <c r="AC130" t="inlineStr">
        <is>
          <t>Aline</t>
        </is>
      </c>
      <c r="AE130" t="inlineStr">
        <is>
          <t>19/06/2026</t>
        </is>
      </c>
      <c r="AF130" t="inlineStr">
        <is>
          <t>Ata de reunião de RM p/ BK</t>
        </is>
      </c>
    </row>
    <row r="131">
      <c r="A131">
        <v>129</v>
      </c>
      <c r="B131">
        <v>1</v>
      </c>
      <c r="C131" t="inlineStr">
        <is>
          <t>1.4A</t>
        </is>
      </c>
      <c r="D131" t="inlineStr">
        <is>
          <t>PI GO - GO-556</t>
        </is>
      </c>
      <c r="F131" t="inlineStr">
        <is>
          <t>EMPA</t>
        </is>
      </c>
      <c r="G131" t="inlineStr">
        <is>
          <t>CLP-006</t>
        </is>
      </c>
      <c r="H131" t="inlineStr">
        <is>
          <t>Protocolo</t>
        </is>
      </c>
      <c r="I131">
        <v>10</v>
      </c>
      <c r="J131" t="inlineStr">
        <is>
          <t>Pavimentação</t>
        </is>
      </c>
      <c r="K131" t="inlineStr">
        <is>
          <t>10.12</t>
        </is>
      </c>
      <c r="L131" t="inlineStr">
        <is>
          <t>Pavimentação</t>
        </is>
      </c>
      <c r="M131" t="inlineStr">
        <is>
          <t>Documental</t>
        </is>
      </c>
      <c r="N131" t="inlineStr">
        <is>
          <t>A documentação foi entregue (atabook), porém em avaliaçã odo OIA. As Built não foram entregues. Consta RNC em aberto - RNC 07868/25 - Pavimentação - Taxa de agregados fora do normativo; RNC 07869/25 - Desvio executivo do TSD .</t>
        </is>
      </c>
      <c r="O131" t="inlineStr">
        <is>
          <t>Tipo B</t>
        </is>
      </c>
      <c r="P131" t="inlineStr">
        <is>
          <t>35+074</t>
        </is>
      </c>
      <c r="Q131" t="inlineStr">
        <is>
          <t>35+080</t>
        </is>
      </c>
      <c r="R131" t="inlineStr">
        <is>
          <t>Encerrado</t>
        </is>
      </c>
      <c r="S131" t="inlineStr">
        <is>
          <t>Qualidade</t>
        </is>
      </c>
      <c r="T131" t="inlineStr">
        <is>
          <t>Aline Batista</t>
        </is>
      </c>
      <c r="U131" t="inlineStr">
        <is>
          <t>03/12/2025</t>
        </is>
      </c>
      <c r="V131" t="inlineStr">
        <is>
          <t>18/12/2025</t>
        </is>
      </c>
      <c r="W131">
        <v>174</v>
      </c>
      <c r="X131" t="inlineStr">
        <is>
          <t>-</t>
        </is>
      </c>
      <c r="Y131" t="inlineStr">
        <is>
          <t>30/03/2026</t>
        </is>
      </c>
      <c r="Z131" t="inlineStr">
        <is>
          <t>Concluído</t>
        </is>
      </c>
      <c r="AA131" t="inlineStr">
        <is>
          <t>Fechada 90-120 dias</t>
        </is>
      </c>
    </row>
    <row r="132">
      <c r="A132">
        <v>130</v>
      </c>
      <c r="B132">
        <v>1</v>
      </c>
      <c r="C132" t="inlineStr">
        <is>
          <t>1.4A</t>
        </is>
      </c>
      <c r="D132" t="inlineStr">
        <is>
          <t>PI GO - GO-556</t>
        </is>
      </c>
      <c r="F132" t="inlineStr">
        <is>
          <t>EMPA</t>
        </is>
      </c>
      <c r="G132" t="inlineStr">
        <is>
          <t>CLP-006</t>
        </is>
      </c>
      <c r="H132" t="inlineStr">
        <is>
          <t>Protocolo</t>
        </is>
      </c>
      <c r="I132">
        <v>10</v>
      </c>
      <c r="J132" t="inlineStr">
        <is>
          <t>Pavimentação</t>
        </is>
      </c>
      <c r="K132" t="inlineStr">
        <is>
          <t>10.13</t>
        </is>
      </c>
      <c r="L132" t="inlineStr">
        <is>
          <t>Pavimentação</t>
        </is>
      </c>
      <c r="M132" t="inlineStr">
        <is>
          <t>Documental</t>
        </is>
      </c>
      <c r="N132" t="inlineStr">
        <is>
          <t>O revestimento aplicado apresenta segregação e com falhas na superfície. Consta RNC em aberto - RNC 07869/25 - Desvio executivo do TSD.</t>
        </is>
      </c>
      <c r="O132" t="inlineStr">
        <is>
          <t>Tipo A</t>
        </is>
      </c>
      <c r="P132" t="inlineStr">
        <is>
          <t>35+074</t>
        </is>
      </c>
      <c r="Q132" t="inlineStr">
        <is>
          <t>35+080</t>
        </is>
      </c>
      <c r="R132" t="inlineStr">
        <is>
          <t>Encerrado</t>
        </is>
      </c>
      <c r="S132" t="inlineStr">
        <is>
          <t>Qualidade</t>
        </is>
      </c>
      <c r="T132" t="inlineStr">
        <is>
          <t>Aline Batista</t>
        </is>
      </c>
      <c r="U132" t="inlineStr">
        <is>
          <t>03/12/2025</t>
        </is>
      </c>
      <c r="V132" t="inlineStr">
        <is>
          <t>10/12/2025</t>
        </is>
      </c>
      <c r="W132">
        <v>182</v>
      </c>
      <c r="X132" t="inlineStr">
        <is>
          <t>-</t>
        </is>
      </c>
      <c r="Y132" t="inlineStr">
        <is>
          <t>30/03/2026</t>
        </is>
      </c>
      <c r="Z132" t="inlineStr">
        <is>
          <t>Concluído</t>
        </is>
      </c>
      <c r="AA132" t="inlineStr">
        <is>
          <t>Fechada 90-120 dias</t>
        </is>
      </c>
    </row>
    <row r="133">
      <c r="A133">
        <v>131</v>
      </c>
      <c r="B133">
        <v>1</v>
      </c>
      <c r="C133" t="inlineStr">
        <is>
          <t>1.4A</t>
        </is>
      </c>
      <c r="D133" t="inlineStr">
        <is>
          <t>PI GO - GO-556</t>
        </is>
      </c>
      <c r="F133" t="inlineStr">
        <is>
          <t>EMPA</t>
        </is>
      </c>
      <c r="G133" t="inlineStr">
        <is>
          <t>CLP-006</t>
        </is>
      </c>
      <c r="H133" t="inlineStr">
        <is>
          <t>Protocolo</t>
        </is>
      </c>
      <c r="I133">
        <v>10</v>
      </c>
      <c r="J133" t="inlineStr">
        <is>
          <t>Pavimentação</t>
        </is>
      </c>
      <c r="K133" t="inlineStr">
        <is>
          <t>10.15</t>
        </is>
      </c>
      <c r="L133" t="inlineStr">
        <is>
          <t>Pavimentação</t>
        </is>
      </c>
      <c r="M133" t="inlineStr">
        <is>
          <t>Documental</t>
        </is>
      </c>
      <c r="N133" t="inlineStr">
        <is>
          <t>RNC 07868/25 - Pavimentação - Taxas de agregados...; RNC 07869/25 - Desvio executivo do TSD; RNC 07870/25 - Liberação do tráfego antes da sinalização; RNC 08011/25 - Execução da sinalização horizontal antes da finalização do microrevestimento; RNC 08485/25 - Liberação do tráfego antes da finalização.</t>
        </is>
      </c>
      <c r="O133" t="inlineStr">
        <is>
          <t>Tipo B</t>
        </is>
      </c>
      <c r="P133" t="inlineStr">
        <is>
          <t>35+074</t>
        </is>
      </c>
      <c r="Q133" t="inlineStr">
        <is>
          <t>35+080</t>
        </is>
      </c>
      <c r="R133" t="inlineStr">
        <is>
          <t>Aberta</t>
        </is>
      </c>
      <c r="S133" t="inlineStr">
        <is>
          <t>Qualidade</t>
        </is>
      </c>
      <c r="T133" t="inlineStr">
        <is>
          <t>Aline Batista</t>
        </is>
      </c>
      <c r="U133" t="inlineStr">
        <is>
          <t>03/12/2025</t>
        </is>
      </c>
      <c r="V133" t="inlineStr">
        <is>
          <t>18/12/2025</t>
        </is>
      </c>
      <c r="W133">
        <v>174</v>
      </c>
      <c r="AA133" t="inlineStr">
        <is>
          <t>Aberta +120 dias</t>
        </is>
      </c>
      <c r="AB133" t="inlineStr">
        <is>
          <t>EMPA</t>
        </is>
      </c>
      <c r="AC133" t="inlineStr">
        <is>
          <t>Aline</t>
        </is>
      </c>
      <c r="AE133" t="inlineStr">
        <is>
          <t>19/06/2026</t>
        </is>
      </c>
      <c r="AF133" t="inlineStr">
        <is>
          <t>Ata de reunião de RM p/ BK</t>
        </is>
      </c>
    </row>
    <row r="134">
      <c r="A134">
        <v>132</v>
      </c>
      <c r="B134">
        <v>1</v>
      </c>
      <c r="C134" t="inlineStr">
        <is>
          <t>1.4A</t>
        </is>
      </c>
      <c r="D134" t="inlineStr">
        <is>
          <t>PI GO - GO-556</t>
        </is>
      </c>
      <c r="F134" t="inlineStr">
        <is>
          <t>EMPA</t>
        </is>
      </c>
      <c r="G134" t="inlineStr">
        <is>
          <t>CLP-006</t>
        </is>
      </c>
      <c r="H134" t="inlineStr">
        <is>
          <t>Protocolo</t>
        </is>
      </c>
      <c r="I134">
        <v>10</v>
      </c>
      <c r="J134" t="inlineStr">
        <is>
          <t>Pavimentação</t>
        </is>
      </c>
      <c r="K134" t="inlineStr">
        <is>
          <t>10.16</t>
        </is>
      </c>
      <c r="L134" t="inlineStr">
        <is>
          <t>Pavimentação</t>
        </is>
      </c>
      <c r="M134" t="inlineStr">
        <is>
          <t>Documental</t>
        </is>
      </c>
      <c r="N134" t="inlineStr">
        <is>
          <t>A documentação foi entregue (Databook), porém em avaliaçao do OIA. As Built não foram entregues.</t>
        </is>
      </c>
      <c r="O134" t="inlineStr">
        <is>
          <t>Tipo B</t>
        </is>
      </c>
      <c r="P134" t="inlineStr">
        <is>
          <t>35+074</t>
        </is>
      </c>
      <c r="Q134" t="inlineStr">
        <is>
          <t>35+080</t>
        </is>
      </c>
      <c r="R134" t="inlineStr">
        <is>
          <t>Encerrado</t>
        </is>
      </c>
      <c r="S134" t="inlineStr">
        <is>
          <t>Qualidade</t>
        </is>
      </c>
      <c r="T134" t="inlineStr">
        <is>
          <t>Aline Batista</t>
        </is>
      </c>
      <c r="U134" t="inlineStr">
        <is>
          <t>03/12/2025</t>
        </is>
      </c>
      <c r="V134" t="inlineStr">
        <is>
          <t>18/12/2025</t>
        </is>
      </c>
      <c r="W134">
        <v>174</v>
      </c>
      <c r="X134" t="inlineStr">
        <is>
          <t>-</t>
        </is>
      </c>
      <c r="Y134" t="inlineStr">
        <is>
          <t>15/05/2026</t>
        </is>
      </c>
      <c r="Z134" t="inlineStr">
        <is>
          <t>Concluído</t>
        </is>
      </c>
      <c r="AA134" t="inlineStr">
        <is>
          <t>Fechada +120 dias</t>
        </is>
      </c>
    </row>
    <row r="135">
      <c r="A135">
        <v>133</v>
      </c>
      <c r="B135">
        <v>1</v>
      </c>
      <c r="C135" t="inlineStr">
        <is>
          <t>1.4A</t>
        </is>
      </c>
      <c r="D135" t="inlineStr">
        <is>
          <t>PI GO - GO-556</t>
        </is>
      </c>
      <c r="F135" t="inlineStr">
        <is>
          <t>EMPA</t>
        </is>
      </c>
      <c r="G135" t="inlineStr">
        <is>
          <t>CLP-006</t>
        </is>
      </c>
      <c r="H135" t="inlineStr">
        <is>
          <t>Protocolo</t>
        </is>
      </c>
      <c r="I135">
        <v>10</v>
      </c>
      <c r="J135" t="inlineStr">
        <is>
          <t>Pavimentação</t>
        </is>
      </c>
      <c r="K135" t="inlineStr">
        <is>
          <t>10.17</t>
        </is>
      </c>
      <c r="L135" t="inlineStr">
        <is>
          <t>Passagem Inferior</t>
        </is>
      </c>
      <c r="M135" t="inlineStr">
        <is>
          <t>Documental</t>
        </is>
      </c>
      <c r="N135" t="inlineStr">
        <is>
          <t>A documentação foi entregue (Databook), porém em avaliação do OIA. A documentação apresentada não esclarece de qual camadas foram as determinações das taxas.</t>
        </is>
      </c>
      <c r="O135" t="inlineStr">
        <is>
          <t>Tipo B</t>
        </is>
      </c>
      <c r="P135" t="inlineStr">
        <is>
          <t>35+074</t>
        </is>
      </c>
      <c r="Q135" t="inlineStr">
        <is>
          <t>35+080</t>
        </is>
      </c>
      <c r="R135" t="inlineStr">
        <is>
          <t>Aberta</t>
        </is>
      </c>
      <c r="S135" t="inlineStr">
        <is>
          <t>Qualidade</t>
        </is>
      </c>
      <c r="T135" t="inlineStr">
        <is>
          <t>Aline Batista</t>
        </is>
      </c>
      <c r="U135" t="inlineStr">
        <is>
          <t>03/12/2025</t>
        </is>
      </c>
      <c r="V135" t="inlineStr">
        <is>
          <t>18/12/2025</t>
        </is>
      </c>
      <c r="W135">
        <v>174</v>
      </c>
      <c r="AA135" t="inlineStr">
        <is>
          <t>Aberta +120 dias</t>
        </is>
      </c>
      <c r="AB135" t="inlineStr">
        <is>
          <t>EMPA</t>
        </is>
      </c>
      <c r="AC135" t="inlineStr">
        <is>
          <t>Aline</t>
        </is>
      </c>
      <c r="AE135" t="inlineStr">
        <is>
          <t>19/06/2026</t>
        </is>
      </c>
      <c r="AF135" t="inlineStr">
        <is>
          <t>Ata de reunião de RM p/ BK</t>
        </is>
      </c>
    </row>
    <row r="136">
      <c r="A136">
        <v>134</v>
      </c>
      <c r="B136">
        <v>1</v>
      </c>
      <c r="C136" t="inlineStr">
        <is>
          <t>1.4A</t>
        </is>
      </c>
      <c r="D136" t="inlineStr">
        <is>
          <t>PI GO - GO-556</t>
        </is>
      </c>
      <c r="F136" t="inlineStr">
        <is>
          <t>EMPA</t>
        </is>
      </c>
      <c r="G136" t="inlineStr">
        <is>
          <t>CLP-006</t>
        </is>
      </c>
      <c r="H136" t="inlineStr">
        <is>
          <t>Protocolo</t>
        </is>
      </c>
      <c r="I136">
        <v>10</v>
      </c>
      <c r="J136" t="inlineStr">
        <is>
          <t>Pavimentação</t>
        </is>
      </c>
      <c r="K136" t="inlineStr">
        <is>
          <t>10.18</t>
        </is>
      </c>
      <c r="L136" t="inlineStr">
        <is>
          <t>Pavimentação</t>
        </is>
      </c>
      <c r="M136" t="inlineStr">
        <is>
          <t>Documental</t>
        </is>
      </c>
      <c r="N136" t="inlineStr">
        <is>
          <t>A documentação foi entregue (Databook), porém em avaliação do OIA. A documentação entregue não contempla registros de temperatura e nem estudo de dosagem do TSD.</t>
        </is>
      </c>
      <c r="O136" t="inlineStr">
        <is>
          <t>Tipo B</t>
        </is>
      </c>
      <c r="P136" t="inlineStr">
        <is>
          <t>35+074</t>
        </is>
      </c>
      <c r="Q136" t="inlineStr">
        <is>
          <t>35+080</t>
        </is>
      </c>
      <c r="R136" t="inlineStr">
        <is>
          <t>Aberta</t>
        </is>
      </c>
      <c r="S136" t="inlineStr">
        <is>
          <t>Qualidade</t>
        </is>
      </c>
      <c r="T136" t="inlineStr">
        <is>
          <t>Aline Batista</t>
        </is>
      </c>
      <c r="U136" t="inlineStr">
        <is>
          <t>03/12/2025</t>
        </is>
      </c>
      <c r="V136" t="inlineStr">
        <is>
          <t>18/12/2025</t>
        </is>
      </c>
      <c r="W136">
        <v>174</v>
      </c>
      <c r="AA136" t="inlineStr">
        <is>
          <t>Aberta +120 dias</t>
        </is>
      </c>
      <c r="AB136" t="inlineStr">
        <is>
          <t>EMPA</t>
        </is>
      </c>
      <c r="AC136" t="inlineStr">
        <is>
          <t>Aline</t>
        </is>
      </c>
      <c r="AE136" t="inlineStr">
        <is>
          <t>19/06/2026</t>
        </is>
      </c>
      <c r="AF136" t="inlineStr">
        <is>
          <t>Ata de reunião de RM p/ BK</t>
        </is>
      </c>
    </row>
    <row r="137">
      <c r="A137">
        <v>135</v>
      </c>
      <c r="B137">
        <v>1</v>
      </c>
      <c r="C137" t="inlineStr">
        <is>
          <t>1.4A</t>
        </is>
      </c>
      <c r="D137" t="inlineStr">
        <is>
          <t>PI GO - GO-556</t>
        </is>
      </c>
      <c r="F137" t="inlineStr">
        <is>
          <t>EMPA</t>
        </is>
      </c>
      <c r="G137" t="inlineStr">
        <is>
          <t>CLP-006</t>
        </is>
      </c>
      <c r="H137" t="inlineStr">
        <is>
          <t>Protocolo</t>
        </is>
      </c>
      <c r="I137">
        <v>10</v>
      </c>
      <c r="J137" t="inlineStr">
        <is>
          <t>Pavimentação</t>
        </is>
      </c>
      <c r="K137" t="inlineStr">
        <is>
          <t>10.19</t>
        </is>
      </c>
      <c r="L137" t="inlineStr">
        <is>
          <t>Pavimentação</t>
        </is>
      </c>
      <c r="M137" t="inlineStr">
        <is>
          <t>Documental</t>
        </is>
      </c>
      <c r="N137" t="inlineStr">
        <is>
          <t>A documentação foi entregue (Databook), porém em avaliação do OIA. A documentação entregue não contempla granulometria do agregado aplicado nas camadas de TSD.</t>
        </is>
      </c>
      <c r="O137" t="inlineStr">
        <is>
          <t>Tipo B</t>
        </is>
      </c>
      <c r="P137" t="inlineStr">
        <is>
          <t>35+074</t>
        </is>
      </c>
      <c r="Q137" t="inlineStr">
        <is>
          <t>35+080</t>
        </is>
      </c>
      <c r="R137" t="inlineStr">
        <is>
          <t>Aberta</t>
        </is>
      </c>
      <c r="S137" t="inlineStr">
        <is>
          <t>Qualidade</t>
        </is>
      </c>
      <c r="T137" t="inlineStr">
        <is>
          <t>Aline Batista</t>
        </is>
      </c>
      <c r="U137" t="inlineStr">
        <is>
          <t>03/12/2025</t>
        </is>
      </c>
      <c r="V137" t="inlineStr">
        <is>
          <t>18/12/2025</t>
        </is>
      </c>
      <c r="W137">
        <v>174</v>
      </c>
      <c r="AA137" t="inlineStr">
        <is>
          <t>Aberta +120 dias</t>
        </is>
      </c>
      <c r="AB137" t="inlineStr">
        <is>
          <t>EMPA</t>
        </is>
      </c>
      <c r="AC137" t="inlineStr">
        <is>
          <t>Aline</t>
        </is>
      </c>
      <c r="AE137" t="inlineStr">
        <is>
          <t>19/06/2026</t>
        </is>
      </c>
      <c r="AF137" t="inlineStr">
        <is>
          <t>Ata de reunião de RM p/ BK</t>
        </is>
      </c>
    </row>
    <row r="138">
      <c r="A138">
        <v>136</v>
      </c>
      <c r="B138">
        <v>1</v>
      </c>
      <c r="C138" t="inlineStr">
        <is>
          <t>1.4A</t>
        </is>
      </c>
      <c r="D138" t="inlineStr">
        <is>
          <t>PI GO - GO-556</t>
        </is>
      </c>
      <c r="F138" t="inlineStr">
        <is>
          <t>EMPA</t>
        </is>
      </c>
      <c r="G138" t="inlineStr">
        <is>
          <t>CLP-006</t>
        </is>
      </c>
      <c r="H138" t="inlineStr">
        <is>
          <t>Protocolo</t>
        </is>
      </c>
      <c r="I138">
        <v>10</v>
      </c>
      <c r="J138" t="inlineStr">
        <is>
          <t>Pavimentação</t>
        </is>
      </c>
      <c r="K138" t="inlineStr">
        <is>
          <t>10.20</t>
        </is>
      </c>
      <c r="L138" t="inlineStr">
        <is>
          <t>Pavimentação</t>
        </is>
      </c>
      <c r="M138" t="inlineStr">
        <is>
          <t>Documental</t>
        </is>
      </c>
      <c r="N138" t="inlineStr">
        <is>
          <t>A documentação foi entregue (Databook), porém em avaliação do OIA. As taxas de aplicação de agregados e ligante não atenderam ao especificado.</t>
        </is>
      </c>
      <c r="O138" t="inlineStr">
        <is>
          <t>Tipo B</t>
        </is>
      </c>
      <c r="P138" t="inlineStr">
        <is>
          <t>35+074</t>
        </is>
      </c>
      <c r="Q138" t="inlineStr">
        <is>
          <t>35+080</t>
        </is>
      </c>
      <c r="R138" t="inlineStr">
        <is>
          <t>Aberta</t>
        </is>
      </c>
      <c r="S138" t="inlineStr">
        <is>
          <t>Qualidade</t>
        </is>
      </c>
      <c r="T138" t="inlineStr">
        <is>
          <t>Aline Batista</t>
        </is>
      </c>
      <c r="U138" t="inlineStr">
        <is>
          <t>03/12/2025</t>
        </is>
      </c>
      <c r="V138" t="inlineStr">
        <is>
          <t>18/12/2025</t>
        </is>
      </c>
      <c r="W138">
        <v>174</v>
      </c>
      <c r="AA138" t="inlineStr">
        <is>
          <t>Aberta +120 dias</t>
        </is>
      </c>
      <c r="AB138" t="inlineStr">
        <is>
          <t>EMPA</t>
        </is>
      </c>
      <c r="AC138" t="inlineStr">
        <is>
          <t>Aline</t>
        </is>
      </c>
      <c r="AE138" t="inlineStr">
        <is>
          <t>19/06/2026</t>
        </is>
      </c>
      <c r="AF138" t="inlineStr">
        <is>
          <t>Ata de reunião de RM p/ BK</t>
        </is>
      </c>
    </row>
    <row r="139">
      <c r="A139">
        <v>137</v>
      </c>
      <c r="B139">
        <v>1</v>
      </c>
      <c r="C139" t="inlineStr">
        <is>
          <t>1.4A</t>
        </is>
      </c>
      <c r="D139" t="inlineStr">
        <is>
          <t>PI GO - GO-556</t>
        </is>
      </c>
      <c r="F139" t="inlineStr">
        <is>
          <t>EMPA</t>
        </is>
      </c>
      <c r="G139" t="inlineStr">
        <is>
          <t>CLP-006</t>
        </is>
      </c>
      <c r="H139" t="inlineStr">
        <is>
          <t>Protocolo</t>
        </is>
      </c>
      <c r="I139">
        <v>10</v>
      </c>
      <c r="J139" t="inlineStr">
        <is>
          <t>Pavimentação</t>
        </is>
      </c>
      <c r="K139" t="inlineStr">
        <is>
          <t>10.21</t>
        </is>
      </c>
      <c r="L139" t="inlineStr">
        <is>
          <t>Pavimentação</t>
        </is>
      </c>
      <c r="M139" t="inlineStr">
        <is>
          <t>Revestimento asfáltico</t>
        </is>
      </c>
      <c r="N139" t="inlineStr">
        <is>
          <t>Consta irregularidades no acabamento do TSD quanto ao processo executivo nas taxas de agregados e do ligante.</t>
        </is>
      </c>
      <c r="O139" t="inlineStr">
        <is>
          <t>Tipo A</t>
        </is>
      </c>
      <c r="P139" t="inlineStr">
        <is>
          <t>35+074</t>
        </is>
      </c>
      <c r="Q139" t="inlineStr">
        <is>
          <t>35+080</t>
        </is>
      </c>
      <c r="R139" t="inlineStr">
        <is>
          <t>Encerrado</t>
        </is>
      </c>
      <c r="S139" t="inlineStr">
        <is>
          <t>Qualidade</t>
        </is>
      </c>
      <c r="T139" t="inlineStr">
        <is>
          <t>Aline Batista</t>
        </is>
      </c>
      <c r="U139" t="inlineStr">
        <is>
          <t>03/12/2025</t>
        </is>
      </c>
      <c r="V139" t="inlineStr">
        <is>
          <t>10/12/2025</t>
        </is>
      </c>
      <c r="W139">
        <v>182</v>
      </c>
      <c r="X139" t="inlineStr">
        <is>
          <t>-</t>
        </is>
      </c>
      <c r="Y139" t="inlineStr">
        <is>
          <t>30/03/2026</t>
        </is>
      </c>
      <c r="Z139" t="inlineStr">
        <is>
          <t>Concluído</t>
        </is>
      </c>
      <c r="AA139" t="inlineStr">
        <is>
          <t>Fechada 90-120 dias</t>
        </is>
      </c>
    </row>
    <row r="140">
      <c r="A140">
        <v>138</v>
      </c>
      <c r="B140">
        <v>1</v>
      </c>
      <c r="C140" t="inlineStr">
        <is>
          <t>1.4A</t>
        </is>
      </c>
      <c r="D140" t="inlineStr">
        <is>
          <t>PI GO - GO-556</t>
        </is>
      </c>
      <c r="F140" t="inlineStr">
        <is>
          <t>EMPA</t>
        </is>
      </c>
      <c r="G140" t="inlineStr">
        <is>
          <t>CLP-006</t>
        </is>
      </c>
      <c r="H140" t="inlineStr">
        <is>
          <t>Protocolo</t>
        </is>
      </c>
      <c r="I140">
        <v>10</v>
      </c>
      <c r="J140" t="inlineStr">
        <is>
          <t>Pavimentação</t>
        </is>
      </c>
      <c r="K140" t="inlineStr">
        <is>
          <t>10.22</t>
        </is>
      </c>
      <c r="L140" t="inlineStr">
        <is>
          <t>Pavimentação</t>
        </is>
      </c>
      <c r="M140" t="inlineStr">
        <is>
          <t>Documental</t>
        </is>
      </c>
      <c r="N140" t="inlineStr">
        <is>
          <t>A documentação foi entregue (atabook), porém em avaliação do OIA. As Built não foram entregues</t>
        </is>
      </c>
      <c r="O140" t="inlineStr">
        <is>
          <t>Tipo B</t>
        </is>
      </c>
      <c r="P140" t="inlineStr">
        <is>
          <t>35+074</t>
        </is>
      </c>
      <c r="Q140" t="inlineStr">
        <is>
          <t>35+080</t>
        </is>
      </c>
      <c r="R140" t="inlineStr">
        <is>
          <t>Encerrado</t>
        </is>
      </c>
      <c r="S140" t="inlineStr">
        <is>
          <t>Qualidade</t>
        </is>
      </c>
      <c r="T140" t="inlineStr">
        <is>
          <t>Aline Batista</t>
        </is>
      </c>
      <c r="U140" t="inlineStr">
        <is>
          <t>03/12/2025</t>
        </is>
      </c>
      <c r="V140" t="inlineStr">
        <is>
          <t>18/12/2025</t>
        </is>
      </c>
      <c r="W140">
        <v>174</v>
      </c>
      <c r="X140" t="inlineStr">
        <is>
          <t>-</t>
        </is>
      </c>
      <c r="Y140" t="inlineStr">
        <is>
          <t>15/05/2026</t>
        </is>
      </c>
      <c r="Z140" t="inlineStr">
        <is>
          <t>Concluído</t>
        </is>
      </c>
      <c r="AA140" t="inlineStr">
        <is>
          <t>Fechada +120 dias</t>
        </is>
      </c>
    </row>
    <row r="141">
      <c r="A141">
        <v>139</v>
      </c>
      <c r="B141">
        <v>1</v>
      </c>
      <c r="C141" t="inlineStr">
        <is>
          <t>1.4A</t>
        </is>
      </c>
      <c r="D141" t="inlineStr">
        <is>
          <t>PI GO - GO-556</t>
        </is>
      </c>
      <c r="F141" t="inlineStr">
        <is>
          <t>EMPA</t>
        </is>
      </c>
      <c r="G141" t="inlineStr">
        <is>
          <t>CLP-006</t>
        </is>
      </c>
      <c r="H141" t="inlineStr">
        <is>
          <t>Protocolo</t>
        </is>
      </c>
      <c r="I141">
        <v>10</v>
      </c>
      <c r="J141" t="inlineStr">
        <is>
          <t>Pavimentação</t>
        </is>
      </c>
      <c r="K141" t="inlineStr">
        <is>
          <t>10.23</t>
        </is>
      </c>
      <c r="L141" t="inlineStr">
        <is>
          <t>Pavimentação</t>
        </is>
      </c>
      <c r="M141" t="inlineStr">
        <is>
          <t>Documental</t>
        </is>
      </c>
      <c r="N141" t="inlineStr">
        <is>
          <t>RNC 07868/25 - Pavimentação - Taxas de agregados...; RNC 07869/25 - Desvio executivo do TSD; RNC 07870/25 - Liberação do tráfego antes da sinalização; RNC 08011/25 - Execução da sinalização horizontal antes da finalização do microrevestimento; RNC 08485/25 - Liberação do tráfego antes da finalização.</t>
        </is>
      </c>
      <c r="O141" t="inlineStr">
        <is>
          <t>Tipo B</t>
        </is>
      </c>
      <c r="P141" t="inlineStr">
        <is>
          <t>35+074</t>
        </is>
      </c>
      <c r="Q141" t="inlineStr">
        <is>
          <t>35+080</t>
        </is>
      </c>
      <c r="R141" t="inlineStr">
        <is>
          <t>Aberta</t>
        </is>
      </c>
      <c r="S141" t="inlineStr">
        <is>
          <t>Qualidade</t>
        </is>
      </c>
      <c r="T141" t="inlineStr">
        <is>
          <t>Aline Batista</t>
        </is>
      </c>
      <c r="U141" t="inlineStr">
        <is>
          <t>03/12/2025</t>
        </is>
      </c>
      <c r="V141" t="inlineStr">
        <is>
          <t>18/12/2025</t>
        </is>
      </c>
      <c r="W141">
        <v>174</v>
      </c>
      <c r="AA141" t="inlineStr">
        <is>
          <t>Aberta +120 dias</t>
        </is>
      </c>
      <c r="AB141" t="inlineStr">
        <is>
          <t>EMPA</t>
        </is>
      </c>
      <c r="AC141" t="inlineStr">
        <is>
          <t>Aline</t>
        </is>
      </c>
      <c r="AE141" t="inlineStr">
        <is>
          <t>19/06/2026</t>
        </is>
      </c>
      <c r="AF141" t="inlineStr">
        <is>
          <t>Ata de reunião de RM p/ BK</t>
        </is>
      </c>
    </row>
    <row r="142">
      <c r="A142">
        <v>140</v>
      </c>
      <c r="B142">
        <v>2</v>
      </c>
      <c r="C142" t="inlineStr">
        <is>
          <t>1.4B</t>
        </is>
      </c>
      <c r="D142" t="inlineStr">
        <is>
          <t>A20</t>
        </is>
      </c>
      <c r="E142" t="inlineStr">
        <is>
          <t>LE</t>
        </is>
      </c>
      <c r="F142" t="inlineStr">
        <is>
          <t>ATERPA</t>
        </is>
      </c>
      <c r="G142" t="inlineStr">
        <is>
          <t>CLP-007</t>
        </is>
      </c>
      <c r="H142" t="inlineStr">
        <is>
          <t>Protocolo</t>
        </is>
      </c>
      <c r="I142">
        <v>1</v>
      </c>
      <c r="J142" t="inlineStr">
        <is>
          <t>Obras Complementares</t>
        </is>
      </c>
      <c r="K142" t="inlineStr">
        <is>
          <t>1.4</t>
        </is>
      </c>
      <c r="L142" t="inlineStr">
        <is>
          <t>Cerca</t>
        </is>
      </c>
      <c r="M142" t="inlineStr">
        <is>
          <t>Cercamento danificado</t>
        </is>
      </c>
      <c r="N142" t="inlineStr">
        <is>
          <t>Cerca danificada</t>
        </is>
      </c>
      <c r="O142" t="inlineStr">
        <is>
          <t>Tipo A</t>
        </is>
      </c>
      <c r="P142" t="inlineStr">
        <is>
          <t>44+540</t>
        </is>
      </c>
      <c r="Q142" t="inlineStr">
        <is>
          <t>44+540</t>
        </is>
      </c>
      <c r="R142" t="inlineStr">
        <is>
          <t>Encerrado</t>
        </is>
      </c>
      <c r="T142" t="inlineStr">
        <is>
          <t>Jeam Moreira</t>
        </is>
      </c>
      <c r="U142" t="inlineStr">
        <is>
          <t>12/02/2026</t>
        </is>
      </c>
      <c r="V142" t="inlineStr">
        <is>
          <t>19/02/2026</t>
        </is>
      </c>
      <c r="W142">
        <v>111</v>
      </c>
      <c r="Y142" t="inlineStr">
        <is>
          <t>12/03/2026</t>
        </is>
      </c>
      <c r="Z142" t="inlineStr">
        <is>
          <t>Concluído</t>
        </is>
      </c>
      <c r="AA142" t="inlineStr">
        <is>
          <t>Fechada -30 dias</t>
        </is>
      </c>
    </row>
    <row r="143">
      <c r="A143">
        <v>141</v>
      </c>
      <c r="B143">
        <v>2</v>
      </c>
      <c r="C143" t="inlineStr">
        <is>
          <t>1.4B</t>
        </is>
      </c>
      <c r="D143" t="inlineStr">
        <is>
          <t>A10</t>
        </is>
      </c>
      <c r="F143" t="inlineStr">
        <is>
          <t>ATERPA</t>
        </is>
      </c>
      <c r="G143" t="inlineStr">
        <is>
          <t>CLP-007</t>
        </is>
      </c>
      <c r="H143" t="inlineStr">
        <is>
          <t>Protocolo</t>
        </is>
      </c>
      <c r="I143">
        <v>1</v>
      </c>
      <c r="J143" t="inlineStr">
        <is>
          <t>Obras Complementares</t>
        </is>
      </c>
      <c r="K143" t="inlineStr">
        <is>
          <t>1.6</t>
        </is>
      </c>
      <c r="L143" t="inlineStr">
        <is>
          <t>Cerca</t>
        </is>
      </c>
      <c r="M143" t="inlineStr">
        <is>
          <t>Documental</t>
        </is>
      </c>
      <c r="N143" t="inlineStr">
        <is>
          <t>Não apresentado o As Built</t>
        </is>
      </c>
      <c r="O143" t="inlineStr">
        <is>
          <t>Tipo B</t>
        </is>
      </c>
      <c r="P143" t="inlineStr">
        <is>
          <t>38+100</t>
        </is>
      </c>
      <c r="Q143" t="inlineStr">
        <is>
          <t>45+400</t>
        </is>
      </c>
      <c r="R143" t="inlineStr">
        <is>
          <t>Aberta</t>
        </is>
      </c>
      <c r="T143" t="inlineStr">
        <is>
          <t>Jeam Moreira</t>
        </is>
      </c>
      <c r="U143" t="inlineStr">
        <is>
          <t>12/02/2026</t>
        </is>
      </c>
      <c r="V143" t="inlineStr">
        <is>
          <t>27/02/2026</t>
        </is>
      </c>
      <c r="W143">
        <v>103</v>
      </c>
      <c r="AA143" t="inlineStr">
        <is>
          <t>Aberta 90-120 dias</t>
        </is>
      </c>
      <c r="AB143" t="inlineStr">
        <is>
          <t>ATERPA</t>
        </is>
      </c>
    </row>
    <row r="144">
      <c r="A144">
        <v>142</v>
      </c>
      <c r="B144">
        <v>2</v>
      </c>
      <c r="C144" t="inlineStr">
        <is>
          <t>1.4B</t>
        </is>
      </c>
      <c r="D144" t="inlineStr">
        <is>
          <t>C16</t>
        </is>
      </c>
      <c r="F144" t="inlineStr">
        <is>
          <t>ATERPA</t>
        </is>
      </c>
      <c r="G144" t="inlineStr">
        <is>
          <t>CLP-007</t>
        </is>
      </c>
      <c r="H144" t="inlineStr">
        <is>
          <t>Fiscalização</t>
        </is>
      </c>
      <c r="I144">
        <v>1</v>
      </c>
      <c r="J144" t="inlineStr">
        <is>
          <t>Obras Complementares</t>
        </is>
      </c>
      <c r="K144" t="inlineStr">
        <is>
          <t>1.8</t>
        </is>
      </c>
      <c r="L144" t="inlineStr">
        <is>
          <t>Cerca</t>
        </is>
      </c>
      <c r="M144" t="inlineStr">
        <is>
          <t>Dispositivo não executado</t>
        </is>
      </c>
      <c r="N144" t="inlineStr">
        <is>
          <t>DESVIO CERCAMENTO - KM 42+900-   CERCAMENTO NÃO EXECUTADO EM PARTE DA FAIXA AQD.</t>
        </is>
      </c>
      <c r="O144" t="inlineStr">
        <is>
          <t>Tipo A</t>
        </is>
      </c>
      <c r="P144" t="inlineStr">
        <is>
          <t>42+900</t>
        </is>
      </c>
      <c r="Q144" t="inlineStr">
        <is>
          <t>42+900</t>
        </is>
      </c>
      <c r="R144" t="inlineStr">
        <is>
          <t>Aberta</t>
        </is>
      </c>
      <c r="T144" t="inlineStr">
        <is>
          <t>Jeam Moreira</t>
        </is>
      </c>
      <c r="U144" t="inlineStr">
        <is>
          <t>12/02/2026</t>
        </is>
      </c>
      <c r="V144" t="inlineStr">
        <is>
          <t>19/02/2026</t>
        </is>
      </c>
      <c r="W144">
        <v>111</v>
      </c>
      <c r="AA144" t="inlineStr">
        <is>
          <t>Aberta 90-120 dias</t>
        </is>
      </c>
      <c r="AB144" t="inlineStr">
        <is>
          <t>GSA</t>
        </is>
      </c>
    </row>
    <row r="145">
      <c r="A145">
        <v>143</v>
      </c>
      <c r="B145">
        <v>2</v>
      </c>
      <c r="C145" t="inlineStr">
        <is>
          <t>1.4B</t>
        </is>
      </c>
      <c r="D145" t="inlineStr">
        <is>
          <t>C16</t>
        </is>
      </c>
      <c r="F145" t="inlineStr">
        <is>
          <t>ATERPA</t>
        </is>
      </c>
      <c r="G145" t="inlineStr">
        <is>
          <t>CLP-007</t>
        </is>
      </c>
      <c r="H145" t="inlineStr">
        <is>
          <t>Protocolo</t>
        </is>
      </c>
      <c r="I145">
        <v>1</v>
      </c>
      <c r="J145" t="inlineStr">
        <is>
          <t>Obras Complementares</t>
        </is>
      </c>
      <c r="K145" t="inlineStr">
        <is>
          <t>1.8</t>
        </is>
      </c>
      <c r="L145" t="inlineStr">
        <is>
          <t>Cerca</t>
        </is>
      </c>
      <c r="M145" t="inlineStr">
        <is>
          <t>Cercamento pendente</t>
        </is>
      </c>
      <c r="N145" t="inlineStr">
        <is>
          <t>DESVIO CERCAMENTO - KM 42+570   - TRECHO LE E LD COM ABERTURA NO CERCAMENTO.</t>
        </is>
      </c>
      <c r="O145" t="inlineStr">
        <is>
          <t>Tipo A</t>
        </is>
      </c>
      <c r="P145" t="inlineStr">
        <is>
          <t>42+570</t>
        </is>
      </c>
      <c r="Q145" t="inlineStr">
        <is>
          <t>42+570</t>
        </is>
      </c>
      <c r="R145" t="inlineStr">
        <is>
          <t>Aberta</t>
        </is>
      </c>
      <c r="T145" t="inlineStr">
        <is>
          <t>Jeam Moreira</t>
        </is>
      </c>
      <c r="U145" t="inlineStr">
        <is>
          <t>12/02/2026</t>
        </is>
      </c>
      <c r="V145" t="inlineStr">
        <is>
          <t>19/02/2026</t>
        </is>
      </c>
      <c r="W145">
        <v>111</v>
      </c>
      <c r="AA145" t="inlineStr">
        <is>
          <t>Aberta 90-120 dias</t>
        </is>
      </c>
      <c r="AB145" t="inlineStr">
        <is>
          <t>GSA</t>
        </is>
      </c>
    </row>
    <row r="146">
      <c r="A146">
        <v>144</v>
      </c>
      <c r="B146">
        <v>2</v>
      </c>
      <c r="C146" t="inlineStr">
        <is>
          <t>1.4B</t>
        </is>
      </c>
      <c r="D146" t="inlineStr">
        <is>
          <t>C16</t>
        </is>
      </c>
      <c r="F146" t="inlineStr">
        <is>
          <t>ATERPA</t>
        </is>
      </c>
      <c r="G146" t="inlineStr">
        <is>
          <t>CLP-007</t>
        </is>
      </c>
      <c r="H146" t="inlineStr">
        <is>
          <t>Fiscalização</t>
        </is>
      </c>
      <c r="I146">
        <v>1</v>
      </c>
      <c r="J146" t="inlineStr">
        <is>
          <t>Obras Complementares</t>
        </is>
      </c>
      <c r="K146" t="inlineStr">
        <is>
          <t>1.8</t>
        </is>
      </c>
      <c r="L146" t="inlineStr">
        <is>
          <t>Cerca</t>
        </is>
      </c>
      <c r="M146" t="inlineStr">
        <is>
          <t>Dispositivo não executado</t>
        </is>
      </c>
      <c r="N146" t="inlineStr">
        <is>
          <t>DESVIO CERCAMENTO - KM 42+400-   CERCAMENTO NÃO EXECUTADO EM PARTE DA FAIXA AQD.</t>
        </is>
      </c>
      <c r="O146" t="inlineStr">
        <is>
          <t>Tipo A</t>
        </is>
      </c>
      <c r="P146" t="inlineStr">
        <is>
          <t>42+400</t>
        </is>
      </c>
      <c r="Q146" t="inlineStr">
        <is>
          <t>42+400</t>
        </is>
      </c>
      <c r="R146" t="inlineStr">
        <is>
          <t>Aberta</t>
        </is>
      </c>
      <c r="T146" t="inlineStr">
        <is>
          <t>Jeam Moreira</t>
        </is>
      </c>
      <c r="U146" t="inlineStr">
        <is>
          <t>12/02/2026</t>
        </is>
      </c>
      <c r="V146" t="inlineStr">
        <is>
          <t>19/02/2026</t>
        </is>
      </c>
      <c r="W146">
        <v>111</v>
      </c>
      <c r="AA146" t="inlineStr">
        <is>
          <t>Aberta 90-120 dias</t>
        </is>
      </c>
      <c r="AB146" t="inlineStr">
        <is>
          <t>GSA</t>
        </is>
      </c>
    </row>
    <row r="147">
      <c r="A147">
        <v>145</v>
      </c>
      <c r="B147">
        <v>2</v>
      </c>
      <c r="C147" t="inlineStr">
        <is>
          <t>1.4B</t>
        </is>
      </c>
      <c r="D147" t="inlineStr">
        <is>
          <t>A17</t>
        </is>
      </c>
      <c r="F147" t="inlineStr">
        <is>
          <t>ATERPA</t>
        </is>
      </c>
      <c r="G147" t="inlineStr">
        <is>
          <t>CLP-007</t>
        </is>
      </c>
      <c r="H147" t="inlineStr">
        <is>
          <t>Protocolo</t>
        </is>
      </c>
      <c r="I147">
        <v>1</v>
      </c>
      <c r="J147" t="inlineStr">
        <is>
          <t>Obras Complementares</t>
        </is>
      </c>
      <c r="K147" t="inlineStr">
        <is>
          <t>1.8</t>
        </is>
      </c>
      <c r="L147" t="inlineStr">
        <is>
          <t>Cerca</t>
        </is>
      </c>
      <c r="M147" t="inlineStr">
        <is>
          <t>Dispositivo não executado</t>
        </is>
      </c>
      <c r="N147" t="inlineStr">
        <is>
          <t>DESVIO CERCAMENTO - KM 42+200 -  CERCAMENTO NÃO EXECUTADO EM PARTE DA FAIXA AQD.</t>
        </is>
      </c>
      <c r="O147" t="inlineStr">
        <is>
          <t>Tipo A</t>
        </is>
      </c>
      <c r="P147" t="inlineStr">
        <is>
          <t>42+200</t>
        </is>
      </c>
      <c r="Q147" t="inlineStr">
        <is>
          <t>42+200</t>
        </is>
      </c>
      <c r="R147" t="inlineStr">
        <is>
          <t>Aberta</t>
        </is>
      </c>
      <c r="T147" t="inlineStr">
        <is>
          <t>Jeam Moreira</t>
        </is>
      </c>
      <c r="U147" t="inlineStr">
        <is>
          <t>12/02/2026</t>
        </is>
      </c>
      <c r="V147" t="inlineStr">
        <is>
          <t>19/02/2026</t>
        </is>
      </c>
      <c r="W147">
        <v>111</v>
      </c>
      <c r="AA147" t="inlineStr">
        <is>
          <t>Aberta 90-120 dias</t>
        </is>
      </c>
      <c r="AB147" t="inlineStr">
        <is>
          <t>GSA</t>
        </is>
      </c>
    </row>
    <row r="148">
      <c r="A148">
        <v>146</v>
      </c>
      <c r="B148">
        <v>2</v>
      </c>
      <c r="C148" t="inlineStr">
        <is>
          <t>1.4B</t>
        </is>
      </c>
      <c r="D148" t="inlineStr">
        <is>
          <t>A13</t>
        </is>
      </c>
      <c r="E148" t="inlineStr">
        <is>
          <t>LE/LD</t>
        </is>
      </c>
      <c r="F148" t="inlineStr">
        <is>
          <t>ATERPA</t>
        </is>
      </c>
      <c r="G148" t="inlineStr">
        <is>
          <t>CLP-007</t>
        </is>
      </c>
      <c r="H148" t="inlineStr">
        <is>
          <t>Protocolo</t>
        </is>
      </c>
      <c r="I148">
        <v>1</v>
      </c>
      <c r="J148" t="inlineStr">
        <is>
          <t>Obras Complementares</t>
        </is>
      </c>
      <c r="K148" t="inlineStr">
        <is>
          <t>1.24</t>
        </is>
      </c>
      <c r="L148" t="inlineStr">
        <is>
          <t>Defensas Metálicas</t>
        </is>
      </c>
      <c r="M148" t="inlineStr">
        <is>
          <t>Aterramento</t>
        </is>
      </c>
      <c r="N148" t="inlineStr">
        <is>
          <t xml:space="preserve">Defensas metálicas da PN com extremidades não ateradas.
NBR 6971/2023
Aterrar as extremidades da defensas metalicas guard rail.</t>
        </is>
      </c>
      <c r="O148" t="inlineStr">
        <is>
          <t>Tipo A</t>
        </is>
      </c>
      <c r="P148" t="inlineStr">
        <is>
          <t>40+140</t>
        </is>
      </c>
      <c r="Q148" t="inlineStr">
        <is>
          <t>45+030</t>
        </is>
      </c>
      <c r="R148" t="inlineStr">
        <is>
          <t>Aberta</t>
        </is>
      </c>
      <c r="T148" t="inlineStr">
        <is>
          <t>Jeam Moreira</t>
        </is>
      </c>
      <c r="U148" t="inlineStr">
        <is>
          <t>12/02/2026</t>
        </is>
      </c>
      <c r="V148" t="inlineStr">
        <is>
          <t>19/02/2026</t>
        </is>
      </c>
      <c r="W148">
        <v>111</v>
      </c>
      <c r="AA148" t="inlineStr">
        <is>
          <t>Aberta 90-120 dias</t>
        </is>
      </c>
      <c r="AB148" t="inlineStr">
        <is>
          <t>GSA</t>
        </is>
      </c>
    </row>
    <row r="149">
      <c r="A149">
        <v>147</v>
      </c>
      <c r="B149">
        <v>2</v>
      </c>
      <c r="C149" t="inlineStr">
        <is>
          <t>1.4B</t>
        </is>
      </c>
      <c r="D149" t="inlineStr">
        <is>
          <t>A11</t>
        </is>
      </c>
      <c r="F149" t="inlineStr">
        <is>
          <t>ATERPA</t>
        </is>
      </c>
      <c r="G149" t="inlineStr">
        <is>
          <t>CLP-015</t>
        </is>
      </c>
      <c r="H149" t="inlineStr">
        <is>
          <t>Fiscalização</t>
        </is>
      </c>
      <c r="I149">
        <v>2</v>
      </c>
      <c r="J149" t="inlineStr">
        <is>
          <t>Bueiros</t>
        </is>
      </c>
      <c r="K149" t="inlineStr">
        <is>
          <t>2.11</t>
        </is>
      </c>
      <c r="L149" t="inlineStr">
        <is>
          <t>Bueiro</t>
        </is>
      </c>
      <c r="M149" t="inlineStr">
        <is>
          <t>Acúmulo de água</t>
        </is>
      </c>
      <c r="N149" t="inlineStr">
        <is>
          <t>Jusante da OAC com acúmulo de água.</t>
        </is>
      </c>
      <c r="O149" t="inlineStr">
        <is>
          <t>Tipo A</t>
        </is>
      </c>
      <c r="P149" t="inlineStr">
        <is>
          <t>39+440</t>
        </is>
      </c>
      <c r="Q149" t="inlineStr">
        <is>
          <t>39+440</t>
        </is>
      </c>
      <c r="R149" t="inlineStr">
        <is>
          <t>Aberta</t>
        </is>
      </c>
      <c r="T149" t="inlineStr">
        <is>
          <t>Jeam Moreira</t>
        </is>
      </c>
      <c r="U149" t="inlineStr">
        <is>
          <t>12/02/2026</t>
        </is>
      </c>
      <c r="V149" t="inlineStr">
        <is>
          <t>19/02/2026</t>
        </is>
      </c>
      <c r="W149">
        <v>111</v>
      </c>
      <c r="AA149" t="inlineStr">
        <is>
          <t>Aberta 90-120 dias</t>
        </is>
      </c>
      <c r="AB149" t="inlineStr">
        <is>
          <t>GSA</t>
        </is>
      </c>
    </row>
    <row r="150">
      <c r="A150">
        <v>148</v>
      </c>
      <c r="B150">
        <v>2</v>
      </c>
      <c r="C150" t="inlineStr">
        <is>
          <t>1.4B</t>
        </is>
      </c>
      <c r="D150" t="inlineStr">
        <is>
          <t>A11</t>
        </is>
      </c>
      <c r="E150" t="inlineStr">
        <is>
          <t>LE/LD</t>
        </is>
      </c>
      <c r="F150" t="inlineStr">
        <is>
          <t>ATERPA</t>
        </is>
      </c>
      <c r="G150" t="inlineStr">
        <is>
          <t>CLP-007</t>
        </is>
      </c>
      <c r="H150" t="inlineStr">
        <is>
          <t>Protocolo</t>
        </is>
      </c>
      <c r="I150">
        <v>2</v>
      </c>
      <c r="J150" t="inlineStr">
        <is>
          <t>Bueiros</t>
        </is>
      </c>
      <c r="K150" t="inlineStr">
        <is>
          <t>2.11</t>
        </is>
      </c>
      <c r="L150" t="inlineStr">
        <is>
          <t>(PG)Passagem de Gado</t>
        </is>
      </c>
      <c r="M150" t="inlineStr">
        <is>
          <t>Obstrução do dispositivo</t>
        </is>
      </c>
      <c r="N150" t="inlineStr">
        <is>
          <t>Passagem de gado obstruída</t>
        </is>
      </c>
      <c r="O150" t="inlineStr">
        <is>
          <t>Tipo A</t>
        </is>
      </c>
      <c r="P150" t="inlineStr">
        <is>
          <t>39+125</t>
        </is>
      </c>
      <c r="Q150" t="inlineStr">
        <is>
          <t xml:space="preserve"> 42+300</t>
        </is>
      </c>
      <c r="R150" t="inlineStr">
        <is>
          <t>Aberta</t>
        </is>
      </c>
      <c r="T150" t="inlineStr">
        <is>
          <t>Jeam Moreira</t>
        </is>
      </c>
      <c r="U150" t="inlineStr">
        <is>
          <t>12/02/2026</t>
        </is>
      </c>
      <c r="V150" t="inlineStr">
        <is>
          <t>19/02/2026</t>
        </is>
      </c>
      <c r="W150">
        <v>111</v>
      </c>
      <c r="AA150" t="inlineStr">
        <is>
          <t>Aberta 90-120 dias</t>
        </is>
      </c>
      <c r="AB150" t="inlineStr">
        <is>
          <t>GSA</t>
        </is>
      </c>
    </row>
    <row r="151">
      <c r="A151">
        <v>149</v>
      </c>
      <c r="B151">
        <v>2</v>
      </c>
      <c r="C151" t="inlineStr">
        <is>
          <t>1.4B</t>
        </is>
      </c>
      <c r="D151" t="inlineStr">
        <is>
          <t>A11</t>
        </is>
      </c>
      <c r="E151" t="inlineStr">
        <is>
          <t>LE/LD</t>
        </is>
      </c>
      <c r="F151" t="inlineStr">
        <is>
          <t>ATERPA</t>
        </is>
      </c>
      <c r="G151" t="inlineStr">
        <is>
          <t>CLP-007</t>
        </is>
      </c>
      <c r="H151" t="inlineStr">
        <is>
          <t>Manifestação</t>
        </is>
      </c>
      <c r="I151">
        <v>2</v>
      </c>
      <c r="J151" t="inlineStr">
        <is>
          <t>Bueiros</t>
        </is>
      </c>
      <c r="K151" t="inlineStr">
        <is>
          <t>2.11</t>
        </is>
      </c>
      <c r="L151" t="inlineStr">
        <is>
          <t>(PIV)Passagem Inferior Veicular</t>
        </is>
      </c>
      <c r="M151" t="inlineStr">
        <is>
          <t>Obstrução do dispositivo</t>
        </is>
      </c>
      <c r="N151" t="inlineStr">
        <is>
          <t>Obstrução da PIV, falta de tratamento e conformação do acesso</t>
        </is>
      </c>
      <c r="O151" t="inlineStr">
        <is>
          <t>Tipo A</t>
        </is>
      </c>
      <c r="P151" t="inlineStr">
        <is>
          <t xml:space="preserve"> 39+220</t>
        </is>
      </c>
      <c r="Q151" t="inlineStr">
        <is>
          <t xml:space="preserve"> 39+220</t>
        </is>
      </c>
      <c r="R151" t="inlineStr">
        <is>
          <t>Aberta</t>
        </is>
      </c>
      <c r="T151" t="inlineStr">
        <is>
          <t>Jeam Moreira</t>
        </is>
      </c>
      <c r="U151" t="inlineStr">
        <is>
          <t>12/02/2026</t>
        </is>
      </c>
      <c r="V151" t="inlineStr">
        <is>
          <t>19/02/2026</t>
        </is>
      </c>
      <c r="W151">
        <v>111</v>
      </c>
      <c r="AA151" t="inlineStr">
        <is>
          <t>Aberta 90-120 dias</t>
        </is>
      </c>
      <c r="AB151" t="inlineStr">
        <is>
          <t>GSA</t>
        </is>
      </c>
    </row>
    <row r="152">
      <c r="A152">
        <v>150</v>
      </c>
      <c r="B152">
        <v>2</v>
      </c>
      <c r="C152" t="inlineStr">
        <is>
          <t>1.4B</t>
        </is>
      </c>
      <c r="D152" t="inlineStr">
        <is>
          <t>A13</t>
        </is>
      </c>
      <c r="E152" t="inlineStr">
        <is>
          <t>LE/LD</t>
        </is>
      </c>
      <c r="F152" t="inlineStr">
        <is>
          <t>ATERPA</t>
        </is>
      </c>
      <c r="G152" t="inlineStr">
        <is>
          <t>CLP-007</t>
        </is>
      </c>
      <c r="H152" t="inlineStr">
        <is>
          <t>Fiscalização</t>
        </is>
      </c>
      <c r="I152">
        <v>2</v>
      </c>
      <c r="J152" t="inlineStr">
        <is>
          <t>Bueiros</t>
        </is>
      </c>
      <c r="K152" t="inlineStr">
        <is>
          <t>2.11</t>
        </is>
      </c>
      <c r="L152" t="inlineStr">
        <is>
          <t>(PG)Passagem de Gado</t>
        </is>
      </c>
      <c r="M152" t="inlineStr">
        <is>
          <t>Erosões</t>
        </is>
      </c>
      <c r="N152" t="inlineStr">
        <is>
          <t xml:space="preserve">Passagem de gado com processo erosivo e obstruída. </t>
        </is>
      </c>
      <c r="O152" t="inlineStr">
        <is>
          <t>Tipo A</t>
        </is>
      </c>
      <c r="P152" t="inlineStr">
        <is>
          <t>40+137</t>
        </is>
      </c>
      <c r="Q152" t="inlineStr">
        <is>
          <t>44+540</t>
        </is>
      </c>
      <c r="R152" t="inlineStr">
        <is>
          <t>Aberta</t>
        </is>
      </c>
      <c r="T152" t="inlineStr">
        <is>
          <t>Jeam Moreira</t>
        </is>
      </c>
      <c r="U152" t="inlineStr">
        <is>
          <t>12/02/2026</t>
        </is>
      </c>
      <c r="V152" t="inlineStr">
        <is>
          <t>19/02/2026</t>
        </is>
      </c>
      <c r="W152">
        <v>111</v>
      </c>
      <c r="AA152" t="inlineStr">
        <is>
          <t>Aberta 90-120 dias</t>
        </is>
      </c>
      <c r="AB152" t="inlineStr">
        <is>
          <t>GSA</t>
        </is>
      </c>
    </row>
    <row r="153">
      <c r="A153">
        <v>151</v>
      </c>
      <c r="B153">
        <v>2</v>
      </c>
      <c r="C153" t="inlineStr">
        <is>
          <t>1.4B</t>
        </is>
      </c>
      <c r="D153" t="inlineStr">
        <is>
          <t>A15</t>
        </is>
      </c>
      <c r="E153" t="inlineStr">
        <is>
          <t>LE</t>
        </is>
      </c>
      <c r="F153" t="inlineStr">
        <is>
          <t>ATERPA</t>
        </is>
      </c>
      <c r="G153" t="inlineStr">
        <is>
          <t>CLP-007</t>
        </is>
      </c>
      <c r="H153" t="inlineStr">
        <is>
          <t>Protocolo</t>
        </is>
      </c>
      <c r="I153">
        <v>2</v>
      </c>
      <c r="J153" t="inlineStr">
        <is>
          <t>Bueiros</t>
        </is>
      </c>
      <c r="K153" t="inlineStr">
        <is>
          <t>2.11</t>
        </is>
      </c>
      <c r="L153" t="inlineStr">
        <is>
          <t>Bueiro</t>
        </is>
      </c>
      <c r="M153" t="inlineStr">
        <is>
          <t>Obstrução do dispositivo</t>
        </is>
      </c>
      <c r="N153" t="inlineStr">
        <is>
          <t>Obstrução e erosão lateral</t>
        </is>
      </c>
      <c r="O153" t="inlineStr">
        <is>
          <t>Tipo A</t>
        </is>
      </c>
      <c r="P153" t="inlineStr">
        <is>
          <t>40+600</t>
        </is>
      </c>
      <c r="Q153" t="inlineStr">
        <is>
          <t>40+600</t>
        </is>
      </c>
      <c r="R153" t="inlineStr">
        <is>
          <t>Aberta</t>
        </is>
      </c>
      <c r="T153" t="inlineStr">
        <is>
          <t>Jeam Moreira</t>
        </is>
      </c>
      <c r="U153" t="inlineStr">
        <is>
          <t>12/02/2026</t>
        </is>
      </c>
      <c r="V153" t="inlineStr">
        <is>
          <t>19/02/2026</t>
        </is>
      </c>
      <c r="W153">
        <v>111</v>
      </c>
      <c r="AA153" t="inlineStr">
        <is>
          <t>Aberta 90-120 dias</t>
        </is>
      </c>
      <c r="AB153" t="inlineStr">
        <is>
          <t>GSA</t>
        </is>
      </c>
    </row>
    <row r="154">
      <c r="A154">
        <v>152</v>
      </c>
      <c r="B154">
        <v>2</v>
      </c>
      <c r="C154" t="inlineStr">
        <is>
          <t>1.4B</t>
        </is>
      </c>
      <c r="D154" t="inlineStr">
        <is>
          <t>A20</t>
        </is>
      </c>
      <c r="F154" t="inlineStr">
        <is>
          <t>ATERPA</t>
        </is>
      </c>
      <c r="G154" t="inlineStr">
        <is>
          <t>CLP-007</t>
        </is>
      </c>
      <c r="H154" t="inlineStr">
        <is>
          <t>Protocolo</t>
        </is>
      </c>
      <c r="I154">
        <v>2</v>
      </c>
      <c r="J154" t="inlineStr">
        <is>
          <t>Bueiros</t>
        </is>
      </c>
      <c r="K154" t="inlineStr">
        <is>
          <t>2.11</t>
        </is>
      </c>
      <c r="L154" t="inlineStr">
        <is>
          <t>(PG)Passagem de Gado</t>
        </is>
      </c>
      <c r="M154" t="inlineStr">
        <is>
          <t>Obstrução do dispositivo</t>
        </is>
      </c>
      <c r="N154" t="inlineStr">
        <is>
          <t>Obstrução de área da passagem de gado com material de supressão vegetal.</t>
        </is>
      </c>
      <c r="O154" t="inlineStr">
        <is>
          <t>Tipo A</t>
        </is>
      </c>
      <c r="P154" t="inlineStr">
        <is>
          <t>44+500</t>
        </is>
      </c>
      <c r="Q154" t="inlineStr">
        <is>
          <t>44+500</t>
        </is>
      </c>
      <c r="R154" t="inlineStr">
        <is>
          <t>Aberta</t>
        </is>
      </c>
      <c r="T154" t="inlineStr">
        <is>
          <t>Jeam Moreira</t>
        </is>
      </c>
      <c r="U154" t="inlineStr">
        <is>
          <t>12/02/2026</t>
        </is>
      </c>
      <c r="V154" t="inlineStr">
        <is>
          <t>19/02/2026</t>
        </is>
      </c>
      <c r="W154">
        <v>111</v>
      </c>
      <c r="AA154" t="inlineStr">
        <is>
          <t>Aberta 90-120 dias</t>
        </is>
      </c>
      <c r="AB154" t="inlineStr">
        <is>
          <t>GSA</t>
        </is>
      </c>
    </row>
    <row r="155">
      <c r="A155">
        <v>153</v>
      </c>
      <c r="B155">
        <v>2</v>
      </c>
      <c r="C155" t="inlineStr">
        <is>
          <t>1.4B</t>
        </is>
      </c>
      <c r="D155" t="inlineStr">
        <is>
          <t>Geral</t>
        </is>
      </c>
      <c r="F155" t="inlineStr">
        <is>
          <t>ATERPA</t>
        </is>
      </c>
      <c r="G155" t="inlineStr">
        <is>
          <t>CLP-007</t>
        </is>
      </c>
      <c r="H155" t="inlineStr">
        <is>
          <t>Protocolo</t>
        </is>
      </c>
      <c r="I155">
        <v>2</v>
      </c>
      <c r="J155" t="inlineStr">
        <is>
          <t>Bueiros</t>
        </is>
      </c>
      <c r="K155" t="inlineStr">
        <is>
          <t>2.14</t>
        </is>
      </c>
      <c r="L155" t="inlineStr">
        <is>
          <t>Aterro</t>
        </is>
      </c>
      <c r="M155" t="inlineStr">
        <is>
          <t>Documental</t>
        </is>
      </c>
      <c r="N155" t="inlineStr">
        <is>
          <t xml:space="preserve">Registro 0102-C a 3263-C estão pendentes as informações das dimensões para cálculo da área da seção transversal dos CPs.
Registro 0102-C a 3800-CI estão pendentes as informações quanto ao FCK do projeto.
Não apresentado As Built do segmento</t>
        </is>
      </c>
      <c r="O155" t="inlineStr">
        <is>
          <t>Tipo B</t>
        </is>
      </c>
      <c r="P155" t="inlineStr">
        <is>
          <t>38+100</t>
        </is>
      </c>
      <c r="Q155" t="inlineStr">
        <is>
          <t>46+200</t>
        </is>
      </c>
      <c r="R155" t="inlineStr">
        <is>
          <t>Aberta</t>
        </is>
      </c>
      <c r="T155" t="inlineStr">
        <is>
          <t>Jeam Moreira</t>
        </is>
      </c>
      <c r="U155" t="inlineStr">
        <is>
          <t>12/02/2026</t>
        </is>
      </c>
      <c r="V155" t="inlineStr">
        <is>
          <t>27/02/2026</t>
        </is>
      </c>
      <c r="W155">
        <v>103</v>
      </c>
      <c r="AA155" t="inlineStr">
        <is>
          <t>Aberta 90-120 dias</t>
        </is>
      </c>
      <c r="AB155" t="inlineStr">
        <is>
          <t>ATERPA</t>
        </is>
      </c>
    </row>
    <row r="156">
      <c r="A156">
        <v>154</v>
      </c>
      <c r="B156">
        <v>2</v>
      </c>
      <c r="C156" t="inlineStr">
        <is>
          <t>1.4B</t>
        </is>
      </c>
      <c r="D156" t="inlineStr">
        <is>
          <t>Geral</t>
        </is>
      </c>
      <c r="F156" t="inlineStr">
        <is>
          <t>ATERPA</t>
        </is>
      </c>
      <c r="G156" t="inlineStr">
        <is>
          <t>CLP-007</t>
        </is>
      </c>
      <c r="H156" t="inlineStr">
        <is>
          <t>Protocolo</t>
        </is>
      </c>
      <c r="I156">
        <v>2</v>
      </c>
      <c r="J156" t="inlineStr">
        <is>
          <t>Bueiros</t>
        </is>
      </c>
      <c r="K156" t="inlineStr">
        <is>
          <t>2.18</t>
        </is>
      </c>
      <c r="L156" t="inlineStr">
        <is>
          <t>RNC</t>
        </is>
      </c>
      <c r="M156" t="inlineStr">
        <is>
          <t>Documental</t>
        </is>
      </c>
      <c r="N156" t="inlineStr">
        <is>
          <t>RNC-L0354-002802 - ABERTA</t>
        </is>
      </c>
      <c r="O156" t="inlineStr">
        <is>
          <t>Tipo B</t>
        </is>
      </c>
      <c r="P156" t="inlineStr">
        <is>
          <t>38+100</t>
        </is>
      </c>
      <c r="Q156" t="inlineStr">
        <is>
          <t>46+200</t>
        </is>
      </c>
      <c r="R156" t="inlineStr">
        <is>
          <t>Encerrado</t>
        </is>
      </c>
      <c r="T156" t="inlineStr">
        <is>
          <t>Jeam Moreira</t>
        </is>
      </c>
      <c r="U156" t="inlineStr">
        <is>
          <t>12/02/2026</t>
        </is>
      </c>
      <c r="V156" t="inlineStr">
        <is>
          <t>27/02/2026</t>
        </is>
      </c>
      <c r="W156">
        <v>103</v>
      </c>
      <c r="Y156" t="inlineStr">
        <is>
          <t>31/03/2026</t>
        </is>
      </c>
      <c r="Z156" t="inlineStr">
        <is>
          <t>Concluído</t>
        </is>
      </c>
      <c r="AA156" t="inlineStr">
        <is>
          <t>Fechada 30-60 dias</t>
        </is>
      </c>
    </row>
    <row r="157">
      <c r="A157">
        <v>155</v>
      </c>
      <c r="B157">
        <v>2</v>
      </c>
      <c r="C157" t="inlineStr">
        <is>
          <t>1.4B</t>
        </is>
      </c>
      <c r="D157" t="inlineStr">
        <is>
          <t>Geral</t>
        </is>
      </c>
      <c r="F157" t="inlineStr">
        <is>
          <t>ATERPA</t>
        </is>
      </c>
      <c r="G157" t="inlineStr">
        <is>
          <t>CLP-007</t>
        </is>
      </c>
      <c r="H157" t="inlineStr">
        <is>
          <t>Protocolo</t>
        </is>
      </c>
      <c r="I157">
        <v>4</v>
      </c>
      <c r="J157" t="inlineStr">
        <is>
          <t>Terraplenagem</t>
        </is>
      </c>
      <c r="K157" t="inlineStr">
        <is>
          <t>4.2</t>
        </is>
      </c>
      <c r="L157" t="inlineStr">
        <is>
          <t>Sublastro</t>
        </is>
      </c>
      <c r="M157" t="inlineStr">
        <is>
          <t>Plano cotado não aprovado</t>
        </is>
      </c>
      <c r="N157" t="inlineStr">
        <is>
          <t>Plano cotado sem evidências de validação pela engenharia.</t>
        </is>
      </c>
      <c r="O157" t="inlineStr">
        <is>
          <t>Tipo B</t>
        </is>
      </c>
      <c r="P157" t="inlineStr">
        <is>
          <t>38+100</t>
        </is>
      </c>
      <c r="Q157" t="inlineStr">
        <is>
          <t>46+200</t>
        </is>
      </c>
      <c r="R157" t="inlineStr">
        <is>
          <t>Aberta</t>
        </is>
      </c>
      <c r="T157" t="inlineStr">
        <is>
          <t>Jeam Moreira</t>
        </is>
      </c>
      <c r="U157" t="inlineStr">
        <is>
          <t>12/02/2026</t>
        </is>
      </c>
      <c r="V157" t="inlineStr">
        <is>
          <t>06/03/2026</t>
        </is>
      </c>
      <c r="W157">
        <v>96</v>
      </c>
      <c r="AA157" t="inlineStr">
        <is>
          <t>Aberta 90-120 dias</t>
        </is>
      </c>
      <c r="AB157" t="inlineStr">
        <is>
          <t>ATERPA</t>
        </is>
      </c>
    </row>
    <row r="158">
      <c r="A158">
        <v>156</v>
      </c>
      <c r="B158">
        <v>2</v>
      </c>
      <c r="C158" t="inlineStr">
        <is>
          <t>1.4B</t>
        </is>
      </c>
      <c r="D158" t="inlineStr">
        <is>
          <t>C15</t>
        </is>
      </c>
      <c r="F158" t="inlineStr">
        <is>
          <t>ATERPA</t>
        </is>
      </c>
      <c r="G158" t="inlineStr">
        <is>
          <t>CLP-007</t>
        </is>
      </c>
      <c r="H158" t="inlineStr">
        <is>
          <t>Fiscalização</t>
        </is>
      </c>
      <c r="I158">
        <v>4</v>
      </c>
      <c r="J158" t="inlineStr">
        <is>
          <t>Terraplenagem</t>
        </is>
      </c>
      <c r="K158" t="inlineStr">
        <is>
          <t>4.9</t>
        </is>
      </c>
      <c r="L158" t="inlineStr">
        <is>
          <t>Corte</t>
        </is>
      </c>
      <c r="M158" t="inlineStr">
        <is>
          <t>Regularização e recuperação de área</t>
        </is>
      </c>
      <c r="N158" t="inlineStr">
        <is>
          <t>Conformação de processos erosivos e repasse de hidrossemeadura em ADME.</t>
        </is>
      </c>
      <c r="O158" t="inlineStr">
        <is>
          <t>Tipo A</t>
        </is>
      </c>
      <c r="P158" t="inlineStr">
        <is>
          <t>41+500</t>
        </is>
      </c>
      <c r="Q158" t="inlineStr">
        <is>
          <t>42+00</t>
        </is>
      </c>
      <c r="R158" t="inlineStr">
        <is>
          <t>Aberta</t>
        </is>
      </c>
      <c r="T158" t="inlineStr">
        <is>
          <t>Jeam Moreira</t>
        </is>
      </c>
      <c r="U158" t="inlineStr">
        <is>
          <t>12/02/2026</t>
        </is>
      </c>
      <c r="V158" t="inlineStr">
        <is>
          <t>19/02/2026</t>
        </is>
      </c>
      <c r="W158">
        <v>111</v>
      </c>
      <c r="AA158" t="inlineStr">
        <is>
          <t>Aberta 90-120 dias</t>
        </is>
      </c>
      <c r="AB158" t="inlineStr">
        <is>
          <t>GSA</t>
        </is>
      </c>
    </row>
    <row r="159">
      <c r="A159">
        <v>157</v>
      </c>
      <c r="B159">
        <v>2</v>
      </c>
      <c r="C159" t="inlineStr">
        <is>
          <t>1.4B</t>
        </is>
      </c>
      <c r="D159" t="inlineStr">
        <is>
          <t>C12</t>
        </is>
      </c>
      <c r="F159" t="inlineStr">
        <is>
          <t>ATERPA</t>
        </is>
      </c>
      <c r="G159" t="inlineStr">
        <is>
          <t>CLP-007</t>
        </is>
      </c>
      <c r="H159" t="inlineStr">
        <is>
          <t>Protocolo</t>
        </is>
      </c>
      <c r="I159">
        <v>4</v>
      </c>
      <c r="J159" t="inlineStr">
        <is>
          <t>Terraplenagem</t>
        </is>
      </c>
      <c r="K159" t="inlineStr">
        <is>
          <t>4.11</t>
        </is>
      </c>
      <c r="L159" t="inlineStr">
        <is>
          <t>Corte</t>
        </is>
      </c>
      <c r="M159" t="inlineStr">
        <is>
          <t>Revegetação/ Hidrossemeadura</t>
        </is>
      </c>
      <c r="N159" t="inlineStr">
        <is>
          <t>Pedente aplicação e germinção de hidrosseadura</t>
        </is>
      </c>
      <c r="O159" t="inlineStr">
        <is>
          <t>Tipo A</t>
        </is>
      </c>
      <c r="P159" t="inlineStr">
        <is>
          <t xml:space="preserve"> 39+640</t>
        </is>
      </c>
      <c r="Q159" t="inlineStr">
        <is>
          <t>45+240</t>
        </is>
      </c>
      <c r="R159" t="inlineStr">
        <is>
          <t>Aberta</t>
        </is>
      </c>
      <c r="T159" t="inlineStr">
        <is>
          <t>Jeam Moreira</t>
        </is>
      </c>
      <c r="U159" t="inlineStr">
        <is>
          <t>12/02/2026</t>
        </is>
      </c>
      <c r="V159" t="inlineStr">
        <is>
          <t>19/02/2026</t>
        </is>
      </c>
      <c r="W159">
        <v>111</v>
      </c>
      <c r="AA159" t="inlineStr">
        <is>
          <t>Aberta 90-120 dias</t>
        </is>
      </c>
      <c r="AB159" t="inlineStr">
        <is>
          <t>GSA</t>
        </is>
      </c>
    </row>
    <row r="160">
      <c r="A160">
        <v>158</v>
      </c>
      <c r="B160">
        <v>2</v>
      </c>
      <c r="C160" t="inlineStr">
        <is>
          <t>1.4B</t>
        </is>
      </c>
      <c r="D160" t="inlineStr">
        <is>
          <t>Geral</t>
        </is>
      </c>
      <c r="F160" t="inlineStr">
        <is>
          <t>ATERPA</t>
        </is>
      </c>
      <c r="G160" t="inlineStr">
        <is>
          <t>CLP-007</t>
        </is>
      </c>
      <c r="H160" t="inlineStr">
        <is>
          <t>Protocolo</t>
        </is>
      </c>
      <c r="I160">
        <v>4</v>
      </c>
      <c r="J160" t="inlineStr">
        <is>
          <t>Terraplenagem</t>
        </is>
      </c>
      <c r="K160" t="inlineStr">
        <is>
          <t>4.12</t>
        </is>
      </c>
      <c r="L160" t="inlineStr">
        <is>
          <t>Aterro</t>
        </is>
      </c>
      <c r="M160" t="inlineStr">
        <is>
          <t>Documental</t>
        </is>
      </c>
      <c r="N160" t="inlineStr">
        <is>
          <t xml:space="preserve">Registro 1112-S – KM 39+150 ao KM 39+154 (4ª camada): camada reprovada, sem evidência de retrabalho.
Registros 7969-S a 1140-S – KM 38+720 ao KM 38+780 (1ª camada final): desvio de umidade totalmente fora dos limites especificados.
Registro 1136-S – KM 40+138 ao KM 40+620 (1ª camada final): camada reprovada, sem evidência de retrabalho.
Registro 1045-S – KM 40+660 ao KM 40+760 (camada única): camada reprovada, sem evidência de retrabalho.
Registros 1535-S a 10327-S – KM 41+460 ao KM 42+000 (2ª camada final): reprovação por desvio de umidade.
Registro 1445-S – KM 41+460 ao KM 42+000 (2ª camada final): número de furos inferior ao especificado.</t>
        </is>
      </c>
      <c r="O160" t="inlineStr">
        <is>
          <t>Tipo B</t>
        </is>
      </c>
      <c r="P160" t="inlineStr">
        <is>
          <t>38+100</t>
        </is>
      </c>
      <c r="Q160" t="inlineStr">
        <is>
          <t>46+200</t>
        </is>
      </c>
      <c r="R160" t="inlineStr">
        <is>
          <t>Aberta</t>
        </is>
      </c>
      <c r="T160" t="inlineStr">
        <is>
          <t>Jeam Moreira</t>
        </is>
      </c>
      <c r="U160" t="inlineStr">
        <is>
          <t>12/02/2026</t>
        </is>
      </c>
      <c r="V160" t="inlineStr">
        <is>
          <t>27/02/2026</t>
        </is>
      </c>
      <c r="W160">
        <v>103</v>
      </c>
      <c r="AA160" t="inlineStr">
        <is>
          <t>Aberta 90-120 dias</t>
        </is>
      </c>
      <c r="AB160" t="inlineStr">
        <is>
          <t>ATERPA</t>
        </is>
      </c>
    </row>
    <row r="161">
      <c r="A161">
        <v>159</v>
      </c>
      <c r="B161">
        <v>2</v>
      </c>
      <c r="C161" t="inlineStr">
        <is>
          <t>1.4B</t>
        </is>
      </c>
      <c r="D161" t="inlineStr">
        <is>
          <t>C11</t>
        </is>
      </c>
      <c r="E161" t="inlineStr">
        <is>
          <t>LE/LD</t>
        </is>
      </c>
      <c r="F161" t="inlineStr">
        <is>
          <t>ATERPA</t>
        </is>
      </c>
      <c r="G161" t="inlineStr">
        <is>
          <t>CLP-007</t>
        </is>
      </c>
      <c r="H161" t="inlineStr">
        <is>
          <t>Protocolo</t>
        </is>
      </c>
      <c r="I161">
        <v>4</v>
      </c>
      <c r="J161" t="inlineStr">
        <is>
          <t>Terraplenagem</t>
        </is>
      </c>
      <c r="K161" t="inlineStr">
        <is>
          <t>4.16</t>
        </is>
      </c>
      <c r="L161" t="inlineStr">
        <is>
          <t>Sublastro</t>
        </is>
      </c>
      <c r="M161" t="inlineStr">
        <is>
          <t>Material orgânico</t>
        </is>
      </c>
      <c r="N161" t="inlineStr">
        <is>
          <t>Remoção de vegetação da plataforma</t>
        </is>
      </c>
      <c r="O161" t="inlineStr">
        <is>
          <t>Tipo A</t>
        </is>
      </c>
      <c r="P161" t="inlineStr">
        <is>
          <t>38+350</t>
        </is>
      </c>
      <c r="Q161" t="inlineStr">
        <is>
          <t>45+800</t>
        </is>
      </c>
      <c r="R161" t="inlineStr">
        <is>
          <t>Encerrado</t>
        </is>
      </c>
      <c r="T161" t="inlineStr">
        <is>
          <t>Jeam Moreira</t>
        </is>
      </c>
      <c r="U161" t="inlineStr">
        <is>
          <t>12/02/2026</t>
        </is>
      </c>
      <c r="V161" t="inlineStr">
        <is>
          <t>19/02/2026</t>
        </is>
      </c>
      <c r="W161">
        <v>111</v>
      </c>
      <c r="Y161" t="inlineStr">
        <is>
          <t>12/03/2026</t>
        </is>
      </c>
      <c r="Z161" t="inlineStr">
        <is>
          <t>Concluído</t>
        </is>
      </c>
      <c r="AA161" t="inlineStr">
        <is>
          <t>Fechada -30 dias</t>
        </is>
      </c>
    </row>
    <row r="162">
      <c r="A162">
        <v>160</v>
      </c>
      <c r="B162">
        <v>2</v>
      </c>
      <c r="C162" t="inlineStr">
        <is>
          <t>1.4B</t>
        </is>
      </c>
      <c r="D162" t="inlineStr">
        <is>
          <t>C12</t>
        </is>
      </c>
      <c r="E162" t="inlineStr">
        <is>
          <t>LE/LD</t>
        </is>
      </c>
      <c r="F162" t="inlineStr">
        <is>
          <t>ATERPA</t>
        </is>
      </c>
      <c r="G162" t="inlineStr">
        <is>
          <t>CLP-007</t>
        </is>
      </c>
      <c r="H162" t="inlineStr">
        <is>
          <t>Protocolo</t>
        </is>
      </c>
      <c r="I162">
        <v>4</v>
      </c>
      <c r="J162" t="inlineStr">
        <is>
          <t>Terraplenagem</t>
        </is>
      </c>
      <c r="K162" t="inlineStr">
        <is>
          <t>4.18</t>
        </is>
      </c>
      <c r="L162" t="inlineStr">
        <is>
          <t>Sublastro</t>
        </is>
      </c>
      <c r="M162" t="inlineStr">
        <is>
          <t>Assoreamento</t>
        </is>
      </c>
      <c r="N162" t="inlineStr">
        <is>
          <t>Solo da alça da PN carreando para cima da plataforma</t>
        </is>
      </c>
      <c r="O162" t="inlineStr">
        <is>
          <t>Tipo C</t>
        </is>
      </c>
      <c r="P162" t="inlineStr">
        <is>
          <t>40+100</t>
        </is>
      </c>
      <c r="Q162" t="inlineStr">
        <is>
          <t>45+030</t>
        </is>
      </c>
      <c r="R162" t="inlineStr">
        <is>
          <t>Aberta</t>
        </is>
      </c>
      <c r="T162" t="inlineStr">
        <is>
          <t>Jeam Moreira</t>
        </is>
      </c>
      <c r="U162" t="inlineStr">
        <is>
          <t>12/02/2026</t>
        </is>
      </c>
      <c r="V162" t="inlineStr">
        <is>
          <t>14/03/2026</t>
        </is>
      </c>
      <c r="W162">
        <v>88</v>
      </c>
      <c r="AA162" t="inlineStr">
        <is>
          <t>Aberta 90-120 dias</t>
        </is>
      </c>
      <c r="AB162" t="inlineStr">
        <is>
          <t>GSA</t>
        </is>
      </c>
    </row>
    <row r="163">
      <c r="A163">
        <v>161</v>
      </c>
      <c r="B163">
        <v>2</v>
      </c>
      <c r="C163" t="inlineStr">
        <is>
          <t>1.4B</t>
        </is>
      </c>
      <c r="D163" t="inlineStr">
        <is>
          <t>A11</t>
        </is>
      </c>
      <c r="E163" t="inlineStr">
        <is>
          <t>LD</t>
        </is>
      </c>
      <c r="F163" t="inlineStr">
        <is>
          <t>VALE</t>
        </is>
      </c>
      <c r="G163" t="inlineStr">
        <is>
          <t>CLP-015</t>
        </is>
      </c>
      <c r="H163" t="inlineStr">
        <is>
          <t>Fiscalização</t>
        </is>
      </c>
      <c r="I163">
        <v>4</v>
      </c>
      <c r="J163" t="inlineStr">
        <is>
          <t>Terraplenagem</t>
        </is>
      </c>
      <c r="K163" t="inlineStr">
        <is>
          <t>4.18</t>
        </is>
      </c>
      <c r="L163" t="inlineStr">
        <is>
          <t>Sublastro</t>
        </is>
      </c>
      <c r="M163" t="inlineStr">
        <is>
          <t>Material Solto</t>
        </is>
      </c>
      <c r="N163" t="inlineStr">
        <is>
          <t>Remoção de solo na lateral da plataforma que impede o curso da água para o despositvo de drenagem.</t>
        </is>
      </c>
      <c r="O163" t="inlineStr">
        <is>
          <t>Tipo A</t>
        </is>
      </c>
      <c r="P163" t="inlineStr">
        <is>
          <t>38+750</t>
        </is>
      </c>
      <c r="Q163" t="inlineStr">
        <is>
          <t>42+050</t>
        </is>
      </c>
      <c r="R163" t="inlineStr">
        <is>
          <t>Aberta</t>
        </is>
      </c>
      <c r="T163" t="inlineStr">
        <is>
          <t>Jeam Moreira</t>
        </is>
      </c>
      <c r="U163" t="inlineStr">
        <is>
          <t>12/02/2026</t>
        </is>
      </c>
      <c r="V163" t="inlineStr">
        <is>
          <t>19/02/2026</t>
        </is>
      </c>
      <c r="W163">
        <v>111</v>
      </c>
      <c r="AA163" t="inlineStr">
        <is>
          <t>Aberta 90-120 dias</t>
        </is>
      </c>
      <c r="AB163" t="inlineStr">
        <is>
          <t>GSA</t>
        </is>
      </c>
      <c r="AF163" t="inlineStr">
        <is>
          <t>limpeza após plano cotado</t>
        </is>
      </c>
    </row>
    <row r="164">
      <c r="A164">
        <v>162</v>
      </c>
      <c r="B164">
        <v>2</v>
      </c>
      <c r="C164" t="inlineStr">
        <is>
          <t>1.4B</t>
        </is>
      </c>
      <c r="D164" t="inlineStr">
        <is>
          <t>C15</t>
        </is>
      </c>
      <c r="E164" t="inlineStr">
        <is>
          <t>LE/LD</t>
        </is>
      </c>
      <c r="F164" t="inlineStr">
        <is>
          <t>ATERPA</t>
        </is>
      </c>
      <c r="G164" t="inlineStr">
        <is>
          <t>CLP-007</t>
        </is>
      </c>
      <c r="H164" t="inlineStr">
        <is>
          <t>Protocolo</t>
        </is>
      </c>
      <c r="I164">
        <v>4</v>
      </c>
      <c r="J164" t="inlineStr">
        <is>
          <t>Terraplenagem</t>
        </is>
      </c>
      <c r="K164" t="inlineStr">
        <is>
          <t>4.20</t>
        </is>
      </c>
      <c r="L164" t="inlineStr">
        <is>
          <t>Hidrossemeadura</t>
        </is>
      </c>
      <c r="M164" t="inlineStr">
        <is>
          <t>Erosões</t>
        </is>
      </c>
      <c r="N164" t="inlineStr">
        <is>
          <t>Alta vegetação escondendo erosão</t>
        </is>
      </c>
      <c r="O164" t="inlineStr">
        <is>
          <t>Tipo A</t>
        </is>
      </c>
      <c r="P164" t="inlineStr">
        <is>
          <t>41+620</t>
        </is>
      </c>
      <c r="Q164" t="inlineStr">
        <is>
          <t>41+620</t>
        </is>
      </c>
      <c r="R164" t="inlineStr">
        <is>
          <t>Aberta</t>
        </is>
      </c>
      <c r="T164" t="inlineStr">
        <is>
          <t>Jeam Moreira</t>
        </is>
      </c>
      <c r="U164" t="inlineStr">
        <is>
          <t>12/02/2026</t>
        </is>
      </c>
      <c r="V164" t="inlineStr">
        <is>
          <t>19/02/2026</t>
        </is>
      </c>
      <c r="W164">
        <v>111</v>
      </c>
      <c r="AA164" t="inlineStr">
        <is>
          <t>Aberta 90-120 dias</t>
        </is>
      </c>
      <c r="AB164" t="inlineStr">
        <is>
          <t>GSA</t>
        </is>
      </c>
    </row>
    <row r="165">
      <c r="A165">
        <v>163</v>
      </c>
      <c r="B165">
        <v>2</v>
      </c>
      <c r="C165" t="inlineStr">
        <is>
          <t>1.4B</t>
        </is>
      </c>
      <c r="D165" t="inlineStr">
        <is>
          <t>A11</t>
        </is>
      </c>
      <c r="E165" t="inlineStr">
        <is>
          <t>LE/LD</t>
        </is>
      </c>
      <c r="F165" t="inlineStr">
        <is>
          <t>ATERPA</t>
        </is>
      </c>
      <c r="G165" t="inlineStr">
        <is>
          <t>CLP-007</t>
        </is>
      </c>
      <c r="H165" t="inlineStr">
        <is>
          <t>Protocolo</t>
        </is>
      </c>
      <c r="I165">
        <v>4</v>
      </c>
      <c r="J165" t="inlineStr">
        <is>
          <t>Terraplenagem</t>
        </is>
      </c>
      <c r="K165" t="inlineStr">
        <is>
          <t>4.20</t>
        </is>
      </c>
      <c r="M165" t="inlineStr">
        <is>
          <t>Erosões</t>
        </is>
      </c>
      <c r="N165" t="inlineStr">
        <is>
          <t>Início de erosão, falta de hidrossemeadura</t>
        </is>
      </c>
      <c r="O165" t="inlineStr">
        <is>
          <t>Tipo A</t>
        </is>
      </c>
      <c r="P165" t="inlineStr">
        <is>
          <t>38+880</t>
        </is>
      </c>
      <c r="Q165" t="inlineStr">
        <is>
          <t>45+240</t>
        </is>
      </c>
      <c r="R165" t="inlineStr">
        <is>
          <t>Aberta</t>
        </is>
      </c>
      <c r="T165" t="inlineStr">
        <is>
          <t>Jeam Moreira</t>
        </is>
      </c>
      <c r="U165" t="inlineStr">
        <is>
          <t>12/02/2026</t>
        </is>
      </c>
      <c r="V165" t="inlineStr">
        <is>
          <t>19/02/2026</t>
        </is>
      </c>
      <c r="W165">
        <v>111</v>
      </c>
      <c r="AA165" t="inlineStr">
        <is>
          <t>Aberta 90-120 dias</t>
        </is>
      </c>
      <c r="AB165" t="inlineStr">
        <is>
          <t>GSA</t>
        </is>
      </c>
    </row>
    <row r="166">
      <c r="A166">
        <v>164</v>
      </c>
      <c r="B166">
        <v>2</v>
      </c>
      <c r="C166" t="inlineStr">
        <is>
          <t>1.4B</t>
        </is>
      </c>
      <c r="D166" t="inlineStr">
        <is>
          <t>A15</t>
        </is>
      </c>
      <c r="F166" t="inlineStr">
        <is>
          <t>ATERPA</t>
        </is>
      </c>
      <c r="G166" t="inlineStr">
        <is>
          <t>CLP-007</t>
        </is>
      </c>
      <c r="H166" t="inlineStr">
        <is>
          <t>Protocolo</t>
        </is>
      </c>
      <c r="I166">
        <v>4</v>
      </c>
      <c r="J166" t="inlineStr">
        <is>
          <t>Terraplenagem</t>
        </is>
      </c>
      <c r="K166" t="inlineStr">
        <is>
          <t>4.20</t>
        </is>
      </c>
      <c r="L166" t="inlineStr">
        <is>
          <t>Bueiro</t>
        </is>
      </c>
      <c r="M166" t="inlineStr">
        <is>
          <t>Erosões</t>
        </is>
      </c>
      <c r="N166" t="inlineStr">
        <is>
          <t>Erosão lateral do bueiro.</t>
        </is>
      </c>
      <c r="O166" t="inlineStr">
        <is>
          <t>Tipo A</t>
        </is>
      </c>
      <c r="P166" t="inlineStr">
        <is>
          <t>40+600</t>
        </is>
      </c>
      <c r="Q166" t="inlineStr">
        <is>
          <t>40+600</t>
        </is>
      </c>
      <c r="R166" t="inlineStr">
        <is>
          <t>Aberta</t>
        </is>
      </c>
      <c r="T166" t="inlineStr">
        <is>
          <t>Jeam Moreira</t>
        </is>
      </c>
      <c r="U166" t="inlineStr">
        <is>
          <t>12/02/2026</t>
        </is>
      </c>
      <c r="V166" t="inlineStr">
        <is>
          <t>19/02/2026</t>
        </is>
      </c>
      <c r="W166">
        <v>111</v>
      </c>
      <c r="AA166" t="inlineStr">
        <is>
          <t>Aberta 90-120 dias</t>
        </is>
      </c>
      <c r="AB166" t="inlineStr">
        <is>
          <t>GSA</t>
        </is>
      </c>
    </row>
    <row r="167">
      <c r="A167">
        <v>165</v>
      </c>
      <c r="B167">
        <v>2</v>
      </c>
      <c r="C167" t="inlineStr">
        <is>
          <t>1.4B</t>
        </is>
      </c>
      <c r="D167" t="inlineStr">
        <is>
          <t>A22</t>
        </is>
      </c>
      <c r="E167" t="inlineStr">
        <is>
          <t>LE</t>
        </is>
      </c>
      <c r="F167" t="inlineStr">
        <is>
          <t>ATERPA</t>
        </is>
      </c>
      <c r="G167" t="inlineStr">
        <is>
          <t>CLP-007</t>
        </is>
      </c>
      <c r="H167" t="inlineStr">
        <is>
          <t>Protocolo</t>
        </is>
      </c>
      <c r="I167">
        <v>4</v>
      </c>
      <c r="J167" t="inlineStr">
        <is>
          <t>Terraplenagem</t>
        </is>
      </c>
      <c r="K167" t="inlineStr">
        <is>
          <t>4.23</t>
        </is>
      </c>
      <c r="L167" t="inlineStr">
        <is>
          <t>Sublastro</t>
        </is>
      </c>
      <c r="M167" t="inlineStr">
        <is>
          <t>Material Solto</t>
        </is>
      </c>
      <c r="N167" t="inlineStr">
        <is>
          <t>Solo saturado sobre sublastro resultande de limpeza de dispositvo de drenagem.</t>
        </is>
      </c>
      <c r="O167" t="inlineStr">
        <is>
          <t>Tipo A</t>
        </is>
      </c>
      <c r="P167" t="inlineStr">
        <is>
          <t>46+120</t>
        </is>
      </c>
      <c r="Q167" t="inlineStr">
        <is>
          <t>46+120</t>
        </is>
      </c>
      <c r="R167" t="inlineStr">
        <is>
          <t>Encerrado</t>
        </is>
      </c>
      <c r="T167" t="inlineStr">
        <is>
          <t>Jeam Moreira</t>
        </is>
      </c>
      <c r="U167" t="inlineStr">
        <is>
          <t>12/02/2026</t>
        </is>
      </c>
      <c r="V167" t="inlineStr">
        <is>
          <t>19/02/2026</t>
        </is>
      </c>
      <c r="W167">
        <v>111</v>
      </c>
      <c r="Y167" t="inlineStr">
        <is>
          <t>12/03/2026</t>
        </is>
      </c>
      <c r="Z167" t="inlineStr">
        <is>
          <t>Concluído</t>
        </is>
      </c>
      <c r="AA167" t="inlineStr">
        <is>
          <t>Fechada -30 dias</t>
        </is>
      </c>
    </row>
    <row r="168">
      <c r="A168">
        <v>166</v>
      </c>
      <c r="B168">
        <v>2</v>
      </c>
      <c r="C168" t="inlineStr">
        <is>
          <t>1.4B</t>
        </is>
      </c>
      <c r="D168" t="inlineStr">
        <is>
          <t>A11</t>
        </is>
      </c>
      <c r="E168" t="inlineStr">
        <is>
          <t>LE/LD</t>
        </is>
      </c>
      <c r="F168" t="inlineStr">
        <is>
          <t>ATERPA</t>
        </is>
      </c>
      <c r="G168" t="inlineStr">
        <is>
          <t>CLP-007</t>
        </is>
      </c>
      <c r="H168" t="inlineStr">
        <is>
          <t>Protocolo</t>
        </is>
      </c>
      <c r="I168">
        <v>4</v>
      </c>
      <c r="J168" t="inlineStr">
        <is>
          <t>Terraplenagem</t>
        </is>
      </c>
      <c r="K168" t="inlineStr">
        <is>
          <t>4.24</t>
        </is>
      </c>
      <c r="L168" t="inlineStr">
        <is>
          <t>(PIV)Passagem Inferior Veicular</t>
        </is>
      </c>
      <c r="M168" t="inlineStr">
        <is>
          <t>Obstrução do dispositivo</t>
        </is>
      </c>
      <c r="N168" t="inlineStr">
        <is>
          <t>Obstrução da PIV, falta de tratamento e conformação do acesso</t>
        </is>
      </c>
      <c r="O168" t="inlineStr">
        <is>
          <t>Tipo A</t>
        </is>
      </c>
      <c r="P168" t="inlineStr">
        <is>
          <t>39+220</t>
        </is>
      </c>
      <c r="Q168" t="inlineStr">
        <is>
          <t>39+220</t>
        </is>
      </c>
      <c r="R168" t="inlineStr">
        <is>
          <t>Aberta</t>
        </is>
      </c>
      <c r="T168" t="inlineStr">
        <is>
          <t>Jeam Moreira</t>
        </is>
      </c>
      <c r="U168" t="inlineStr">
        <is>
          <t>12/02/2026</t>
        </is>
      </c>
      <c r="V168" t="inlineStr">
        <is>
          <t>19/02/2026</t>
        </is>
      </c>
      <c r="W168">
        <v>111</v>
      </c>
      <c r="AA168" t="inlineStr">
        <is>
          <t>Aberta 90-120 dias</t>
        </is>
      </c>
      <c r="AB168" t="inlineStr">
        <is>
          <t>GSA</t>
        </is>
      </c>
    </row>
    <row r="169">
      <c r="A169">
        <v>167</v>
      </c>
      <c r="B169">
        <v>2</v>
      </c>
      <c r="C169" t="inlineStr">
        <is>
          <t>1.4B</t>
        </is>
      </c>
      <c r="D169" t="inlineStr">
        <is>
          <t>A11</t>
        </is>
      </c>
      <c r="F169" t="inlineStr">
        <is>
          <t>ATERPA</t>
        </is>
      </c>
      <c r="G169" t="inlineStr">
        <is>
          <t>CLP-007</t>
        </is>
      </c>
      <c r="H169" t="inlineStr">
        <is>
          <t>Protocolo</t>
        </is>
      </c>
      <c r="I169">
        <v>4</v>
      </c>
      <c r="J169" t="inlineStr">
        <is>
          <t>Terraplenagem</t>
        </is>
      </c>
      <c r="K169" t="inlineStr">
        <is>
          <t>4.24</t>
        </is>
      </c>
      <c r="L169" t="inlineStr">
        <is>
          <t>Acesso</t>
        </is>
      </c>
      <c r="M169" t="inlineStr">
        <is>
          <t>Erosões</t>
        </is>
      </c>
      <c r="N169" t="inlineStr">
        <is>
          <t>Processos erosivos no acesso de comunidade dentro da FD.</t>
        </is>
      </c>
      <c r="O169" t="inlineStr">
        <is>
          <t>Tipo A</t>
        </is>
      </c>
      <c r="P169" t="inlineStr">
        <is>
          <t>39+600</t>
        </is>
      </c>
      <c r="Q169" t="inlineStr">
        <is>
          <t>40+200</t>
        </is>
      </c>
      <c r="R169" t="inlineStr">
        <is>
          <t>Aberta</t>
        </is>
      </c>
      <c r="T169" t="inlineStr">
        <is>
          <t>Jeam Moreira</t>
        </is>
      </c>
      <c r="U169" t="inlineStr">
        <is>
          <t>12/02/2026</t>
        </is>
      </c>
      <c r="V169" t="inlineStr">
        <is>
          <t>19/02/2026</t>
        </is>
      </c>
      <c r="W169">
        <v>111</v>
      </c>
      <c r="AA169" t="inlineStr">
        <is>
          <t>Aberta 90-120 dias</t>
        </is>
      </c>
      <c r="AB169" t="inlineStr">
        <is>
          <t>GSA</t>
        </is>
      </c>
    </row>
    <row r="170">
      <c r="A170">
        <v>168</v>
      </c>
      <c r="B170">
        <v>2</v>
      </c>
      <c r="C170" t="inlineStr">
        <is>
          <t>1.4B</t>
        </is>
      </c>
      <c r="D170" t="inlineStr">
        <is>
          <t>A19</t>
        </is>
      </c>
      <c r="F170" t="inlineStr">
        <is>
          <t>ATERPA</t>
        </is>
      </c>
      <c r="G170" t="inlineStr">
        <is>
          <t>CLP-007</t>
        </is>
      </c>
      <c r="H170" t="inlineStr">
        <is>
          <t>Protocolo</t>
        </is>
      </c>
      <c r="I170">
        <v>4</v>
      </c>
      <c r="J170" t="inlineStr">
        <is>
          <t>Terraplenagem</t>
        </is>
      </c>
      <c r="K170" t="inlineStr">
        <is>
          <t>4.24</t>
        </is>
      </c>
      <c r="L170" t="inlineStr">
        <is>
          <t>Acesso</t>
        </is>
      </c>
      <c r="M170" t="inlineStr">
        <is>
          <t>Erosões</t>
        </is>
      </c>
      <c r="N170" t="inlineStr">
        <is>
          <t>Acesso de serviço não recuperado; presença de diversos processos erosivos.</t>
        </is>
      </c>
      <c r="O170" t="inlineStr">
        <is>
          <t>Tipo A</t>
        </is>
      </c>
      <c r="P170" t="inlineStr">
        <is>
          <t>42+500</t>
        </is>
      </c>
      <c r="Q170" t="inlineStr">
        <is>
          <t>43+000</t>
        </is>
      </c>
      <c r="R170" t="inlineStr">
        <is>
          <t>Aberta</t>
        </is>
      </c>
      <c r="T170" t="inlineStr">
        <is>
          <t>Jeam Moreira</t>
        </is>
      </c>
      <c r="U170" t="inlineStr">
        <is>
          <t>12/02/2026</t>
        </is>
      </c>
      <c r="V170" t="inlineStr">
        <is>
          <t>19/02/2026</t>
        </is>
      </c>
      <c r="W170">
        <v>111</v>
      </c>
      <c r="AA170" t="inlineStr">
        <is>
          <t>Aberta 90-120 dias</t>
        </is>
      </c>
      <c r="AB170" t="inlineStr">
        <is>
          <t>GSA</t>
        </is>
      </c>
    </row>
    <row r="171">
      <c r="A171">
        <v>169</v>
      </c>
      <c r="B171">
        <v>2</v>
      </c>
      <c r="C171" t="inlineStr">
        <is>
          <t>1.4B</t>
        </is>
      </c>
      <c r="D171" t="inlineStr">
        <is>
          <t>A13</t>
        </is>
      </c>
      <c r="E171" t="inlineStr">
        <is>
          <t>LE/LD</t>
        </is>
      </c>
      <c r="F171" t="inlineStr">
        <is>
          <t>ATERPA</t>
        </is>
      </c>
      <c r="G171" t="inlineStr">
        <is>
          <t>CLP-007</t>
        </is>
      </c>
      <c r="H171" t="inlineStr">
        <is>
          <t>Protocolo</t>
        </is>
      </c>
      <c r="I171">
        <v>4</v>
      </c>
      <c r="J171" t="inlineStr">
        <is>
          <t>Terraplenagem</t>
        </is>
      </c>
      <c r="K171" t="inlineStr">
        <is>
          <t>4.25</t>
        </is>
      </c>
      <c r="L171" t="inlineStr">
        <is>
          <t>Cerca</t>
        </is>
      </c>
      <c r="M171" t="inlineStr">
        <is>
          <t>Limpeza/ remoção de material</t>
        </is>
      </c>
      <c r="N171" t="inlineStr">
        <is>
          <t>Pendente remoção dos mourões da cerca</t>
        </is>
      </c>
      <c r="O171" t="inlineStr">
        <is>
          <t>Tipo A</t>
        </is>
      </c>
      <c r="P171" t="inlineStr">
        <is>
          <t>40+140</t>
        </is>
      </c>
      <c r="Q171" t="inlineStr">
        <is>
          <t>42+300</t>
        </is>
      </c>
      <c r="R171" t="inlineStr">
        <is>
          <t>Encerrado</t>
        </is>
      </c>
      <c r="T171" t="inlineStr">
        <is>
          <t>Jeam Moreira</t>
        </is>
      </c>
      <c r="U171" t="inlineStr">
        <is>
          <t>12/02/2026</t>
        </is>
      </c>
      <c r="V171" t="inlineStr">
        <is>
          <t>19/02/2026</t>
        </is>
      </c>
      <c r="W171">
        <v>111</v>
      </c>
      <c r="Y171" t="inlineStr">
        <is>
          <t>12/03/2026</t>
        </is>
      </c>
      <c r="Z171" t="inlineStr">
        <is>
          <t>Concluído</t>
        </is>
      </c>
      <c r="AA171" t="inlineStr">
        <is>
          <t>Fechada -30 dias</t>
        </is>
      </c>
    </row>
    <row r="172">
      <c r="A172">
        <v>170</v>
      </c>
      <c r="B172">
        <v>2</v>
      </c>
      <c r="C172" t="inlineStr">
        <is>
          <t>1.4B</t>
        </is>
      </c>
      <c r="D172" t="inlineStr">
        <is>
          <t>A22</t>
        </is>
      </c>
      <c r="E172" t="inlineStr">
        <is>
          <t>LD</t>
        </is>
      </c>
      <c r="F172" t="inlineStr">
        <is>
          <t>ATERPA</t>
        </is>
      </c>
      <c r="G172" t="inlineStr">
        <is>
          <t>CLP-007</t>
        </is>
      </c>
      <c r="H172" t="inlineStr">
        <is>
          <t>Protocolo</t>
        </is>
      </c>
      <c r="I172">
        <v>4</v>
      </c>
      <c r="J172" t="inlineStr">
        <is>
          <t>Terraplenagem</t>
        </is>
      </c>
      <c r="K172" t="inlineStr">
        <is>
          <t>4.25</t>
        </is>
      </c>
      <c r="L172" t="inlineStr">
        <is>
          <t>Pré moldados</t>
        </is>
      </c>
      <c r="M172" t="inlineStr">
        <is>
          <t>Limpeza/ remoção de material</t>
        </is>
      </c>
      <c r="N172" t="inlineStr">
        <is>
          <t>Remoção de pátio de  pré-moldados</t>
        </is>
      </c>
      <c r="O172" t="inlineStr">
        <is>
          <t>Tipo A</t>
        </is>
      </c>
      <c r="P172" t="inlineStr">
        <is>
          <t>45+800</t>
        </is>
      </c>
      <c r="Q172" t="inlineStr">
        <is>
          <t>45+800</t>
        </is>
      </c>
      <c r="R172" t="inlineStr">
        <is>
          <t>Encerrado</t>
        </is>
      </c>
      <c r="T172" t="inlineStr">
        <is>
          <t>Jeam Moreira</t>
        </is>
      </c>
      <c r="U172" t="inlineStr">
        <is>
          <t>12/02/2026</t>
        </is>
      </c>
      <c r="V172" t="inlineStr">
        <is>
          <t>19/02/2026</t>
        </is>
      </c>
      <c r="W172">
        <v>111</v>
      </c>
      <c r="Y172" t="inlineStr">
        <is>
          <t>12/03/2026</t>
        </is>
      </c>
      <c r="Z172" t="inlineStr">
        <is>
          <t>Concluído</t>
        </is>
      </c>
      <c r="AA172" t="inlineStr">
        <is>
          <t>Fechada -30 dias</t>
        </is>
      </c>
    </row>
    <row r="173">
      <c r="A173">
        <v>171</v>
      </c>
      <c r="B173">
        <v>2</v>
      </c>
      <c r="C173" t="inlineStr">
        <is>
          <t>1.4B</t>
        </is>
      </c>
      <c r="D173" t="inlineStr">
        <is>
          <t>Geral</t>
        </is>
      </c>
      <c r="F173" t="inlineStr">
        <is>
          <t>ATERPA</t>
        </is>
      </c>
      <c r="G173" t="inlineStr">
        <is>
          <t>CLP-007</t>
        </is>
      </c>
      <c r="H173" t="inlineStr">
        <is>
          <t>Protocolo</t>
        </is>
      </c>
      <c r="I173">
        <v>4</v>
      </c>
      <c r="J173" t="inlineStr">
        <is>
          <t>Terraplenagem</t>
        </is>
      </c>
      <c r="K173" t="inlineStr">
        <is>
          <t>4.26</t>
        </is>
      </c>
      <c r="L173" t="inlineStr">
        <is>
          <t>Aterro</t>
        </is>
      </c>
      <c r="M173" t="inlineStr">
        <is>
          <t>Documental</t>
        </is>
      </c>
      <c r="N173" t="inlineStr">
        <is>
          <t>As Built - pendente de envio e validação da engenharia.</t>
        </is>
      </c>
      <c r="O173" t="inlineStr">
        <is>
          <t>Tipo B</t>
        </is>
      </c>
      <c r="P173" t="inlineStr">
        <is>
          <t>38+100</t>
        </is>
      </c>
      <c r="Q173" t="inlineStr">
        <is>
          <t>46+200</t>
        </is>
      </c>
      <c r="R173" t="inlineStr">
        <is>
          <t>Aberta</t>
        </is>
      </c>
      <c r="T173" t="inlineStr">
        <is>
          <t>Jeam Moreira</t>
        </is>
      </c>
      <c r="U173" t="inlineStr">
        <is>
          <t>12/02/2026</t>
        </is>
      </c>
      <c r="V173" t="inlineStr">
        <is>
          <t>27/02/2026</t>
        </is>
      </c>
      <c r="W173">
        <v>103</v>
      </c>
      <c r="AA173" t="inlineStr">
        <is>
          <t>Aberta 90-120 dias</t>
        </is>
      </c>
      <c r="AB173" t="inlineStr">
        <is>
          <t>ATERPA</t>
        </is>
      </c>
    </row>
    <row r="174">
      <c r="A174">
        <v>172</v>
      </c>
      <c r="B174">
        <v>2</v>
      </c>
      <c r="C174" t="inlineStr">
        <is>
          <t>1.4B</t>
        </is>
      </c>
      <c r="D174" t="inlineStr">
        <is>
          <t>Geral</t>
        </is>
      </c>
      <c r="F174" t="inlineStr">
        <is>
          <t>ATERPA</t>
        </is>
      </c>
      <c r="G174" t="inlineStr">
        <is>
          <t>CLP-007</t>
        </is>
      </c>
      <c r="H174" t="inlineStr">
        <is>
          <t>Protocolo</t>
        </is>
      </c>
      <c r="I174">
        <v>4</v>
      </c>
      <c r="J174" t="inlineStr">
        <is>
          <t>Terraplenagem</t>
        </is>
      </c>
      <c r="K174" t="inlineStr">
        <is>
          <t>4.28</t>
        </is>
      </c>
      <c r="L174" t="inlineStr">
        <is>
          <t>RNC</t>
        </is>
      </c>
      <c r="M174" t="inlineStr">
        <is>
          <t>Documental</t>
        </is>
      </c>
      <c r="N174" t="inlineStr">
        <is>
          <t>Existem RNC em tramitação :  RNC-L0354-002699</t>
        </is>
      </c>
      <c r="O174" t="inlineStr">
        <is>
          <t>Tipo B</t>
        </is>
      </c>
      <c r="P174" t="inlineStr">
        <is>
          <t>38+100</t>
        </is>
      </c>
      <c r="Q174" t="inlineStr">
        <is>
          <t>46+200</t>
        </is>
      </c>
      <c r="R174" t="inlineStr">
        <is>
          <t>Encerrado</t>
        </is>
      </c>
      <c r="T174" t="inlineStr">
        <is>
          <t>Jeam Moreira</t>
        </is>
      </c>
      <c r="U174" t="inlineStr">
        <is>
          <t>12/02/2026</t>
        </is>
      </c>
      <c r="V174" t="inlineStr">
        <is>
          <t>27/02/2026</t>
        </is>
      </c>
      <c r="W174">
        <v>103</v>
      </c>
      <c r="Y174" t="inlineStr">
        <is>
          <t>31/03/2026</t>
        </is>
      </c>
      <c r="Z174" t="inlineStr">
        <is>
          <t>Concluído</t>
        </is>
      </c>
      <c r="AA174" t="inlineStr">
        <is>
          <t>Fechada 30-60 dias</t>
        </is>
      </c>
    </row>
    <row r="175">
      <c r="A175">
        <v>173</v>
      </c>
      <c r="B175">
        <v>2</v>
      </c>
      <c r="C175" t="inlineStr">
        <is>
          <t>1.4B</t>
        </is>
      </c>
      <c r="D175" t="inlineStr">
        <is>
          <t>A17</t>
        </is>
      </c>
      <c r="E175" t="inlineStr">
        <is>
          <t>LE/LD</t>
        </is>
      </c>
      <c r="F175" t="inlineStr">
        <is>
          <t>ATERPA</t>
        </is>
      </c>
      <c r="G175" t="inlineStr">
        <is>
          <t>CLP-007</t>
        </is>
      </c>
      <c r="H175" t="inlineStr">
        <is>
          <t>Protocolo</t>
        </is>
      </c>
      <c r="I175">
        <v>6</v>
      </c>
      <c r="J175" t="inlineStr">
        <is>
          <t>Drenagem Superficial</t>
        </is>
      </c>
      <c r="K175" t="inlineStr">
        <is>
          <t>6.1</t>
        </is>
      </c>
      <c r="L175" t="inlineStr">
        <is>
          <t>EDA</t>
        </is>
      </c>
      <c r="M175" t="inlineStr">
        <is>
          <t>Execuçao divergente do projeto</t>
        </is>
      </c>
      <c r="N175" t="inlineStr">
        <is>
          <t>EDA executada em desacordo com o projeto PE-B-618</t>
        </is>
      </c>
      <c r="O175" t="inlineStr">
        <is>
          <t>Tipo A</t>
        </is>
      </c>
      <c r="P175" t="inlineStr">
        <is>
          <t xml:space="preserve"> 42+160</t>
        </is>
      </c>
      <c r="Q175" t="inlineStr">
        <is>
          <t>44+740</t>
        </is>
      </c>
      <c r="R175" t="inlineStr">
        <is>
          <t>Aberta</t>
        </is>
      </c>
      <c r="T175" t="inlineStr">
        <is>
          <t>Jeam Moreira</t>
        </is>
      </c>
      <c r="U175" t="inlineStr">
        <is>
          <t>12/02/2026</t>
        </is>
      </c>
      <c r="V175" t="inlineStr">
        <is>
          <t>19/02/2026</t>
        </is>
      </c>
      <c r="W175">
        <v>111</v>
      </c>
      <c r="AA175" t="inlineStr">
        <is>
          <t>Aberta 90-120 dias</t>
        </is>
      </c>
      <c r="AB175" t="inlineStr">
        <is>
          <t>GSA</t>
        </is>
      </c>
    </row>
    <row r="176">
      <c r="A176">
        <v>174</v>
      </c>
      <c r="B176">
        <v>2</v>
      </c>
      <c r="C176" t="inlineStr">
        <is>
          <t>1.4B</t>
        </is>
      </c>
      <c r="D176" t="inlineStr">
        <is>
          <t>A16</t>
        </is>
      </c>
      <c r="E176" t="inlineStr">
        <is>
          <t>LE/LD</t>
        </is>
      </c>
      <c r="F176" t="inlineStr">
        <is>
          <t>ATERPA</t>
        </is>
      </c>
      <c r="G176" t="inlineStr">
        <is>
          <t>CLP-007</t>
        </is>
      </c>
      <c r="H176" t="inlineStr">
        <is>
          <t>Protocolo</t>
        </is>
      </c>
      <c r="I176">
        <v>6</v>
      </c>
      <c r="J176" t="inlineStr">
        <is>
          <t>Drenagem Superficial</t>
        </is>
      </c>
      <c r="K176" t="inlineStr">
        <is>
          <t>6.1</t>
        </is>
      </c>
      <c r="L176" t="inlineStr">
        <is>
          <t>EDA</t>
        </is>
      </c>
      <c r="M176" t="inlineStr">
        <is>
          <t>Execuçao divergente do projeto</t>
        </is>
      </c>
      <c r="N176" t="inlineStr">
        <is>
          <t>Executada EDA 02 ao invés da EDA 02, observar em projeto</t>
        </is>
      </c>
      <c r="O176" t="inlineStr">
        <is>
          <t>Tipo A</t>
        </is>
      </c>
      <c r="P176" t="inlineStr">
        <is>
          <t>41+260</t>
        </is>
      </c>
      <c r="Q176" t="inlineStr">
        <is>
          <t>41+260</t>
        </is>
      </c>
      <c r="R176" t="inlineStr">
        <is>
          <t>Aberta</t>
        </is>
      </c>
      <c r="T176" t="inlineStr">
        <is>
          <t>Jeam Moreira</t>
        </is>
      </c>
      <c r="U176" t="inlineStr">
        <is>
          <t>12/02/2026</t>
        </is>
      </c>
      <c r="V176" t="inlineStr">
        <is>
          <t>19/02/2026</t>
        </is>
      </c>
      <c r="W176">
        <v>111</v>
      </c>
      <c r="AA176" t="inlineStr">
        <is>
          <t>Aberta 90-120 dias</t>
        </is>
      </c>
      <c r="AB176" t="inlineStr">
        <is>
          <t>GSA</t>
        </is>
      </c>
    </row>
    <row r="177">
      <c r="A177">
        <v>175</v>
      </c>
      <c r="B177">
        <v>2</v>
      </c>
      <c r="C177" t="inlineStr">
        <is>
          <t>1.4B</t>
        </is>
      </c>
      <c r="D177" t="inlineStr">
        <is>
          <t>C16</t>
        </is>
      </c>
      <c r="E177" t="inlineStr">
        <is>
          <t>LE</t>
        </is>
      </c>
      <c r="F177" t="inlineStr">
        <is>
          <t>ATERPA</t>
        </is>
      </c>
      <c r="G177" t="inlineStr">
        <is>
          <t>CLP-007</t>
        </is>
      </c>
      <c r="H177" t="inlineStr">
        <is>
          <t>Protocolo</t>
        </is>
      </c>
      <c r="I177">
        <v>6</v>
      </c>
      <c r="J177" t="inlineStr">
        <is>
          <t>Drenagem Superficial</t>
        </is>
      </c>
      <c r="K177" t="inlineStr">
        <is>
          <t>6.1</t>
        </is>
      </c>
      <c r="L177" t="inlineStr">
        <is>
          <t>Valeta</t>
        </is>
      </c>
      <c r="M177" t="inlineStr">
        <is>
          <t>Erosões</t>
        </is>
      </c>
      <c r="N177" t="inlineStr">
        <is>
          <t>Erosão na lateral do dispositivo de drenagem, nesse ponto a engenha ficou de analisar, pois a VCP está mais alta que o solo natural.</t>
        </is>
      </c>
      <c r="O177" t="inlineStr">
        <is>
          <t>Tipo A</t>
        </is>
      </c>
      <c r="P177" t="inlineStr">
        <is>
          <t>43+300</t>
        </is>
      </c>
      <c r="Q177" t="inlineStr">
        <is>
          <t>43+300</t>
        </is>
      </c>
      <c r="R177" t="inlineStr">
        <is>
          <t>Aberta</t>
        </is>
      </c>
      <c r="T177" t="inlineStr">
        <is>
          <t>Jeam Moreira</t>
        </is>
      </c>
      <c r="U177" t="inlineStr">
        <is>
          <t>12/02/2026</t>
        </is>
      </c>
      <c r="V177" t="inlineStr">
        <is>
          <t>19/02/2026</t>
        </is>
      </c>
      <c r="W177">
        <v>111</v>
      </c>
      <c r="AA177" t="inlineStr">
        <is>
          <t>Aberta 90-120 dias</t>
        </is>
      </c>
      <c r="AB177" t="inlineStr">
        <is>
          <t>ENGENHARIA</t>
        </is>
      </c>
    </row>
    <row r="178">
      <c r="A178">
        <v>176</v>
      </c>
      <c r="B178">
        <v>2</v>
      </c>
      <c r="C178" t="inlineStr">
        <is>
          <t>1.4B</t>
        </is>
      </c>
      <c r="D178" t="inlineStr">
        <is>
          <t>A11</t>
        </is>
      </c>
      <c r="F178" t="inlineStr">
        <is>
          <t>ATERPA</t>
        </is>
      </c>
      <c r="G178" t="inlineStr">
        <is>
          <t>CLP-007</t>
        </is>
      </c>
      <c r="H178" t="inlineStr">
        <is>
          <t>Protocolo</t>
        </is>
      </c>
      <c r="I178">
        <v>6</v>
      </c>
      <c r="J178" t="inlineStr">
        <is>
          <t>Drenagem Superficial</t>
        </is>
      </c>
      <c r="K178" t="inlineStr">
        <is>
          <t>6.1</t>
        </is>
      </c>
      <c r="L178" t="inlineStr">
        <is>
          <t>VPC</t>
        </is>
      </c>
      <c r="M178" t="inlineStr">
        <is>
          <t>Dispositivo não executado</t>
        </is>
      </c>
      <c r="N178" t="inlineStr">
        <is>
          <t>VPC não executada.</t>
        </is>
      </c>
      <c r="O178" t="inlineStr">
        <is>
          <t>Tipo A</t>
        </is>
      </c>
      <c r="P178" t="inlineStr">
        <is>
          <t>39+220</t>
        </is>
      </c>
      <c r="Q178" t="inlineStr">
        <is>
          <t>39+220</t>
        </is>
      </c>
      <c r="R178" t="inlineStr">
        <is>
          <t>Aberta</t>
        </is>
      </c>
      <c r="T178" t="inlineStr">
        <is>
          <t>Jeam Moreira</t>
        </is>
      </c>
      <c r="U178" t="inlineStr">
        <is>
          <t>12/02/2026</t>
        </is>
      </c>
      <c r="V178" t="inlineStr">
        <is>
          <t>19/02/2026</t>
        </is>
      </c>
      <c r="W178">
        <v>111</v>
      </c>
      <c r="AA178" t="inlineStr">
        <is>
          <t>Aberta 90-120 dias</t>
        </is>
      </c>
      <c r="AB178" t="inlineStr">
        <is>
          <t>GSA</t>
        </is>
      </c>
    </row>
    <row r="179">
      <c r="A179">
        <v>177</v>
      </c>
      <c r="B179">
        <v>2</v>
      </c>
      <c r="C179" t="inlineStr">
        <is>
          <t>1.4B</t>
        </is>
      </c>
      <c r="D179" t="inlineStr">
        <is>
          <t>A16</t>
        </is>
      </c>
      <c r="F179" t="inlineStr">
        <is>
          <t>ATERPA</t>
        </is>
      </c>
      <c r="G179" t="inlineStr">
        <is>
          <t>CLP-007</t>
        </is>
      </c>
      <c r="H179" t="inlineStr">
        <is>
          <t>Protocolo</t>
        </is>
      </c>
      <c r="I179">
        <v>6</v>
      </c>
      <c r="J179" t="inlineStr">
        <is>
          <t>Drenagem Superficial</t>
        </is>
      </c>
      <c r="K179" t="inlineStr">
        <is>
          <t>6.1</t>
        </is>
      </c>
      <c r="L179" t="inlineStr">
        <is>
          <t>VPC</t>
        </is>
      </c>
      <c r="M179" t="inlineStr">
        <is>
          <t>Dispositivo não executado</t>
        </is>
      </c>
      <c r="N179" t="inlineStr">
        <is>
          <t>VPC não executada.</t>
        </is>
      </c>
      <c r="O179" t="inlineStr">
        <is>
          <t>Tipo A</t>
        </is>
      </c>
      <c r="P179" t="inlineStr">
        <is>
          <t xml:space="preserve"> 40+105</t>
        </is>
      </c>
      <c r="Q179" t="inlineStr">
        <is>
          <t xml:space="preserve"> 40+105</t>
        </is>
      </c>
      <c r="R179" t="inlineStr">
        <is>
          <t>Encerrado</t>
        </is>
      </c>
      <c r="T179" t="inlineStr">
        <is>
          <t>Jeam Moreira</t>
        </is>
      </c>
      <c r="U179" t="inlineStr">
        <is>
          <t>12/02/2026</t>
        </is>
      </c>
      <c r="V179" t="inlineStr">
        <is>
          <t>19/02/2026</t>
        </is>
      </c>
      <c r="W179">
        <v>111</v>
      </c>
      <c r="Y179" t="inlineStr">
        <is>
          <t>06/03/2026</t>
        </is>
      </c>
      <c r="Z179" t="inlineStr">
        <is>
          <t>Concluído</t>
        </is>
      </c>
      <c r="AA179" t="inlineStr">
        <is>
          <t>Fechada -30 dias</t>
        </is>
      </c>
    </row>
    <row r="180">
      <c r="A180">
        <v>178</v>
      </c>
      <c r="B180">
        <v>2</v>
      </c>
      <c r="C180" t="inlineStr">
        <is>
          <t>1.4B</t>
        </is>
      </c>
      <c r="D180" t="inlineStr">
        <is>
          <t>VPC01</t>
        </is>
      </c>
      <c r="F180" t="inlineStr">
        <is>
          <t>ATERPA</t>
        </is>
      </c>
      <c r="G180" t="inlineStr">
        <is>
          <t>CLP-007</t>
        </is>
      </c>
      <c r="H180" t="inlineStr">
        <is>
          <t>Protocolo</t>
        </is>
      </c>
      <c r="I180">
        <v>6</v>
      </c>
      <c r="J180" t="inlineStr">
        <is>
          <t>Drenagem Superficial</t>
        </is>
      </c>
      <c r="K180" t="inlineStr">
        <is>
          <t>6.1</t>
        </is>
      </c>
      <c r="L180" t="inlineStr">
        <is>
          <t>VPC</t>
        </is>
      </c>
      <c r="M180" t="inlineStr">
        <is>
          <t>Dispositivo não executado</t>
        </is>
      </c>
      <c r="N180" t="inlineStr">
        <is>
          <t>VPC não executada.</t>
        </is>
      </c>
      <c r="O180" t="inlineStr">
        <is>
          <t>Tipo A</t>
        </is>
      </c>
      <c r="P180" t="inlineStr">
        <is>
          <t>-</t>
        </is>
      </c>
      <c r="R180" t="inlineStr">
        <is>
          <t>Aberta</t>
        </is>
      </c>
      <c r="T180" t="inlineStr">
        <is>
          <t>Jeam Moreira</t>
        </is>
      </c>
      <c r="U180" t="inlineStr">
        <is>
          <t>12/02/2026</t>
        </is>
      </c>
      <c r="V180" t="inlineStr">
        <is>
          <t>19/02/2026</t>
        </is>
      </c>
      <c r="W180">
        <v>111</v>
      </c>
      <c r="AA180" t="inlineStr">
        <is>
          <t>Aberta 90-120 dias</t>
        </is>
      </c>
    </row>
    <row r="181">
      <c r="A181">
        <v>179</v>
      </c>
      <c r="B181">
        <v>2</v>
      </c>
      <c r="C181" t="inlineStr">
        <is>
          <t>1.4B</t>
        </is>
      </c>
      <c r="D181" t="inlineStr">
        <is>
          <t>TSS03</t>
        </is>
      </c>
      <c r="F181" t="inlineStr">
        <is>
          <t>ATERPA</t>
        </is>
      </c>
      <c r="G181" t="inlineStr">
        <is>
          <t>CLP-007</t>
        </is>
      </c>
      <c r="H181" t="inlineStr">
        <is>
          <t>Protocolo</t>
        </is>
      </c>
      <c r="I181">
        <v>6</v>
      </c>
      <c r="J181" t="inlineStr">
        <is>
          <t>Drenagem Superficial</t>
        </is>
      </c>
      <c r="K181" t="inlineStr">
        <is>
          <t>6.1</t>
        </is>
      </c>
      <c r="L181" t="inlineStr">
        <is>
          <t>TSS</t>
        </is>
      </c>
      <c r="M181" t="inlineStr">
        <is>
          <t>Dispositivo não executado</t>
        </is>
      </c>
      <c r="N181" t="inlineStr">
        <is>
          <t>TSS não executado</t>
        </is>
      </c>
      <c r="O181" t="inlineStr">
        <is>
          <t>Tipo A</t>
        </is>
      </c>
      <c r="P181" t="inlineStr">
        <is>
          <t>-</t>
        </is>
      </c>
      <c r="R181" t="inlineStr">
        <is>
          <t>Aberta</t>
        </is>
      </c>
      <c r="T181" t="inlineStr">
        <is>
          <t>Jeam Moreira</t>
        </is>
      </c>
      <c r="U181" t="inlineStr">
        <is>
          <t>12/02/2026</t>
        </is>
      </c>
      <c r="V181" t="inlineStr">
        <is>
          <t>19/02/2026</t>
        </is>
      </c>
      <c r="W181">
        <v>111</v>
      </c>
      <c r="AA181" t="inlineStr">
        <is>
          <t>Aberta 90-120 dias</t>
        </is>
      </c>
    </row>
    <row r="182">
      <c r="A182">
        <v>180</v>
      </c>
      <c r="B182">
        <v>2</v>
      </c>
      <c r="C182" t="inlineStr">
        <is>
          <t>1.4B</t>
        </is>
      </c>
      <c r="D182" t="inlineStr">
        <is>
          <t>C17</t>
        </is>
      </c>
      <c r="F182" t="inlineStr">
        <is>
          <t>ATERPA</t>
        </is>
      </c>
      <c r="G182" t="inlineStr">
        <is>
          <t>CLP-007</t>
        </is>
      </c>
      <c r="H182" t="inlineStr">
        <is>
          <t>Protocolo</t>
        </is>
      </c>
      <c r="I182">
        <v>6</v>
      </c>
      <c r="J182" t="inlineStr">
        <is>
          <t>Drenagem Superficial</t>
        </is>
      </c>
      <c r="K182" t="inlineStr">
        <is>
          <t>6.1</t>
        </is>
      </c>
      <c r="L182" t="inlineStr">
        <is>
          <t>VPC</t>
        </is>
      </c>
      <c r="M182" t="inlineStr">
        <is>
          <t>Dispositivo não executado</t>
        </is>
      </c>
      <c r="N182" t="inlineStr">
        <is>
          <t>VPC não executada.</t>
        </is>
      </c>
      <c r="O182" t="inlineStr">
        <is>
          <t>Tipo A</t>
        </is>
      </c>
      <c r="P182" t="inlineStr">
        <is>
          <t xml:space="preserve"> 44+520</t>
        </is>
      </c>
      <c r="Q182" t="inlineStr">
        <is>
          <t xml:space="preserve"> 44+520</t>
        </is>
      </c>
      <c r="R182" t="inlineStr">
        <is>
          <t>Aberta</t>
        </is>
      </c>
      <c r="T182" t="inlineStr">
        <is>
          <t>Jeam Moreira</t>
        </is>
      </c>
      <c r="U182" t="inlineStr">
        <is>
          <t>12/02/2026</t>
        </is>
      </c>
      <c r="V182" t="inlineStr">
        <is>
          <t>19/02/2026</t>
        </is>
      </c>
      <c r="W182">
        <v>111</v>
      </c>
      <c r="AA182" t="inlineStr">
        <is>
          <t>Aberta 90-120 dias</t>
        </is>
      </c>
      <c r="AB182" t="inlineStr">
        <is>
          <t>GSA</t>
        </is>
      </c>
    </row>
    <row r="183">
      <c r="A183">
        <v>181</v>
      </c>
      <c r="B183">
        <v>2</v>
      </c>
      <c r="C183" t="inlineStr">
        <is>
          <t>1.4B</t>
        </is>
      </c>
      <c r="D183" t="inlineStr">
        <is>
          <t>A19</t>
        </is>
      </c>
      <c r="F183" t="inlineStr">
        <is>
          <t>ATERPA</t>
        </is>
      </c>
      <c r="G183" t="inlineStr">
        <is>
          <t>CLP-007</t>
        </is>
      </c>
      <c r="H183" t="inlineStr">
        <is>
          <t>Protocolo</t>
        </is>
      </c>
      <c r="I183">
        <v>6</v>
      </c>
      <c r="J183" t="inlineStr">
        <is>
          <t>Drenagem Superficial</t>
        </is>
      </c>
      <c r="K183" t="inlineStr">
        <is>
          <t>6.1</t>
        </is>
      </c>
      <c r="L183" t="inlineStr">
        <is>
          <t>STC</t>
        </is>
      </c>
      <c r="M183" t="inlineStr">
        <is>
          <t>Dispositivo não executado</t>
        </is>
      </c>
      <c r="N183" t="inlineStr">
        <is>
          <t>STC não executada.</t>
        </is>
      </c>
      <c r="O183" t="inlineStr">
        <is>
          <t>Tipo A</t>
        </is>
      </c>
      <c r="P183" t="inlineStr">
        <is>
          <t>43+320</t>
        </is>
      </c>
      <c r="Q183" t="inlineStr">
        <is>
          <t>43+320</t>
        </is>
      </c>
      <c r="R183" t="inlineStr">
        <is>
          <t>Aberta</t>
        </is>
      </c>
      <c r="T183" t="inlineStr">
        <is>
          <t>Jeam Moreira</t>
        </is>
      </c>
      <c r="U183" t="inlineStr">
        <is>
          <t>12/02/2026</t>
        </is>
      </c>
      <c r="V183" t="inlineStr">
        <is>
          <t>19/02/2026</t>
        </is>
      </c>
      <c r="W183">
        <v>111</v>
      </c>
      <c r="AA183" t="inlineStr">
        <is>
          <t>Aberta 90-120 dias</t>
        </is>
      </c>
      <c r="AB183" t="inlineStr">
        <is>
          <t>GSA</t>
        </is>
      </c>
    </row>
    <row r="184">
      <c r="A184">
        <v>182</v>
      </c>
      <c r="B184">
        <v>2</v>
      </c>
      <c r="C184" t="inlineStr">
        <is>
          <t>1.4B</t>
        </is>
      </c>
      <c r="D184" t="inlineStr">
        <is>
          <t>A11</t>
        </is>
      </c>
      <c r="F184" t="inlineStr">
        <is>
          <t>ATERPA</t>
        </is>
      </c>
      <c r="G184" t="inlineStr">
        <is>
          <t>CLP-007</t>
        </is>
      </c>
      <c r="H184" t="inlineStr">
        <is>
          <t>Protocolo</t>
        </is>
      </c>
      <c r="I184">
        <v>6</v>
      </c>
      <c r="J184" t="inlineStr">
        <is>
          <t>Drenagem Superficial</t>
        </is>
      </c>
      <c r="K184" t="inlineStr">
        <is>
          <t>6.1</t>
        </is>
      </c>
      <c r="L184" t="inlineStr">
        <is>
          <t>Valeta</t>
        </is>
      </c>
      <c r="M184" t="inlineStr">
        <is>
          <t>Acúmulo de água</t>
        </is>
      </c>
      <c r="N184" t="inlineStr">
        <is>
          <t>Evidenciado acúmulo de água dentro do dispositivo de drenagem, remoção de solo na lateral da plataforma que impede o curso da água para o despositvo de drenagem.</t>
        </is>
      </c>
      <c r="O184" t="inlineStr">
        <is>
          <t>Tipo A</t>
        </is>
      </c>
      <c r="P184" t="inlineStr">
        <is>
          <t>38+750</t>
        </is>
      </c>
      <c r="Q184" t="inlineStr">
        <is>
          <t>42+050</t>
        </is>
      </c>
      <c r="R184" t="inlineStr">
        <is>
          <t>Encerrado</t>
        </is>
      </c>
      <c r="T184" t="inlineStr">
        <is>
          <t>Jeam Moreira</t>
        </is>
      </c>
      <c r="U184" t="inlineStr">
        <is>
          <t>12/02/2026</t>
        </is>
      </c>
      <c r="V184" t="inlineStr">
        <is>
          <t>19/02/2026</t>
        </is>
      </c>
      <c r="W184">
        <v>111</v>
      </c>
      <c r="Y184" t="inlineStr">
        <is>
          <t>12/03/2026</t>
        </is>
      </c>
      <c r="Z184" t="inlineStr">
        <is>
          <t>Concluído</t>
        </is>
      </c>
      <c r="AA184" t="inlineStr">
        <is>
          <t>Fechada -30 dias</t>
        </is>
      </c>
    </row>
    <row r="185">
      <c r="A185">
        <v>183</v>
      </c>
      <c r="B185">
        <v>2</v>
      </c>
      <c r="C185" t="inlineStr">
        <is>
          <t>1.4B</t>
        </is>
      </c>
      <c r="D185" t="inlineStr">
        <is>
          <t>C12</t>
        </is>
      </c>
      <c r="F185" t="inlineStr">
        <is>
          <t>ATERPA</t>
        </is>
      </c>
      <c r="G185" t="inlineStr">
        <is>
          <t>CLP-007</t>
        </is>
      </c>
      <c r="H185" t="inlineStr">
        <is>
          <t>Protocolo</t>
        </is>
      </c>
      <c r="I185">
        <v>6</v>
      </c>
      <c r="J185" t="inlineStr">
        <is>
          <t>Drenagem Superficial</t>
        </is>
      </c>
      <c r="K185" t="inlineStr">
        <is>
          <t>6.1</t>
        </is>
      </c>
      <c r="M185" t="inlineStr">
        <is>
          <t>Dispositivo não executado</t>
        </is>
      </c>
      <c r="N185" t="inlineStr">
        <is>
          <t>Pendente execução de complemento de drenagem (Aberto SIT 2026_6536)</t>
        </is>
      </c>
      <c r="O185" t="inlineStr">
        <is>
          <t>Tipo A</t>
        </is>
      </c>
      <c r="P185" t="inlineStr">
        <is>
          <t>40+100</t>
        </is>
      </c>
      <c r="Q185" t="inlineStr">
        <is>
          <t>40+100</t>
        </is>
      </c>
      <c r="R185" t="inlineStr">
        <is>
          <t>Aberta</t>
        </is>
      </c>
      <c r="T185" t="inlineStr">
        <is>
          <t>Jeam Moreira</t>
        </is>
      </c>
      <c r="U185" t="inlineStr">
        <is>
          <t>12/02/2026</t>
        </is>
      </c>
      <c r="V185" t="inlineStr">
        <is>
          <t>19/02/2026</t>
        </is>
      </c>
      <c r="W185">
        <v>111</v>
      </c>
      <c r="AA185" t="inlineStr">
        <is>
          <t>Aberta 90-120 dias</t>
        </is>
      </c>
      <c r="AB185" t="inlineStr">
        <is>
          <t>GSA</t>
        </is>
      </c>
    </row>
    <row r="186">
      <c r="A186">
        <v>184</v>
      </c>
      <c r="B186">
        <v>2</v>
      </c>
      <c r="C186" t="inlineStr">
        <is>
          <t>1.4B</t>
        </is>
      </c>
      <c r="D186" t="inlineStr">
        <is>
          <t>C16</t>
        </is>
      </c>
      <c r="F186" t="inlineStr">
        <is>
          <t>ATERPA</t>
        </is>
      </c>
      <c r="G186" t="inlineStr">
        <is>
          <t>CLP-007</t>
        </is>
      </c>
      <c r="H186" t="inlineStr">
        <is>
          <t>Protocolo</t>
        </is>
      </c>
      <c r="I186">
        <v>6</v>
      </c>
      <c r="J186" t="inlineStr">
        <is>
          <t>Drenagem Superficial</t>
        </is>
      </c>
      <c r="K186" t="inlineStr">
        <is>
          <t>6.4</t>
        </is>
      </c>
      <c r="L186" t="inlineStr">
        <is>
          <t>Caixa de inspeção</t>
        </is>
      </c>
      <c r="M186" t="inlineStr">
        <is>
          <t>Acabamento do concreto</t>
        </is>
      </c>
      <c r="N186" t="inlineStr">
        <is>
          <t>Evidenciado dano na parede da caixa de inspeção dreno armação aparente, foi observado somente uma caixa do lado esquerdo, ver em projeto se são dois drenos</t>
        </is>
      </c>
      <c r="O186" t="inlineStr">
        <is>
          <t>Tipo A</t>
        </is>
      </c>
      <c r="P186" t="inlineStr">
        <is>
          <t>43+060</t>
        </is>
      </c>
      <c r="Q186" t="inlineStr">
        <is>
          <t>43+060</t>
        </is>
      </c>
      <c r="R186" t="inlineStr">
        <is>
          <t>Encerrado</t>
        </is>
      </c>
      <c r="T186" t="inlineStr">
        <is>
          <t>Jeam Moreira</t>
        </is>
      </c>
      <c r="U186" t="inlineStr">
        <is>
          <t>12/02/2026</t>
        </is>
      </c>
      <c r="V186" t="inlineStr">
        <is>
          <t>19/02/2026</t>
        </is>
      </c>
      <c r="W186">
        <v>111</v>
      </c>
      <c r="Y186" t="inlineStr">
        <is>
          <t>12/03/2026</t>
        </is>
      </c>
      <c r="Z186" t="inlineStr">
        <is>
          <t>Concluído</t>
        </is>
      </c>
      <c r="AA186" t="inlineStr">
        <is>
          <t>Fechada -30 dias</t>
        </is>
      </c>
    </row>
    <row r="187">
      <c r="A187">
        <v>185</v>
      </c>
      <c r="B187">
        <v>2</v>
      </c>
      <c r="C187" t="inlineStr">
        <is>
          <t>1.4B</t>
        </is>
      </c>
      <c r="D187" t="inlineStr">
        <is>
          <t>A11</t>
        </is>
      </c>
      <c r="F187" t="inlineStr">
        <is>
          <t>ATERPA</t>
        </is>
      </c>
      <c r="G187" t="inlineStr">
        <is>
          <t>CLP-007</t>
        </is>
      </c>
      <c r="H187" t="inlineStr">
        <is>
          <t>Fiscalização</t>
        </is>
      </c>
      <c r="I187">
        <v>6</v>
      </c>
      <c r="J187" t="inlineStr">
        <is>
          <t>Drenagem Superficial</t>
        </is>
      </c>
      <c r="K187" t="inlineStr">
        <is>
          <t>6.5</t>
        </is>
      </c>
      <c r="L187" t="inlineStr">
        <is>
          <t>DSBCC-13</t>
        </is>
      </c>
      <c r="M187" t="inlineStr">
        <is>
          <t>Acúmulo de água</t>
        </is>
      </c>
      <c r="N187" t="inlineStr">
        <is>
          <t xml:space="preserve">Jusante da OAC com acúmulo de água impossibilitando identificar a execução do DBSCC-13.
Enviar evidência de execução do dissipador de energia (DBSCC-13).</t>
        </is>
      </c>
      <c r="O187" t="inlineStr">
        <is>
          <t>Tipo A</t>
        </is>
      </c>
      <c r="P187" t="inlineStr">
        <is>
          <t>39+149</t>
        </is>
      </c>
      <c r="Q187" t="inlineStr">
        <is>
          <t>39+149</t>
        </is>
      </c>
      <c r="R187" t="inlineStr">
        <is>
          <t>Aberta</t>
        </is>
      </c>
      <c r="T187" t="inlineStr">
        <is>
          <t>Jeam Moreira</t>
        </is>
      </c>
      <c r="U187" t="inlineStr">
        <is>
          <t>12/02/2026</t>
        </is>
      </c>
      <c r="V187" t="inlineStr">
        <is>
          <t>19/02/2026</t>
        </is>
      </c>
      <c r="W187">
        <v>111</v>
      </c>
      <c r="AA187" t="inlineStr">
        <is>
          <t>Aberta 90-120 dias</t>
        </is>
      </c>
      <c r="AB187" t="inlineStr">
        <is>
          <t>GSA</t>
        </is>
      </c>
    </row>
    <row r="188">
      <c r="A188">
        <v>186</v>
      </c>
      <c r="B188">
        <v>2</v>
      </c>
      <c r="C188" t="inlineStr">
        <is>
          <t>1.4B</t>
        </is>
      </c>
      <c r="D188" t="inlineStr">
        <is>
          <t>A12</t>
        </is>
      </c>
      <c r="F188" t="inlineStr">
        <is>
          <t>ATERPA</t>
        </is>
      </c>
      <c r="G188" t="inlineStr">
        <is>
          <t>CLP-007</t>
        </is>
      </c>
      <c r="H188" t="inlineStr">
        <is>
          <t>Protocolo</t>
        </is>
      </c>
      <c r="I188">
        <v>6</v>
      </c>
      <c r="J188" t="inlineStr">
        <is>
          <t>Drenagem Superficial</t>
        </is>
      </c>
      <c r="K188" t="inlineStr">
        <is>
          <t>6.5</t>
        </is>
      </c>
      <c r="L188" t="inlineStr">
        <is>
          <t>DEB-03</t>
        </is>
      </c>
      <c r="M188" t="inlineStr">
        <is>
          <t>Acúmulo de água</t>
        </is>
      </c>
      <c r="N188" t="inlineStr">
        <is>
          <t>Jusante da OAC com acúmulo de vegetação/sedimento impossibilitando identificar a execução do DEB-03. Enviar evidência de execução do dissipador de energia (DEB-03).</t>
        </is>
      </c>
      <c r="O188" t="inlineStr">
        <is>
          <t>Tipo A</t>
        </is>
      </c>
      <c r="P188" t="inlineStr">
        <is>
          <t>200+345</t>
        </is>
      </c>
      <c r="Q188" t="inlineStr">
        <is>
          <t>200+345</t>
        </is>
      </c>
      <c r="R188" t="inlineStr">
        <is>
          <t>Encerrado</t>
        </is>
      </c>
      <c r="T188" t="inlineStr">
        <is>
          <t>Jeam Moreira</t>
        </is>
      </c>
      <c r="U188" t="inlineStr">
        <is>
          <t>12/02/2026</t>
        </is>
      </c>
      <c r="V188" t="inlineStr">
        <is>
          <t>19/02/2026</t>
        </is>
      </c>
      <c r="W188">
        <v>111</v>
      </c>
      <c r="Y188" t="inlineStr">
        <is>
          <t>12/03/2026</t>
        </is>
      </c>
      <c r="Z188" t="inlineStr">
        <is>
          <t>Concluído</t>
        </is>
      </c>
      <c r="AA188" t="inlineStr">
        <is>
          <t>Fechada -30 dias</t>
        </is>
      </c>
    </row>
    <row r="189">
      <c r="A189">
        <v>187</v>
      </c>
      <c r="B189">
        <v>2</v>
      </c>
      <c r="C189" t="inlineStr">
        <is>
          <t>1.4B</t>
        </is>
      </c>
      <c r="D189" t="inlineStr">
        <is>
          <t>A13</t>
        </is>
      </c>
      <c r="F189" t="inlineStr">
        <is>
          <t>ATERPA</t>
        </is>
      </c>
      <c r="G189" t="inlineStr">
        <is>
          <t>CLP-007</t>
        </is>
      </c>
      <c r="H189" t="inlineStr">
        <is>
          <t>Protocolo</t>
        </is>
      </c>
      <c r="I189">
        <v>6</v>
      </c>
      <c r="J189" t="inlineStr">
        <is>
          <t>Drenagem Superficial</t>
        </is>
      </c>
      <c r="K189" t="inlineStr">
        <is>
          <t>6.5</t>
        </is>
      </c>
      <c r="L189" t="inlineStr">
        <is>
          <t>DEB-03</t>
        </is>
      </c>
      <c r="M189" t="inlineStr">
        <is>
          <t>Assoreamento</t>
        </is>
      </c>
      <c r="N189" t="inlineStr">
        <is>
          <t xml:space="preserve">Jusante da OAC com acúmulo de sedimento impossibilitando identificar a execução do DEB-03.
Enviar evidência de execução do dissipador de energia (DEB-03).</t>
        </is>
      </c>
      <c r="O189" t="inlineStr">
        <is>
          <t>Tipo A</t>
        </is>
      </c>
      <c r="P189" t="inlineStr">
        <is>
          <t>40+127</t>
        </is>
      </c>
      <c r="Q189" t="inlineStr">
        <is>
          <t>40+127</t>
        </is>
      </c>
      <c r="R189" t="inlineStr">
        <is>
          <t>Aberta</t>
        </is>
      </c>
      <c r="T189" t="inlineStr">
        <is>
          <t>Jeam Moreira</t>
        </is>
      </c>
      <c r="U189" t="inlineStr">
        <is>
          <t>12/02/2026</t>
        </is>
      </c>
      <c r="V189" t="inlineStr">
        <is>
          <t>19/02/2026</t>
        </is>
      </c>
      <c r="W189">
        <v>111</v>
      </c>
      <c r="AA189" t="inlineStr">
        <is>
          <t>Aberta 90-120 dias</t>
        </is>
      </c>
      <c r="AB189" t="inlineStr">
        <is>
          <t>GSA</t>
        </is>
      </c>
    </row>
    <row r="190">
      <c r="A190">
        <v>188</v>
      </c>
      <c r="B190">
        <v>2</v>
      </c>
      <c r="C190" t="inlineStr">
        <is>
          <t>1.4B</t>
        </is>
      </c>
      <c r="D190" t="inlineStr">
        <is>
          <t>C13</t>
        </is>
      </c>
      <c r="F190" t="inlineStr">
        <is>
          <t>ATERPA</t>
        </is>
      </c>
      <c r="G190" t="inlineStr">
        <is>
          <t>CLP-007</t>
        </is>
      </c>
      <c r="H190" t="inlineStr">
        <is>
          <t>Fiscalização</t>
        </is>
      </c>
      <c r="I190">
        <v>6</v>
      </c>
      <c r="J190" t="inlineStr">
        <is>
          <t>Drenagem Superficial</t>
        </is>
      </c>
      <c r="K190" t="inlineStr">
        <is>
          <t>6.5</t>
        </is>
      </c>
      <c r="L190" t="inlineStr">
        <is>
          <t>DEB-03</t>
        </is>
      </c>
      <c r="M190" t="inlineStr">
        <is>
          <t>Assoreamento</t>
        </is>
      </c>
      <c r="N190" t="inlineStr">
        <is>
          <t xml:space="preserve">Jusante da OAC com acúmulo de sedimento impossibilitando identificar a execução do DEB-03. 
Enviar evidência de execução do dissipador de energia (DEB-03).</t>
        </is>
      </c>
      <c r="O190" t="inlineStr">
        <is>
          <t>Tipo A</t>
        </is>
      </c>
      <c r="P190" t="inlineStr">
        <is>
          <t>40+598</t>
        </is>
      </c>
      <c r="Q190" t="inlineStr">
        <is>
          <t>40+598</t>
        </is>
      </c>
      <c r="R190" t="inlineStr">
        <is>
          <t>Aberta</t>
        </is>
      </c>
      <c r="T190" t="inlineStr">
        <is>
          <t>Jeam Moreira</t>
        </is>
      </c>
      <c r="U190" t="inlineStr">
        <is>
          <t>12/02/2026</t>
        </is>
      </c>
      <c r="V190" t="inlineStr">
        <is>
          <t>19/02/2026</t>
        </is>
      </c>
      <c r="W190">
        <v>111</v>
      </c>
      <c r="AA190" t="inlineStr">
        <is>
          <t>Aberta 90-120 dias</t>
        </is>
      </c>
      <c r="AB190" t="inlineStr">
        <is>
          <t>GSA</t>
        </is>
      </c>
    </row>
    <row r="191">
      <c r="A191">
        <v>189</v>
      </c>
      <c r="B191">
        <v>2</v>
      </c>
      <c r="C191" t="inlineStr">
        <is>
          <t>1.4B</t>
        </is>
      </c>
      <c r="D191" t="inlineStr">
        <is>
          <t>C14</t>
        </is>
      </c>
      <c r="F191" t="inlineStr">
        <is>
          <t>ATERPA</t>
        </is>
      </c>
      <c r="G191" t="inlineStr">
        <is>
          <t>CLP-007</t>
        </is>
      </c>
      <c r="H191" t="inlineStr">
        <is>
          <t>Fiscalização</t>
        </is>
      </c>
      <c r="I191">
        <v>6</v>
      </c>
      <c r="J191" t="inlineStr">
        <is>
          <t>Drenagem Superficial</t>
        </is>
      </c>
      <c r="K191" t="inlineStr">
        <is>
          <t>6.5</t>
        </is>
      </c>
      <c r="L191" t="inlineStr">
        <is>
          <t>DEB-06</t>
        </is>
      </c>
      <c r="M191" t="inlineStr">
        <is>
          <t>Assoreamento</t>
        </is>
      </c>
      <c r="N191" t="inlineStr">
        <is>
          <t xml:space="preserve">Jusante da OAC com acúmulo de sedimento impossibilitando identificar a execução do DEB-06. 
Enviar evidência de execução do dissipador de energia (DEB-06).</t>
        </is>
      </c>
      <c r="O191" t="inlineStr">
        <is>
          <t>Tipo A</t>
        </is>
      </c>
      <c r="P191" t="inlineStr">
        <is>
          <t>40+838</t>
        </is>
      </c>
      <c r="Q191" t="inlineStr">
        <is>
          <t>40+838</t>
        </is>
      </c>
      <c r="R191" t="inlineStr">
        <is>
          <t>Encerrado</t>
        </is>
      </c>
      <c r="T191" t="inlineStr">
        <is>
          <t>Jeam Moreira</t>
        </is>
      </c>
      <c r="U191" t="inlineStr">
        <is>
          <t>12/02/2026</t>
        </is>
      </c>
      <c r="V191" t="inlineStr">
        <is>
          <t>19/02/2026</t>
        </is>
      </c>
      <c r="W191">
        <v>111</v>
      </c>
      <c r="Y191" t="inlineStr">
        <is>
          <t>12/03/2026</t>
        </is>
      </c>
      <c r="Z191" t="inlineStr">
        <is>
          <t>Concluído</t>
        </is>
      </c>
      <c r="AA191" t="inlineStr">
        <is>
          <t>Fechada -30 dias</t>
        </is>
      </c>
    </row>
    <row r="192">
      <c r="A192">
        <v>190</v>
      </c>
      <c r="B192">
        <v>2</v>
      </c>
      <c r="C192" t="inlineStr">
        <is>
          <t>1.4B</t>
        </is>
      </c>
      <c r="D192" t="inlineStr">
        <is>
          <t>A16</t>
        </is>
      </c>
      <c r="F192" t="inlineStr">
        <is>
          <t>ATERPA</t>
        </is>
      </c>
      <c r="G192" t="inlineStr">
        <is>
          <t>CLP-007</t>
        </is>
      </c>
      <c r="H192" t="inlineStr">
        <is>
          <t>Fiscalização</t>
        </is>
      </c>
      <c r="I192">
        <v>6</v>
      </c>
      <c r="J192" t="inlineStr">
        <is>
          <t>Drenagem Superficial</t>
        </is>
      </c>
      <c r="K192" t="inlineStr">
        <is>
          <t>6.5</t>
        </is>
      </c>
      <c r="L192" t="inlineStr">
        <is>
          <t>DEB-07</t>
        </is>
      </c>
      <c r="M192" t="inlineStr">
        <is>
          <t>Assoreamento</t>
        </is>
      </c>
      <c r="N192" t="inlineStr">
        <is>
          <t xml:space="preserve">Jusante da OAC com acúmulo de água/sedimento impossibilitando identificar a execução do DEB-07.
Enviar evidência de execução do dissipador de energia (DEB-07).</t>
        </is>
      </c>
      <c r="O192" t="inlineStr">
        <is>
          <t>Tipo A</t>
        </is>
      </c>
      <c r="P192" t="inlineStr">
        <is>
          <t>41+134</t>
        </is>
      </c>
      <c r="Q192" t="inlineStr">
        <is>
          <t>41+134</t>
        </is>
      </c>
      <c r="R192" t="inlineStr">
        <is>
          <t>Aberta</t>
        </is>
      </c>
      <c r="T192" t="inlineStr">
        <is>
          <t>Jeam Moreira</t>
        </is>
      </c>
      <c r="U192" t="inlineStr">
        <is>
          <t>12/02/2026</t>
        </is>
      </c>
      <c r="V192" t="inlineStr">
        <is>
          <t>19/02/2026</t>
        </is>
      </c>
      <c r="W192">
        <v>111</v>
      </c>
      <c r="AA192" t="inlineStr">
        <is>
          <t>Aberta 90-120 dias</t>
        </is>
      </c>
      <c r="AB192" t="inlineStr">
        <is>
          <t>GSA</t>
        </is>
      </c>
    </row>
    <row r="193">
      <c r="A193">
        <v>191</v>
      </c>
      <c r="B193">
        <v>2</v>
      </c>
      <c r="C193" t="inlineStr">
        <is>
          <t>1.4B</t>
        </is>
      </c>
      <c r="D193" t="inlineStr">
        <is>
          <t>A19</t>
        </is>
      </c>
      <c r="F193" t="inlineStr">
        <is>
          <t>ATERPA</t>
        </is>
      </c>
      <c r="G193" t="inlineStr">
        <is>
          <t>CLP-007</t>
        </is>
      </c>
      <c r="H193" t="inlineStr">
        <is>
          <t>Protocolo</t>
        </is>
      </c>
      <c r="I193">
        <v>6</v>
      </c>
      <c r="J193" t="inlineStr">
        <is>
          <t>Drenagem Superficial</t>
        </is>
      </c>
      <c r="K193" t="inlineStr">
        <is>
          <t>6.5</t>
        </is>
      </c>
      <c r="L193" t="inlineStr">
        <is>
          <t>DBSCC-06</t>
        </is>
      </c>
      <c r="M193" t="inlineStr">
        <is>
          <t>Assoreamento</t>
        </is>
      </c>
      <c r="N193" t="inlineStr">
        <is>
          <t xml:space="preserve">Jusante da OAC com acúmulo de água impossibilitando identificar a execução do DBSCC-06.
Enviar evidência de execução do dissipador de energia (DBSCC-06).</t>
        </is>
      </c>
      <c r="O193" t="inlineStr">
        <is>
          <t>Tipo A</t>
        </is>
      </c>
      <c r="P193" t="inlineStr">
        <is>
          <t>43+469</t>
        </is>
      </c>
      <c r="Q193" t="inlineStr">
        <is>
          <t>43+469</t>
        </is>
      </c>
      <c r="R193" t="inlineStr">
        <is>
          <t>Aberta</t>
        </is>
      </c>
      <c r="T193" t="inlineStr">
        <is>
          <t>Jeam Moreira</t>
        </is>
      </c>
      <c r="U193" t="inlineStr">
        <is>
          <t>12/02/2026</t>
        </is>
      </c>
      <c r="V193" t="inlineStr">
        <is>
          <t>19/02/2026</t>
        </is>
      </c>
      <c r="W193">
        <v>111</v>
      </c>
      <c r="AA193" t="inlineStr">
        <is>
          <t>Aberta 90-120 dias</t>
        </is>
      </c>
      <c r="AB193" t="inlineStr">
        <is>
          <t>GSA</t>
        </is>
      </c>
    </row>
    <row r="194">
      <c r="A194">
        <v>192</v>
      </c>
      <c r="B194">
        <v>2</v>
      </c>
      <c r="C194" t="inlineStr">
        <is>
          <t>1.4B</t>
        </is>
      </c>
      <c r="D194" t="inlineStr">
        <is>
          <t>A13</t>
        </is>
      </c>
      <c r="E194" t="inlineStr">
        <is>
          <t>LE/LD</t>
        </is>
      </c>
      <c r="F194" t="inlineStr">
        <is>
          <t>ATERPA</t>
        </is>
      </c>
      <c r="G194" t="inlineStr">
        <is>
          <t>CLP-007</t>
        </is>
      </c>
      <c r="H194" t="inlineStr">
        <is>
          <t>Protocolo</t>
        </is>
      </c>
      <c r="I194">
        <v>6</v>
      </c>
      <c r="J194" t="inlineStr">
        <is>
          <t>Drenagem Superficial</t>
        </is>
      </c>
      <c r="K194" t="inlineStr">
        <is>
          <t>6.6</t>
        </is>
      </c>
      <c r="L194" t="inlineStr">
        <is>
          <t>(PG)Passagem de Gado</t>
        </is>
      </c>
      <c r="M194" t="inlineStr">
        <is>
          <t>Erosões</t>
        </is>
      </c>
      <c r="N194" t="inlineStr">
        <is>
          <t>Erosão na laterial e pós despositivo de drenagem, material carreando e criando erosão nna passagem de gado da PG no KM 40+137</t>
        </is>
      </c>
      <c r="O194" t="inlineStr">
        <is>
          <t>Tipo A</t>
        </is>
      </c>
      <c r="P194" t="inlineStr">
        <is>
          <t>40+145</t>
        </is>
      </c>
      <c r="Q194" t="inlineStr">
        <is>
          <t>44+590</t>
        </is>
      </c>
      <c r="R194" t="inlineStr">
        <is>
          <t>Aberta</t>
        </is>
      </c>
      <c r="T194" t="inlineStr">
        <is>
          <t>Jeam Moreira</t>
        </is>
      </c>
      <c r="U194" t="inlineStr">
        <is>
          <t>12/02/2026</t>
        </is>
      </c>
      <c r="V194" t="inlineStr">
        <is>
          <t>19/02/2026</t>
        </is>
      </c>
      <c r="W194">
        <v>111</v>
      </c>
      <c r="AA194" t="inlineStr">
        <is>
          <t>Aberta 90-120 dias</t>
        </is>
      </c>
      <c r="AB194" t="inlineStr">
        <is>
          <t>GSA</t>
        </is>
      </c>
    </row>
    <row r="195">
      <c r="A195">
        <v>193</v>
      </c>
      <c r="B195">
        <v>2</v>
      </c>
      <c r="C195" t="inlineStr">
        <is>
          <t>1.4B</t>
        </is>
      </c>
      <c r="D195" t="inlineStr">
        <is>
          <t>A16</t>
        </is>
      </c>
      <c r="E195" t="inlineStr">
        <is>
          <t>LE</t>
        </is>
      </c>
      <c r="F195" t="inlineStr">
        <is>
          <t>ATERPA</t>
        </is>
      </c>
      <c r="G195" t="inlineStr">
        <is>
          <t>CLP-007</t>
        </is>
      </c>
      <c r="H195" t="inlineStr">
        <is>
          <t>Protocolo</t>
        </is>
      </c>
      <c r="I195">
        <v>6</v>
      </c>
      <c r="J195" t="inlineStr">
        <is>
          <t>Drenagem Superficial</t>
        </is>
      </c>
      <c r="K195" t="inlineStr">
        <is>
          <t>6.7</t>
        </is>
      </c>
      <c r="L195" t="inlineStr">
        <is>
          <t>DRA</t>
        </is>
      </c>
      <c r="M195" t="inlineStr">
        <is>
          <t>Tratamento de junta</t>
        </is>
      </c>
      <c r="N195" t="inlineStr">
        <is>
          <t>Tratamento de junta de concretagem DRA.</t>
        </is>
      </c>
      <c r="O195" t="inlineStr">
        <is>
          <t>Tipo A</t>
        </is>
      </c>
      <c r="P195" t="inlineStr">
        <is>
          <t>41+260</t>
        </is>
      </c>
      <c r="Q195" t="inlineStr">
        <is>
          <t>41+260</t>
        </is>
      </c>
      <c r="R195" t="inlineStr">
        <is>
          <t>Aberta</t>
        </is>
      </c>
      <c r="T195" t="inlineStr">
        <is>
          <t>Jeam Moreira</t>
        </is>
      </c>
      <c r="U195" t="inlineStr">
        <is>
          <t>12/02/2026</t>
        </is>
      </c>
      <c r="V195" t="inlineStr">
        <is>
          <t>19/02/2026</t>
        </is>
      </c>
      <c r="W195">
        <v>111</v>
      </c>
      <c r="AA195" t="inlineStr">
        <is>
          <t>Aberta 90-120 dias</t>
        </is>
      </c>
      <c r="AB195" t="inlineStr">
        <is>
          <t>GSA</t>
        </is>
      </c>
    </row>
    <row r="196">
      <c r="A196">
        <v>194</v>
      </c>
      <c r="B196">
        <v>2</v>
      </c>
      <c r="C196" t="inlineStr">
        <is>
          <t>1.4B</t>
        </is>
      </c>
      <c r="D196" t="inlineStr">
        <is>
          <t>A10</t>
        </is>
      </c>
      <c r="E196" t="inlineStr">
        <is>
          <t>LE/LD</t>
        </is>
      </c>
      <c r="F196" t="inlineStr">
        <is>
          <t>ATERPA</t>
        </is>
      </c>
      <c r="G196" t="inlineStr">
        <is>
          <t>CLP-007</t>
        </is>
      </c>
      <c r="H196" t="inlineStr">
        <is>
          <t>Protocolo</t>
        </is>
      </c>
      <c r="I196">
        <v>6</v>
      </c>
      <c r="J196" t="inlineStr">
        <is>
          <t>Drenagem Superficial</t>
        </is>
      </c>
      <c r="K196" t="inlineStr">
        <is>
          <t>6.7</t>
        </is>
      </c>
      <c r="L196" t="inlineStr">
        <is>
          <t>Drenagem</t>
        </is>
      </c>
      <c r="M196" t="inlineStr">
        <is>
          <t>Tratamento de junta</t>
        </is>
      </c>
      <c r="N196" t="inlineStr">
        <is>
          <t>Evidenciado pendência de tratamento de  trincas e tratamento de junta</t>
        </is>
      </c>
      <c r="O196" t="inlineStr">
        <is>
          <t>Tipo A</t>
        </is>
      </c>
      <c r="P196" t="inlineStr">
        <is>
          <t>38+100</t>
        </is>
      </c>
      <c r="Q196" t="inlineStr">
        <is>
          <t>45+860</t>
        </is>
      </c>
      <c r="R196" t="inlineStr">
        <is>
          <t>Aberta</t>
        </is>
      </c>
      <c r="T196" t="inlineStr">
        <is>
          <t>Jeam Moreira</t>
        </is>
      </c>
      <c r="U196" t="inlineStr">
        <is>
          <t>12/02/2026</t>
        </is>
      </c>
      <c r="V196" t="inlineStr">
        <is>
          <t>19/02/2026</t>
        </is>
      </c>
      <c r="W196">
        <v>111</v>
      </c>
      <c r="AA196" t="inlineStr">
        <is>
          <t>Aberta 90-120 dias</t>
        </is>
      </c>
      <c r="AB196" t="inlineStr">
        <is>
          <t>GSA</t>
        </is>
      </c>
    </row>
    <row r="197">
      <c r="A197">
        <v>195</v>
      </c>
      <c r="B197">
        <v>2</v>
      </c>
      <c r="C197" t="inlineStr">
        <is>
          <t>1.4B</t>
        </is>
      </c>
      <c r="D197" t="inlineStr">
        <is>
          <t>A19</t>
        </is>
      </c>
      <c r="E197" t="inlineStr">
        <is>
          <t>LE/LD</t>
        </is>
      </c>
      <c r="F197" t="inlineStr">
        <is>
          <t>ATERPA</t>
        </is>
      </c>
      <c r="G197" t="inlineStr">
        <is>
          <t>CLP-007</t>
        </is>
      </c>
      <c r="H197" t="inlineStr">
        <is>
          <t>Protocolo</t>
        </is>
      </c>
      <c r="I197">
        <v>6</v>
      </c>
      <c r="J197" t="inlineStr">
        <is>
          <t>Drenagem Superficial</t>
        </is>
      </c>
      <c r="K197" t="inlineStr">
        <is>
          <t>6.7</t>
        </is>
      </c>
      <c r="L197" t="inlineStr">
        <is>
          <t>Drenagem</t>
        </is>
      </c>
      <c r="M197" t="inlineStr">
        <is>
          <t>Acabamento do concreto</t>
        </is>
      </c>
      <c r="N197" t="inlineStr">
        <is>
          <t>Dano por equipamento no início do dispositivo de drenagem</t>
        </is>
      </c>
      <c r="O197" t="inlineStr">
        <is>
          <t>Tipo A</t>
        </is>
      </c>
      <c r="P197" t="inlineStr">
        <is>
          <t>43+360</t>
        </is>
      </c>
      <c r="Q197" t="inlineStr">
        <is>
          <t>43+550</t>
        </is>
      </c>
      <c r="R197" t="inlineStr">
        <is>
          <t>Encerrado</t>
        </is>
      </c>
      <c r="T197" t="inlineStr">
        <is>
          <t>Jeam Moreira</t>
        </is>
      </c>
      <c r="U197" t="inlineStr">
        <is>
          <t>12/02/2026</t>
        </is>
      </c>
      <c r="V197" t="inlineStr">
        <is>
          <t>19/02/2026</t>
        </is>
      </c>
      <c r="W197">
        <v>111</v>
      </c>
      <c r="Y197" t="inlineStr">
        <is>
          <t>12/03/2026</t>
        </is>
      </c>
      <c r="Z197" t="inlineStr">
        <is>
          <t>Concluído</t>
        </is>
      </c>
      <c r="AA197" t="inlineStr">
        <is>
          <t>Fechada -30 dias</t>
        </is>
      </c>
    </row>
    <row r="198">
      <c r="A198">
        <v>196</v>
      </c>
      <c r="B198">
        <v>2</v>
      </c>
      <c r="C198" t="inlineStr">
        <is>
          <t>1.4B</t>
        </is>
      </c>
      <c r="D198" t="inlineStr">
        <is>
          <t>A10</t>
        </is>
      </c>
      <c r="E198" t="inlineStr">
        <is>
          <t>LE/LD</t>
        </is>
      </c>
      <c r="F198" t="inlineStr">
        <is>
          <t>ATERPA</t>
        </is>
      </c>
      <c r="G198" t="inlineStr">
        <is>
          <t>CLP-015</t>
        </is>
      </c>
      <c r="H198" t="inlineStr">
        <is>
          <t>Protocolo</t>
        </is>
      </c>
      <c r="I198">
        <v>6</v>
      </c>
      <c r="J198" t="inlineStr">
        <is>
          <t>Drenagem Superficial</t>
        </is>
      </c>
      <c r="K198" t="inlineStr">
        <is>
          <t>6.8</t>
        </is>
      </c>
      <c r="L198" t="inlineStr">
        <is>
          <t>Drenagem</t>
        </is>
      </c>
      <c r="M198" t="inlineStr">
        <is>
          <t>Tratamento de junta</t>
        </is>
      </c>
      <c r="N198" t="inlineStr">
        <is>
          <t>Evidenciado pendência de tratamento de  trincas e tratamento de junta.</t>
        </is>
      </c>
      <c r="O198" t="inlineStr">
        <is>
          <t>Tipo A</t>
        </is>
      </c>
      <c r="P198" t="inlineStr">
        <is>
          <t>38+100</t>
        </is>
      </c>
      <c r="Q198" t="inlineStr">
        <is>
          <t>45+860</t>
        </is>
      </c>
      <c r="R198" t="inlineStr">
        <is>
          <t>Aberta</t>
        </is>
      </c>
      <c r="T198" t="inlineStr">
        <is>
          <t>Jeam Moreira</t>
        </is>
      </c>
      <c r="U198" t="inlineStr">
        <is>
          <t>12/02/2026</t>
        </is>
      </c>
      <c r="V198" t="inlineStr">
        <is>
          <t>19/02/2026</t>
        </is>
      </c>
      <c r="W198">
        <v>111</v>
      </c>
      <c r="AA198" t="inlineStr">
        <is>
          <t>Aberta 90-120 dias</t>
        </is>
      </c>
      <c r="AB198" t="inlineStr">
        <is>
          <t>GSA</t>
        </is>
      </c>
    </row>
    <row r="199">
      <c r="A199">
        <v>197</v>
      </c>
      <c r="B199">
        <v>2</v>
      </c>
      <c r="C199" t="inlineStr">
        <is>
          <t>1.4B</t>
        </is>
      </c>
      <c r="D199" t="inlineStr">
        <is>
          <t>A10</t>
        </is>
      </c>
      <c r="F199" t="inlineStr">
        <is>
          <t>ATERPA</t>
        </is>
      </c>
      <c r="G199" t="inlineStr">
        <is>
          <t>CLP-007</t>
        </is>
      </c>
      <c r="H199" t="inlineStr">
        <is>
          <t>Fiscalização</t>
        </is>
      </c>
      <c r="I199">
        <v>6</v>
      </c>
      <c r="J199" t="inlineStr">
        <is>
          <t>Drenagem Superficial</t>
        </is>
      </c>
      <c r="K199" t="inlineStr">
        <is>
          <t>6.10</t>
        </is>
      </c>
      <c r="L199" t="inlineStr">
        <is>
          <t>Drenagem</t>
        </is>
      </c>
      <c r="M199" t="inlineStr">
        <is>
          <t>Assoreamento</t>
        </is>
      </c>
      <c r="N199" t="inlineStr">
        <is>
          <t>Limpeza de dispositivo de drenagem</t>
        </is>
      </c>
      <c r="O199" t="inlineStr">
        <is>
          <t>Tipo A</t>
        </is>
      </c>
      <c r="P199" t="inlineStr">
        <is>
          <t>38+100</t>
        </is>
      </c>
      <c r="Q199" t="inlineStr">
        <is>
          <t>45+800</t>
        </is>
      </c>
      <c r="R199" t="inlineStr">
        <is>
          <t>Aberta</t>
        </is>
      </c>
      <c r="T199" t="inlineStr">
        <is>
          <t>Jeam Moreira</t>
        </is>
      </c>
      <c r="U199" t="inlineStr">
        <is>
          <t>12/02/2026</t>
        </is>
      </c>
      <c r="V199" t="inlineStr">
        <is>
          <t>19/02/2026</t>
        </is>
      </c>
      <c r="W199">
        <v>111</v>
      </c>
      <c r="AA199" t="inlineStr">
        <is>
          <t>Aberta 90-120 dias</t>
        </is>
      </c>
      <c r="AB199" t="inlineStr">
        <is>
          <t>GSA</t>
        </is>
      </c>
    </row>
    <row r="200">
      <c r="A200">
        <v>198</v>
      </c>
      <c r="B200">
        <v>2</v>
      </c>
      <c r="C200" t="inlineStr">
        <is>
          <t>1.4B</t>
        </is>
      </c>
      <c r="D200" t="inlineStr">
        <is>
          <t>Geral</t>
        </is>
      </c>
      <c r="E200" t="inlineStr">
        <is>
          <t>LE/LD</t>
        </is>
      </c>
      <c r="F200" t="inlineStr">
        <is>
          <t>ATERPA</t>
        </is>
      </c>
      <c r="G200" t="inlineStr">
        <is>
          <t>CLP-007</t>
        </is>
      </c>
      <c r="H200" t="inlineStr">
        <is>
          <t>Protocolo</t>
        </is>
      </c>
      <c r="I200">
        <v>6</v>
      </c>
      <c r="J200" t="inlineStr">
        <is>
          <t>Drenagem Superficial</t>
        </is>
      </c>
      <c r="K200" t="inlineStr">
        <is>
          <t>6.14</t>
        </is>
      </c>
      <c r="L200" t="inlineStr">
        <is>
          <t>Drenagem</t>
        </is>
      </c>
      <c r="M200" t="inlineStr">
        <is>
          <t>Documental</t>
        </is>
      </c>
      <c r="N200" t="inlineStr">
        <is>
          <t>Não apresentado o As Built</t>
        </is>
      </c>
      <c r="O200" t="inlineStr">
        <is>
          <t>Tipo A</t>
        </is>
      </c>
      <c r="P200" t="inlineStr">
        <is>
          <t>38+100</t>
        </is>
      </c>
      <c r="Q200" t="inlineStr">
        <is>
          <t>45+800</t>
        </is>
      </c>
      <c r="R200" t="inlineStr">
        <is>
          <t>Aberta</t>
        </is>
      </c>
      <c r="T200" t="inlineStr">
        <is>
          <t>Jeam Moreira</t>
        </is>
      </c>
      <c r="U200" t="inlineStr">
        <is>
          <t>12/02/2026</t>
        </is>
      </c>
      <c r="V200" t="inlineStr">
        <is>
          <t>19/02/2026</t>
        </is>
      </c>
      <c r="W200">
        <v>111</v>
      </c>
      <c r="AA200" t="inlineStr">
        <is>
          <t>Aberta 90-120 dias</t>
        </is>
      </c>
      <c r="AB200" t="inlineStr">
        <is>
          <t>ATERPA</t>
        </is>
      </c>
    </row>
    <row r="201">
      <c r="A201">
        <v>199</v>
      </c>
      <c r="B201">
        <v>1</v>
      </c>
      <c r="C201" t="inlineStr">
        <is>
          <t>1.1</t>
        </is>
      </c>
      <c r="D201" t="inlineStr">
        <is>
          <t>C02</t>
        </is>
      </c>
      <c r="E201" t="inlineStr">
        <is>
          <t>LD</t>
        </is>
      </c>
      <c r="F201" t="inlineStr">
        <is>
          <t>GSA</t>
        </is>
      </c>
      <c r="G201" t="inlineStr">
        <is>
          <t>CLP-008</t>
        </is>
      </c>
      <c r="H201" t="inlineStr">
        <is>
          <t>Protocolo</t>
        </is>
      </c>
      <c r="I201">
        <v>6</v>
      </c>
      <c r="J201" t="inlineStr">
        <is>
          <t>Drenagem Superficial</t>
        </is>
      </c>
      <c r="K201" t="inlineStr">
        <is>
          <t>6.1</t>
        </is>
      </c>
      <c r="L201" t="inlineStr">
        <is>
          <t>EDA 01</t>
        </is>
      </c>
      <c r="M201" t="inlineStr">
        <is>
          <t>Execuçao divergente do projeto</t>
        </is>
      </c>
      <c r="N201" t="inlineStr">
        <is>
          <t>Foi observado que a EDA 01 foi executada fora do padrão PE-B-018. Evidenciado trincas e fissuras na entrada da EDA-1.</t>
        </is>
      </c>
      <c r="O201" t="inlineStr">
        <is>
          <t>Tipo A</t>
        </is>
      </c>
      <c r="P201" t="inlineStr">
        <is>
          <t>0+480</t>
        </is>
      </c>
      <c r="Q201" t="inlineStr">
        <is>
          <t>0+480</t>
        </is>
      </c>
      <c r="R201" t="inlineStr">
        <is>
          <t>Encerrado</t>
        </is>
      </c>
      <c r="T201" t="inlineStr">
        <is>
          <t>Aline Batista</t>
        </is>
      </c>
      <c r="U201" t="inlineStr">
        <is>
          <t>10/02/2026</t>
        </is>
      </c>
      <c r="V201" t="inlineStr">
        <is>
          <t>17/02/2026</t>
        </is>
      </c>
      <c r="W201">
        <v>113</v>
      </c>
      <c r="Y201" t="inlineStr">
        <is>
          <t>27/02/2026</t>
        </is>
      </c>
      <c r="Z201" t="inlineStr">
        <is>
          <t>Concluído</t>
        </is>
      </c>
      <c r="AA201" t="inlineStr">
        <is>
          <t>Fechada -30 dias</t>
        </is>
      </c>
    </row>
    <row r="202">
      <c r="A202">
        <v>200</v>
      </c>
      <c r="B202">
        <v>1</v>
      </c>
      <c r="C202" t="inlineStr">
        <is>
          <t>1.1</t>
        </is>
      </c>
      <c r="D202" t="inlineStr">
        <is>
          <t>A20</t>
        </is>
      </c>
      <c r="E202" t="inlineStr">
        <is>
          <t>LD</t>
        </is>
      </c>
      <c r="F202" t="inlineStr">
        <is>
          <t>GSA</t>
        </is>
      </c>
      <c r="G202" t="inlineStr">
        <is>
          <t>CLP-008</t>
        </is>
      </c>
      <c r="H202" t="inlineStr">
        <is>
          <t>Protocolo</t>
        </is>
      </c>
      <c r="I202">
        <v>6</v>
      </c>
      <c r="J202" t="inlineStr">
        <is>
          <t>Drenagem Superficial</t>
        </is>
      </c>
      <c r="K202" t="inlineStr">
        <is>
          <t>6.1</t>
        </is>
      </c>
      <c r="L202" t="inlineStr">
        <is>
          <t>EDA 01</t>
        </is>
      </c>
      <c r="M202" t="inlineStr">
        <is>
          <t>Execuçao divergente do projeto</t>
        </is>
      </c>
      <c r="N202" t="inlineStr">
        <is>
          <t xml:space="preserve"> Foi observado que a EDA 01 foi executada fora do padrão PE-B-018.</t>
        </is>
      </c>
      <c r="O202" t="inlineStr">
        <is>
          <t>Tipo A</t>
        </is>
      </c>
      <c r="P202" t="inlineStr">
        <is>
          <t>7+530</t>
        </is>
      </c>
      <c r="Q202" t="inlineStr">
        <is>
          <t>7+530</t>
        </is>
      </c>
      <c r="R202" t="inlineStr">
        <is>
          <t>Encerrado</t>
        </is>
      </c>
      <c r="T202" t="inlineStr">
        <is>
          <t>Aline Batista</t>
        </is>
      </c>
      <c r="U202" t="inlineStr">
        <is>
          <t>10/02/2026</t>
        </is>
      </c>
      <c r="V202" t="inlineStr">
        <is>
          <t>17/02/2026</t>
        </is>
      </c>
      <c r="W202">
        <v>113</v>
      </c>
      <c r="Y202" t="inlineStr">
        <is>
          <t>03/03/2026</t>
        </is>
      </c>
      <c r="Z202" t="inlineStr">
        <is>
          <t>Concluído</t>
        </is>
      </c>
      <c r="AA202" t="inlineStr">
        <is>
          <t>Fechada -30 dias</t>
        </is>
      </c>
    </row>
    <row r="203">
      <c r="A203">
        <v>201</v>
      </c>
      <c r="B203">
        <v>1</v>
      </c>
      <c r="C203" t="inlineStr">
        <is>
          <t>1.1</t>
        </is>
      </c>
      <c r="D203" t="inlineStr">
        <is>
          <t>A20</t>
        </is>
      </c>
      <c r="E203" t="inlineStr">
        <is>
          <t>LD</t>
        </is>
      </c>
      <c r="F203" t="inlineStr">
        <is>
          <t>GSA</t>
        </is>
      </c>
      <c r="G203" t="inlineStr">
        <is>
          <t>CLP-008</t>
        </is>
      </c>
      <c r="H203" t="inlineStr">
        <is>
          <t>Protocolo</t>
        </is>
      </c>
      <c r="I203">
        <v>6</v>
      </c>
      <c r="J203" t="inlineStr">
        <is>
          <t>Drenagem Superficial</t>
        </is>
      </c>
      <c r="K203" t="inlineStr">
        <is>
          <t>6.1</t>
        </is>
      </c>
      <c r="L203" t="inlineStr">
        <is>
          <t>EDA 01</t>
        </is>
      </c>
      <c r="M203" t="inlineStr">
        <is>
          <t>Execuçao divergente do projeto</t>
        </is>
      </c>
      <c r="N203" t="inlineStr">
        <is>
          <t xml:space="preserve"> Foi observado que a EDA 01 foi executada fora do padrão PE-B-018.</t>
        </is>
      </c>
      <c r="O203" t="inlineStr">
        <is>
          <t>Tipo A</t>
        </is>
      </c>
      <c r="P203" t="inlineStr">
        <is>
          <t>7+530</t>
        </is>
      </c>
      <c r="Q203" t="inlineStr">
        <is>
          <t>7+530</t>
        </is>
      </c>
      <c r="R203" t="inlineStr">
        <is>
          <t>Encerrado</t>
        </is>
      </c>
      <c r="T203" t="inlineStr">
        <is>
          <t>Aline Batista</t>
        </is>
      </c>
      <c r="U203" t="inlineStr">
        <is>
          <t>10/02/2026</t>
        </is>
      </c>
      <c r="V203" t="inlineStr">
        <is>
          <t>17/02/2026</t>
        </is>
      </c>
      <c r="W203">
        <v>113</v>
      </c>
      <c r="Y203" t="inlineStr">
        <is>
          <t>08/05/2026</t>
        </is>
      </c>
      <c r="Z203" t="inlineStr">
        <is>
          <t>Concluído</t>
        </is>
      </c>
      <c r="AA203" t="inlineStr">
        <is>
          <t>Fechada 60-90 dias</t>
        </is>
      </c>
    </row>
    <row r="204">
      <c r="A204">
        <v>202</v>
      </c>
      <c r="B204">
        <v>1</v>
      </c>
      <c r="C204" t="inlineStr">
        <is>
          <t>1.1</t>
        </is>
      </c>
      <c r="D204" t="inlineStr">
        <is>
          <t>A20</t>
        </is>
      </c>
      <c r="E204" t="inlineStr">
        <is>
          <t>LE</t>
        </is>
      </c>
      <c r="F204" t="inlineStr">
        <is>
          <t>GSA</t>
        </is>
      </c>
      <c r="G204" t="inlineStr">
        <is>
          <t>CLP-008</t>
        </is>
      </c>
      <c r="H204" t="inlineStr">
        <is>
          <t>Protocolo</t>
        </is>
      </c>
      <c r="I204">
        <v>6</v>
      </c>
      <c r="J204" t="inlineStr">
        <is>
          <t>Drenagem Superficial</t>
        </is>
      </c>
      <c r="K204" t="inlineStr">
        <is>
          <t>6.1</t>
        </is>
      </c>
      <c r="L204" t="inlineStr">
        <is>
          <t>EDA 01</t>
        </is>
      </c>
      <c r="M204" t="inlineStr">
        <is>
          <t>Dispositivo não executado</t>
        </is>
      </c>
      <c r="N204" t="inlineStr">
        <is>
          <t>Evidenciado falta de conclusão da EDA 01, observar o tipo EDA em projeto.</t>
        </is>
      </c>
      <c r="O204" t="inlineStr">
        <is>
          <t>Tipo A</t>
        </is>
      </c>
      <c r="P204" t="inlineStr">
        <is>
          <t>7+575</t>
        </is>
      </c>
      <c r="Q204" t="inlineStr">
        <is>
          <t>7+575</t>
        </is>
      </c>
      <c r="R204" t="inlineStr">
        <is>
          <t>Encerrado</t>
        </is>
      </c>
      <c r="T204" t="inlineStr">
        <is>
          <t>Aline Batista</t>
        </is>
      </c>
      <c r="U204" t="inlineStr">
        <is>
          <t>10/02/2026</t>
        </is>
      </c>
      <c r="V204" t="inlineStr">
        <is>
          <t>17/02/2026</t>
        </is>
      </c>
      <c r="W204">
        <v>113</v>
      </c>
      <c r="Y204" t="inlineStr">
        <is>
          <t>08/05/2026</t>
        </is>
      </c>
      <c r="Z204" t="inlineStr">
        <is>
          <t>Concluído</t>
        </is>
      </c>
      <c r="AA204" t="inlineStr">
        <is>
          <t>Fechada 60-90 dias</t>
        </is>
      </c>
    </row>
    <row r="205">
      <c r="A205">
        <v>203</v>
      </c>
      <c r="B205">
        <v>1</v>
      </c>
      <c r="C205" t="inlineStr">
        <is>
          <t>1.1</t>
        </is>
      </c>
      <c r="D205" t="inlineStr">
        <is>
          <t>C17</t>
        </is>
      </c>
      <c r="E205" t="inlineStr">
        <is>
          <t>LE</t>
        </is>
      </c>
      <c r="F205" t="inlineStr">
        <is>
          <t>GSA</t>
        </is>
      </c>
      <c r="G205" t="inlineStr">
        <is>
          <t>CLP-008</t>
        </is>
      </c>
      <c r="H205" t="inlineStr">
        <is>
          <t>Protocolo</t>
        </is>
      </c>
      <c r="I205">
        <v>6</v>
      </c>
      <c r="J205" t="inlineStr">
        <is>
          <t>Drenagem Superficial</t>
        </is>
      </c>
      <c r="K205" t="inlineStr">
        <is>
          <t>6.1</t>
        </is>
      </c>
      <c r="L205" t="inlineStr">
        <is>
          <t>VPC 1 Banqueta 1</t>
        </is>
      </c>
      <c r="M205" t="inlineStr">
        <is>
          <t>Obstrução do dispositivo</t>
        </is>
      </c>
      <c r="N205" t="inlineStr">
        <is>
          <t>Obstrução por vegetação, impedindo inspeção ao local.</t>
        </is>
      </c>
      <c r="O205" t="inlineStr">
        <is>
          <t>Tipo C</t>
        </is>
      </c>
      <c r="P205" t="inlineStr">
        <is>
          <t>6+103</t>
        </is>
      </c>
      <c r="Q205" t="inlineStr">
        <is>
          <t>6+103</t>
        </is>
      </c>
      <c r="R205" t="inlineStr">
        <is>
          <t>Aberta</t>
        </is>
      </c>
      <c r="T205" t="inlineStr">
        <is>
          <t>Aline Batista</t>
        </is>
      </c>
      <c r="U205" t="inlineStr">
        <is>
          <t>10/02/2026</t>
        </is>
      </c>
      <c r="V205" t="inlineStr">
        <is>
          <t>12/03/2026</t>
        </is>
      </c>
      <c r="W205">
        <v>90</v>
      </c>
      <c r="AA205" t="inlineStr">
        <is>
          <t>Aberta 90-120 dias</t>
        </is>
      </c>
      <c r="AB205" t="inlineStr">
        <is>
          <t>GSA</t>
        </is>
      </c>
      <c r="AC205" t="inlineStr">
        <is>
          <t>Aline</t>
        </is>
      </c>
      <c r="AD205" t="inlineStr">
        <is>
          <t>15/06/2026</t>
        </is>
      </c>
      <c r="AE205" t="inlineStr">
        <is>
          <t>30/06/2026</t>
        </is>
      </c>
      <c r="AF205" t="inlineStr">
        <is>
          <t>Prazo Premissa VALE</t>
        </is>
      </c>
    </row>
    <row r="206">
      <c r="A206">
        <v>204</v>
      </c>
      <c r="B206">
        <v>1</v>
      </c>
      <c r="C206" t="inlineStr">
        <is>
          <t>1.1</t>
        </is>
      </c>
      <c r="D206" t="inlineStr">
        <is>
          <t>A03</t>
        </is>
      </c>
      <c r="E206" t="inlineStr">
        <is>
          <t>LE</t>
        </is>
      </c>
      <c r="F206" t="inlineStr">
        <is>
          <t>GSA</t>
        </is>
      </c>
      <c r="G206" t="inlineStr">
        <is>
          <t>CLP-008</t>
        </is>
      </c>
      <c r="H206" t="inlineStr">
        <is>
          <t>Protocolo</t>
        </is>
      </c>
      <c r="I206">
        <v>6</v>
      </c>
      <c r="J206" t="inlineStr">
        <is>
          <t>Drenagem Superficial</t>
        </is>
      </c>
      <c r="K206" t="inlineStr">
        <is>
          <t>6.3</t>
        </is>
      </c>
      <c r="L206" t="inlineStr">
        <is>
          <t>DRA 01</t>
        </is>
      </c>
      <c r="M206" t="inlineStr">
        <is>
          <t>Dispositivo não executado</t>
        </is>
      </c>
      <c r="N206" t="inlineStr">
        <is>
          <t>Não foi executada DRA 01 LE</t>
        </is>
      </c>
      <c r="O206" t="inlineStr">
        <is>
          <t>Tipo A</t>
        </is>
      </c>
      <c r="P206" t="inlineStr">
        <is>
          <t xml:space="preserve"> 1+085</t>
        </is>
      </c>
      <c r="Q206" t="inlineStr">
        <is>
          <t xml:space="preserve"> 1+085</t>
        </is>
      </c>
      <c r="R206" t="inlineStr">
        <is>
          <t>Aberta</t>
        </is>
      </c>
      <c r="T206" t="inlineStr">
        <is>
          <t>Aline Batista</t>
        </is>
      </c>
      <c r="U206" t="inlineStr">
        <is>
          <t>10/02/2026</t>
        </is>
      </c>
      <c r="V206" t="inlineStr">
        <is>
          <t>17/02/2026</t>
        </is>
      </c>
      <c r="W206">
        <v>113</v>
      </c>
      <c r="AA206" t="inlineStr">
        <is>
          <t>Aberta 90-120 dias</t>
        </is>
      </c>
      <c r="AB206" t="inlineStr">
        <is>
          <t>GSA</t>
        </is>
      </c>
      <c r="AC206" t="inlineStr">
        <is>
          <t>Aline</t>
        </is>
      </c>
      <c r="AD206" t="inlineStr">
        <is>
          <t>15/06/2026</t>
        </is>
      </c>
      <c r="AE206" t="inlineStr">
        <is>
          <t>30/06/2026</t>
        </is>
      </c>
      <c r="AF206" t="inlineStr">
        <is>
          <t>Prazo Premissa VALE</t>
        </is>
      </c>
    </row>
    <row r="207">
      <c r="A207">
        <v>205</v>
      </c>
      <c r="B207">
        <v>1</v>
      </c>
      <c r="C207" t="inlineStr">
        <is>
          <t>1.1</t>
        </is>
      </c>
      <c r="D207" t="inlineStr">
        <is>
          <t>C02</t>
        </is>
      </c>
      <c r="E207" t="inlineStr">
        <is>
          <t>LD</t>
        </is>
      </c>
      <c r="F207" t="inlineStr">
        <is>
          <t>GSA</t>
        </is>
      </c>
      <c r="G207" t="inlineStr">
        <is>
          <t>CLP-008</t>
        </is>
      </c>
      <c r="H207" t="inlineStr">
        <is>
          <t>Protocolo</t>
        </is>
      </c>
      <c r="I207">
        <v>6</v>
      </c>
      <c r="J207" t="inlineStr">
        <is>
          <t>Drenagem Superficial</t>
        </is>
      </c>
      <c r="K207" t="inlineStr">
        <is>
          <t>6.3</t>
        </is>
      </c>
      <c r="L207" t="inlineStr">
        <is>
          <t>Drenagem</t>
        </is>
      </c>
      <c r="M207" t="inlineStr">
        <is>
          <t>Dispositivo não executado</t>
        </is>
      </c>
      <c r="N207" t="inlineStr">
        <is>
          <t>Ausência de dispositivo de deságue.</t>
        </is>
      </c>
      <c r="O207" t="inlineStr">
        <is>
          <t>Tipo A</t>
        </is>
      </c>
      <c r="P207" t="inlineStr">
        <is>
          <t>0+480</t>
        </is>
      </c>
      <c r="Q207" t="inlineStr">
        <is>
          <t>0+480</t>
        </is>
      </c>
      <c r="R207" t="inlineStr">
        <is>
          <t>Aberta</t>
        </is>
      </c>
      <c r="T207" t="inlineStr">
        <is>
          <t>Aline Batista</t>
        </is>
      </c>
      <c r="U207" t="inlineStr">
        <is>
          <t>10/02/2026</t>
        </is>
      </c>
      <c r="V207" t="inlineStr">
        <is>
          <t>17/02/2026</t>
        </is>
      </c>
      <c r="W207">
        <v>113</v>
      </c>
      <c r="AA207" t="inlineStr">
        <is>
          <t>Aberta 90-120 dias</t>
        </is>
      </c>
      <c r="AB207" t="inlineStr">
        <is>
          <t>GSA</t>
        </is>
      </c>
      <c r="AC207" t="inlineStr">
        <is>
          <t>Aline</t>
        </is>
      </c>
      <c r="AD207" t="inlineStr">
        <is>
          <t>15/06/2026</t>
        </is>
      </c>
      <c r="AE207" t="inlineStr">
        <is>
          <t>30/06/2026</t>
        </is>
      </c>
      <c r="AF207" t="inlineStr">
        <is>
          <t>Prazo Premissa VALE</t>
        </is>
      </c>
    </row>
    <row r="208">
      <c r="A208">
        <v>206</v>
      </c>
      <c r="B208">
        <v>1</v>
      </c>
      <c r="C208" t="inlineStr">
        <is>
          <t>1.1</t>
        </is>
      </c>
      <c r="D208" t="inlineStr">
        <is>
          <t>C02</t>
        </is>
      </c>
      <c r="E208" t="inlineStr">
        <is>
          <t>LD</t>
        </is>
      </c>
      <c r="F208" t="inlineStr">
        <is>
          <t>GSA</t>
        </is>
      </c>
      <c r="G208" t="inlineStr">
        <is>
          <t>CLP-008</t>
        </is>
      </c>
      <c r="H208" t="inlineStr">
        <is>
          <t>Protocolo</t>
        </is>
      </c>
      <c r="I208">
        <v>6</v>
      </c>
      <c r="J208" t="inlineStr">
        <is>
          <t>Drenagem Superficial</t>
        </is>
      </c>
      <c r="K208" t="inlineStr">
        <is>
          <t>6.7</t>
        </is>
      </c>
      <c r="L208" t="inlineStr">
        <is>
          <t>EDA 01</t>
        </is>
      </c>
      <c r="M208" t="inlineStr">
        <is>
          <t>Dispositivo não executado</t>
        </is>
      </c>
      <c r="N208" t="inlineStr">
        <is>
          <t>Falta de acabamento do fundo e parede da DRA 01.</t>
        </is>
      </c>
      <c r="O208" t="inlineStr">
        <is>
          <t>Tipo A</t>
        </is>
      </c>
      <c r="P208" t="inlineStr">
        <is>
          <t>0+480</t>
        </is>
      </c>
      <c r="Q208" t="inlineStr">
        <is>
          <t>0+480</t>
        </is>
      </c>
      <c r="R208" t="inlineStr">
        <is>
          <t>Encerrado</t>
        </is>
      </c>
      <c r="T208" t="inlineStr">
        <is>
          <t>Aline Batista</t>
        </is>
      </c>
      <c r="U208" t="inlineStr">
        <is>
          <t>10/02/2026</t>
        </is>
      </c>
      <c r="V208" t="inlineStr">
        <is>
          <t>17/02/2026</t>
        </is>
      </c>
      <c r="W208">
        <v>113</v>
      </c>
      <c r="Y208" t="inlineStr">
        <is>
          <t>27/02/2026</t>
        </is>
      </c>
      <c r="Z208" t="inlineStr">
        <is>
          <t>Concluído</t>
        </is>
      </c>
      <c r="AA208" t="inlineStr">
        <is>
          <t>Fechada -30 dias</t>
        </is>
      </c>
    </row>
    <row r="209">
      <c r="A209">
        <v>207</v>
      </c>
      <c r="B209">
        <v>1</v>
      </c>
      <c r="C209" t="inlineStr">
        <is>
          <t>1.1</t>
        </is>
      </c>
      <c r="D209" t="inlineStr">
        <is>
          <t>C02</t>
        </is>
      </c>
      <c r="E209" t="inlineStr">
        <is>
          <t>LD</t>
        </is>
      </c>
      <c r="F209" t="inlineStr">
        <is>
          <t>GSA</t>
        </is>
      </c>
      <c r="G209" t="inlineStr">
        <is>
          <t>CLP-008</t>
        </is>
      </c>
      <c r="H209" t="inlineStr">
        <is>
          <t>Protocolo</t>
        </is>
      </c>
      <c r="I209">
        <v>6</v>
      </c>
      <c r="J209" t="inlineStr">
        <is>
          <t>Drenagem Superficial</t>
        </is>
      </c>
      <c r="K209" t="inlineStr">
        <is>
          <t>6.7</t>
        </is>
      </c>
      <c r="L209" t="inlineStr">
        <is>
          <t>CZB-01 Banqueta 1</t>
        </is>
      </c>
      <c r="M209" t="inlineStr">
        <is>
          <t>Tratamento de junta</t>
        </is>
      </c>
      <c r="N209" t="inlineStr">
        <is>
          <t>Pendência de execução da junta de dilatação a cada 12m conforme especificação, pendência de tratamento de junta concreto novo/antigo com trincas existentes.</t>
        </is>
      </c>
      <c r="O209" t="inlineStr">
        <is>
          <t>Tipo A</t>
        </is>
      </c>
      <c r="P209" t="inlineStr">
        <is>
          <t>0+542</t>
        </is>
      </c>
      <c r="Q209" t="inlineStr">
        <is>
          <t>0+687</t>
        </is>
      </c>
      <c r="R209" t="inlineStr">
        <is>
          <t>Encerrado</t>
        </is>
      </c>
      <c r="T209" t="inlineStr">
        <is>
          <t>Aline Batista</t>
        </is>
      </c>
      <c r="U209" t="inlineStr">
        <is>
          <t>10/02/2026</t>
        </is>
      </c>
      <c r="V209" t="inlineStr">
        <is>
          <t>17/02/2026</t>
        </is>
      </c>
      <c r="W209">
        <v>113</v>
      </c>
      <c r="Y209" t="inlineStr">
        <is>
          <t>27/02/2026</t>
        </is>
      </c>
      <c r="Z209" t="inlineStr">
        <is>
          <t>Concluído</t>
        </is>
      </c>
      <c r="AA209" t="inlineStr">
        <is>
          <t>Fechada -30 dias</t>
        </is>
      </c>
    </row>
    <row r="210">
      <c r="A210">
        <v>208</v>
      </c>
      <c r="B210">
        <v>1</v>
      </c>
      <c r="C210" t="inlineStr">
        <is>
          <t>1.1</t>
        </is>
      </c>
      <c r="D210" t="inlineStr">
        <is>
          <t>C02</t>
        </is>
      </c>
      <c r="E210" t="inlineStr">
        <is>
          <t>LE</t>
        </is>
      </c>
      <c r="F210" t="inlineStr">
        <is>
          <t>GSA</t>
        </is>
      </c>
      <c r="G210" t="inlineStr">
        <is>
          <t>CLP-008</t>
        </is>
      </c>
      <c r="H210" t="inlineStr">
        <is>
          <t>Protocolo</t>
        </is>
      </c>
      <c r="I210">
        <v>6</v>
      </c>
      <c r="J210" t="inlineStr">
        <is>
          <t>Drenagem Superficial</t>
        </is>
      </c>
      <c r="K210" t="inlineStr">
        <is>
          <t>6.7</t>
        </is>
      </c>
      <c r="L210" t="inlineStr">
        <is>
          <t>CZB-01  Banqueta 2</t>
        </is>
      </c>
      <c r="M210" t="inlineStr">
        <is>
          <t>Tratamento de junta</t>
        </is>
      </c>
      <c r="N210" t="inlineStr">
        <is>
          <t>Pendência de tratamento de junta concreto novo/antigo com trincas existentes, falha na germinação da hidrossemeadura.</t>
        </is>
      </c>
      <c r="O210" t="inlineStr">
        <is>
          <t>Tipo A</t>
        </is>
      </c>
      <c r="P210" t="inlineStr">
        <is>
          <t xml:space="preserve"> 0+616 </t>
        </is>
      </c>
      <c r="Q210" t="inlineStr">
        <is>
          <t>0+682</t>
        </is>
      </c>
      <c r="R210" t="inlineStr">
        <is>
          <t>Encerrado</t>
        </is>
      </c>
      <c r="T210" t="inlineStr">
        <is>
          <t>Aline Batista</t>
        </is>
      </c>
      <c r="U210" t="inlineStr">
        <is>
          <t>10/02/2026</t>
        </is>
      </c>
      <c r="V210" t="inlineStr">
        <is>
          <t>17/02/2026</t>
        </is>
      </c>
      <c r="W210">
        <v>113</v>
      </c>
      <c r="Y210" t="inlineStr">
        <is>
          <t>27/02/2026</t>
        </is>
      </c>
      <c r="Z210" t="inlineStr">
        <is>
          <t>Concluído</t>
        </is>
      </c>
      <c r="AA210" t="inlineStr">
        <is>
          <t>Fechada -30 dias</t>
        </is>
      </c>
    </row>
    <row r="211">
      <c r="A211">
        <v>209</v>
      </c>
      <c r="B211">
        <v>1</v>
      </c>
      <c r="C211" t="inlineStr">
        <is>
          <t>1.1</t>
        </is>
      </c>
      <c r="D211" t="inlineStr">
        <is>
          <t>C02</t>
        </is>
      </c>
      <c r="E211" t="inlineStr">
        <is>
          <t>LE</t>
        </is>
      </c>
      <c r="F211" t="inlineStr">
        <is>
          <t>GSA</t>
        </is>
      </c>
      <c r="G211" t="inlineStr">
        <is>
          <t>CLP-008</t>
        </is>
      </c>
      <c r="H211" t="inlineStr">
        <is>
          <t>Protocolo</t>
        </is>
      </c>
      <c r="I211">
        <v>6</v>
      </c>
      <c r="J211" t="inlineStr">
        <is>
          <t>Drenagem Superficial</t>
        </is>
      </c>
      <c r="K211" t="inlineStr">
        <is>
          <t>6.7</t>
        </is>
      </c>
      <c r="L211" t="inlineStr">
        <is>
          <t>SZA-2 e SZA-4</t>
        </is>
      </c>
      <c r="M211" t="inlineStr">
        <is>
          <t>Obstrução do dispositivo</t>
        </is>
      </c>
      <c r="N211" t="inlineStr">
        <is>
          <t>Foi observado dispositivo de drenagem obstruído, pendência de execução da junta de dilatação a cada 12m conforme especificação, pendência de tratamento de junta concreto novo/antigo com trincas existentes, pendente remoção de gabarito entre damas já concretadas.</t>
        </is>
      </c>
      <c r="O211" t="inlineStr">
        <is>
          <t>Tipo A</t>
        </is>
      </c>
      <c r="P211" t="inlineStr">
        <is>
          <t>0+618</t>
        </is>
      </c>
      <c r="Q211" t="inlineStr">
        <is>
          <t>0+618</t>
        </is>
      </c>
      <c r="R211" t="inlineStr">
        <is>
          <t>Encerrado</t>
        </is>
      </c>
      <c r="T211" t="inlineStr">
        <is>
          <t>Aline Batista</t>
        </is>
      </c>
      <c r="U211" t="inlineStr">
        <is>
          <t>10/02/2026</t>
        </is>
      </c>
      <c r="V211" t="inlineStr">
        <is>
          <t>17/02/2026</t>
        </is>
      </c>
      <c r="W211">
        <v>113</v>
      </c>
      <c r="Y211" t="inlineStr">
        <is>
          <t>27/02/2026</t>
        </is>
      </c>
      <c r="Z211" t="inlineStr">
        <is>
          <t>Concluído</t>
        </is>
      </c>
      <c r="AA211" t="inlineStr">
        <is>
          <t>Fechada -30 dias</t>
        </is>
      </c>
    </row>
    <row r="212">
      <c r="A212">
        <v>210</v>
      </c>
      <c r="B212">
        <v>1</v>
      </c>
      <c r="C212" t="inlineStr">
        <is>
          <t>1.1</t>
        </is>
      </c>
      <c r="D212" t="inlineStr">
        <is>
          <t>A03</t>
        </is>
      </c>
      <c r="E212" t="inlineStr">
        <is>
          <t>LD</t>
        </is>
      </c>
      <c r="F212" t="inlineStr">
        <is>
          <t>GSA</t>
        </is>
      </c>
      <c r="G212" t="inlineStr">
        <is>
          <t>CLP-008</t>
        </is>
      </c>
      <c r="H212" t="inlineStr">
        <is>
          <t>Protocolo</t>
        </is>
      </c>
      <c r="I212">
        <v>6</v>
      </c>
      <c r="J212" t="inlineStr">
        <is>
          <t>Drenagem Superficial</t>
        </is>
      </c>
      <c r="K212" t="inlineStr">
        <is>
          <t>6.7</t>
        </is>
      </c>
      <c r="L212" t="inlineStr">
        <is>
          <t>EDA 01</t>
        </is>
      </c>
      <c r="M212" t="inlineStr">
        <is>
          <t>Patologias no Concreto</t>
        </is>
      </c>
      <c r="N212" t="inlineStr">
        <is>
          <t>Evidenciado trincas e fissuras na entrada da EDA-1. falta de acabamento do fundo e parede da DRA 01.</t>
        </is>
      </c>
      <c r="O212" t="inlineStr">
        <is>
          <t>Tipo A</t>
        </is>
      </c>
      <c r="P212" t="inlineStr">
        <is>
          <t>1+085</t>
        </is>
      </c>
      <c r="Q212" t="inlineStr">
        <is>
          <t>1+085</t>
        </is>
      </c>
      <c r="R212" t="inlineStr">
        <is>
          <t>Encerrado</t>
        </is>
      </c>
      <c r="T212" t="inlineStr">
        <is>
          <t>Aline Batista</t>
        </is>
      </c>
      <c r="U212" t="inlineStr">
        <is>
          <t>10/02/2026</t>
        </is>
      </c>
      <c r="V212" t="inlineStr">
        <is>
          <t>17/02/2026</t>
        </is>
      </c>
      <c r="W212">
        <v>113</v>
      </c>
      <c r="Y212" t="inlineStr">
        <is>
          <t>27/02/2026</t>
        </is>
      </c>
      <c r="Z212" t="inlineStr">
        <is>
          <t>Concluído</t>
        </is>
      </c>
      <c r="AA212" t="inlineStr">
        <is>
          <t>Fechada -30 dias</t>
        </is>
      </c>
    </row>
    <row r="213">
      <c r="A213">
        <v>211</v>
      </c>
      <c r="B213">
        <v>1</v>
      </c>
      <c r="C213" t="inlineStr">
        <is>
          <t>1.1</t>
        </is>
      </c>
      <c r="D213" t="inlineStr">
        <is>
          <t>C18/A20/C19</t>
        </is>
      </c>
      <c r="E213" t="inlineStr">
        <is>
          <t>LE/LD</t>
        </is>
      </c>
      <c r="F213" t="inlineStr">
        <is>
          <t>GSA</t>
        </is>
      </c>
      <c r="G213" t="inlineStr">
        <is>
          <t>CLP-008</t>
        </is>
      </c>
      <c r="H213" t="inlineStr">
        <is>
          <t>Protocolo</t>
        </is>
      </c>
      <c r="I213">
        <v>6</v>
      </c>
      <c r="J213" t="inlineStr">
        <is>
          <t>Drenagem Superficial</t>
        </is>
      </c>
      <c r="K213" t="inlineStr">
        <is>
          <t>6.7</t>
        </is>
      </c>
      <c r="L213" t="inlineStr">
        <is>
          <t>SRC 03,SRC 05 e SZC 04</t>
        </is>
      </c>
      <c r="M213" t="inlineStr">
        <is>
          <t>Acúmulo de água</t>
        </is>
      </c>
      <c r="N213" t="inlineStr">
        <is>
          <t>Foi observada acúmulo de água em todo o dispositivo de drenagem, evidenciado trinca, fissuras e falta de tratamento de junta na SRC 03 e SRC 05. falta de execução de junta de dilatação a cada 12m e tratamento de junta da SZA 04.</t>
        </is>
      </c>
      <c r="O213" t="inlineStr">
        <is>
          <t>Tipo A</t>
        </is>
      </c>
      <c r="P213" t="inlineStr">
        <is>
          <t xml:space="preserve"> 6+768</t>
        </is>
      </c>
      <c r="Q213" t="inlineStr">
        <is>
          <t>7+910</t>
        </is>
      </c>
      <c r="R213" t="inlineStr">
        <is>
          <t>Aberta</t>
        </is>
      </c>
      <c r="T213" t="inlineStr">
        <is>
          <t>Aline Batista</t>
        </is>
      </c>
      <c r="U213" t="inlineStr">
        <is>
          <t>10/02/2026</t>
        </is>
      </c>
      <c r="V213" t="inlineStr">
        <is>
          <t>17/02/2026</t>
        </is>
      </c>
      <c r="W213">
        <v>113</v>
      </c>
      <c r="AA213" t="inlineStr">
        <is>
          <t>Aberta 90-120 dias</t>
        </is>
      </c>
      <c r="AB213" t="inlineStr">
        <is>
          <t>GSA</t>
        </is>
      </c>
      <c r="AC213" t="inlineStr">
        <is>
          <t>Aline</t>
        </is>
      </c>
      <c r="AD213" t="inlineStr">
        <is>
          <t>15/06/2026</t>
        </is>
      </c>
      <c r="AE213" t="inlineStr">
        <is>
          <t>30/06/2026</t>
        </is>
      </c>
      <c r="AF213" t="inlineStr">
        <is>
          <t>Prazo Premissa VALE</t>
        </is>
      </c>
    </row>
    <row r="214">
      <c r="A214">
        <v>212</v>
      </c>
      <c r="B214">
        <v>1</v>
      </c>
      <c r="C214" t="inlineStr">
        <is>
          <t>1.1</t>
        </is>
      </c>
      <c r="D214" t="inlineStr">
        <is>
          <t>A20</t>
        </is>
      </c>
      <c r="E214" t="inlineStr">
        <is>
          <t>LE</t>
        </is>
      </c>
      <c r="F214" t="inlineStr">
        <is>
          <t>GSA</t>
        </is>
      </c>
      <c r="G214" t="inlineStr">
        <is>
          <t>CLP-008</t>
        </is>
      </c>
      <c r="H214" t="inlineStr">
        <is>
          <t>Protocolo</t>
        </is>
      </c>
      <c r="I214">
        <v>6</v>
      </c>
      <c r="J214" t="inlineStr">
        <is>
          <t>Drenagem Superficial</t>
        </is>
      </c>
      <c r="K214" t="inlineStr">
        <is>
          <t>6.7</t>
        </is>
      </c>
      <c r="L214" t="inlineStr">
        <is>
          <t>SZA/VPC</t>
        </is>
      </c>
      <c r="M214" t="inlineStr">
        <is>
          <t>Dispositivo não executado</t>
        </is>
      </c>
      <c r="N214" t="inlineStr">
        <is>
          <t>Pendência de execução da junção SZA/VPC para o ponto de deságue.</t>
        </is>
      </c>
      <c r="O214" t="inlineStr">
        <is>
          <t>Tipo A</t>
        </is>
      </c>
      <c r="P214" t="inlineStr">
        <is>
          <t>7+530</t>
        </is>
      </c>
      <c r="Q214" t="inlineStr">
        <is>
          <t>7+530</t>
        </is>
      </c>
      <c r="R214" t="inlineStr">
        <is>
          <t>Aberta</t>
        </is>
      </c>
      <c r="T214" t="inlineStr">
        <is>
          <t>Aline Batista</t>
        </is>
      </c>
      <c r="U214" t="inlineStr">
        <is>
          <t>10/02/2026</t>
        </is>
      </c>
      <c r="V214" t="inlineStr">
        <is>
          <t>17/02/2026</t>
        </is>
      </c>
      <c r="W214">
        <v>113</v>
      </c>
      <c r="AA214" t="inlineStr">
        <is>
          <t>Aberta 90-120 dias</t>
        </is>
      </c>
      <c r="AB214" t="inlineStr">
        <is>
          <t>EMPA</t>
        </is>
      </c>
      <c r="AC214" t="inlineStr">
        <is>
          <t>Aline</t>
        </is>
      </c>
      <c r="AD214" t="inlineStr">
        <is>
          <t>02/06/2026</t>
        </is>
      </c>
      <c r="AE214" t="inlineStr">
        <is>
          <t>07/06/2026</t>
        </is>
      </c>
      <c r="AF214" t="inlineStr">
        <is>
          <t>Prazo Premissa Vale</t>
        </is>
      </c>
    </row>
    <row r="215">
      <c r="A215">
        <v>213</v>
      </c>
      <c r="B215">
        <v>1</v>
      </c>
      <c r="C215" t="inlineStr">
        <is>
          <t>1.1</t>
        </is>
      </c>
      <c r="D215" t="inlineStr">
        <is>
          <t>A20</t>
        </is>
      </c>
      <c r="E215" t="inlineStr">
        <is>
          <t>LD</t>
        </is>
      </c>
      <c r="F215" t="inlineStr">
        <is>
          <t>GSA</t>
        </is>
      </c>
      <c r="G215" t="inlineStr">
        <is>
          <t>CLP-008</t>
        </is>
      </c>
      <c r="H215" t="inlineStr">
        <is>
          <t>Protocolo</t>
        </is>
      </c>
      <c r="I215">
        <v>6</v>
      </c>
      <c r="J215" t="inlineStr">
        <is>
          <t>Drenagem Superficial</t>
        </is>
      </c>
      <c r="K215" t="inlineStr">
        <is>
          <t>6.7</t>
        </is>
      </c>
      <c r="L215" t="inlineStr">
        <is>
          <t>EDA 01</t>
        </is>
      </c>
      <c r="M215" t="inlineStr">
        <is>
          <t>Patologias no Concreto</t>
        </is>
      </c>
      <c r="N215" t="inlineStr">
        <is>
          <t>Observado  fissuras e trincas na EDA 01.</t>
        </is>
      </c>
      <c r="O215" t="inlineStr">
        <is>
          <t>Tipo A</t>
        </is>
      </c>
      <c r="P215" t="inlineStr">
        <is>
          <t>7+575</t>
        </is>
      </c>
      <c r="Q215" t="inlineStr">
        <is>
          <t>7+575</t>
        </is>
      </c>
      <c r="R215" t="inlineStr">
        <is>
          <t>Aberta</t>
        </is>
      </c>
      <c r="T215" t="inlineStr">
        <is>
          <t>Aline Batista</t>
        </is>
      </c>
      <c r="U215" t="inlineStr">
        <is>
          <t>10/02/2026</t>
        </is>
      </c>
      <c r="V215" t="inlineStr">
        <is>
          <t>17/02/2026</t>
        </is>
      </c>
      <c r="W215">
        <v>113</v>
      </c>
      <c r="AA215" t="inlineStr">
        <is>
          <t>Aberta 90-120 dias</t>
        </is>
      </c>
      <c r="AB215" t="inlineStr">
        <is>
          <t>EMPA</t>
        </is>
      </c>
      <c r="AC215" t="inlineStr">
        <is>
          <t>Aline</t>
        </is>
      </c>
      <c r="AD215" t="inlineStr">
        <is>
          <t>02/06/2026</t>
        </is>
      </c>
      <c r="AE215" t="inlineStr">
        <is>
          <t>07/06/2026</t>
        </is>
      </c>
      <c r="AF215" t="inlineStr">
        <is>
          <t>Prazo Premissa Vale</t>
        </is>
      </c>
    </row>
    <row r="216">
      <c r="A216">
        <v>214</v>
      </c>
      <c r="B216">
        <v>1</v>
      </c>
      <c r="C216" t="inlineStr">
        <is>
          <t>1.1</t>
        </is>
      </c>
      <c r="D216" t="inlineStr">
        <is>
          <t>A20</t>
        </is>
      </c>
      <c r="E216" t="inlineStr">
        <is>
          <t>LE</t>
        </is>
      </c>
      <c r="F216" t="inlineStr">
        <is>
          <t>GSA</t>
        </is>
      </c>
      <c r="G216" t="inlineStr">
        <is>
          <t>CLP-008</t>
        </is>
      </c>
      <c r="H216" t="inlineStr">
        <is>
          <t>Protocolo</t>
        </is>
      </c>
      <c r="I216">
        <v>6</v>
      </c>
      <c r="J216" t="inlineStr">
        <is>
          <t>Drenagem Superficial</t>
        </is>
      </c>
      <c r="K216" t="inlineStr">
        <is>
          <t>6.7</t>
        </is>
      </c>
      <c r="L216" t="inlineStr">
        <is>
          <t>SZA/VPC</t>
        </is>
      </c>
      <c r="M216" t="inlineStr">
        <is>
          <t>Limpeza/ remoção de material</t>
        </is>
      </c>
      <c r="N216" t="inlineStr">
        <is>
          <t>Limpeza do local.</t>
        </is>
      </c>
      <c r="O216" t="inlineStr">
        <is>
          <t>Tipo C</t>
        </is>
      </c>
      <c r="P216" t="inlineStr">
        <is>
          <t xml:space="preserve"> 7+530</t>
        </is>
      </c>
      <c r="Q216" t="inlineStr">
        <is>
          <t xml:space="preserve"> 7+530</t>
        </is>
      </c>
      <c r="R216" t="inlineStr">
        <is>
          <t>Aberta</t>
        </is>
      </c>
      <c r="T216" t="inlineStr">
        <is>
          <t>Aline Batista</t>
        </is>
      </c>
      <c r="U216" t="inlineStr">
        <is>
          <t>10/02/2026</t>
        </is>
      </c>
      <c r="V216" t="inlineStr">
        <is>
          <t>12/03/2026</t>
        </is>
      </c>
      <c r="W216">
        <v>90</v>
      </c>
      <c r="AA216" t="inlineStr">
        <is>
          <t>Aberta 90-120 dias</t>
        </is>
      </c>
      <c r="AB216" t="inlineStr">
        <is>
          <t>EMPA</t>
        </is>
      </c>
      <c r="AC216" t="inlineStr">
        <is>
          <t>Aline</t>
        </is>
      </c>
      <c r="AD216" t="inlineStr">
        <is>
          <t>02/06/2026</t>
        </is>
      </c>
      <c r="AE216" t="inlineStr">
        <is>
          <t>07/06/2026</t>
        </is>
      </c>
      <c r="AF216" t="inlineStr">
        <is>
          <t>Prazo Premissa Vale</t>
        </is>
      </c>
    </row>
    <row r="217">
      <c r="A217">
        <v>215</v>
      </c>
      <c r="B217">
        <v>1</v>
      </c>
      <c r="C217" t="inlineStr">
        <is>
          <t>1.1</t>
        </is>
      </c>
      <c r="D217" t="inlineStr">
        <is>
          <t>C02</t>
        </is>
      </c>
      <c r="E217" t="inlineStr">
        <is>
          <t>LE</t>
        </is>
      </c>
      <c r="F217" t="inlineStr">
        <is>
          <t>GSA</t>
        </is>
      </c>
      <c r="G217" t="inlineStr">
        <is>
          <t>CLP-008</t>
        </is>
      </c>
      <c r="H217" t="inlineStr">
        <is>
          <t>Fiscalização</t>
        </is>
      </c>
      <c r="I217">
        <v>6</v>
      </c>
      <c r="J217" t="inlineStr">
        <is>
          <t>Drenagem Superficial</t>
        </is>
      </c>
      <c r="K217" t="inlineStr">
        <is>
          <t>6.10</t>
        </is>
      </c>
      <c r="L217" t="inlineStr">
        <is>
          <t>CZB-01 Banqueta 1</t>
        </is>
      </c>
      <c r="M217" t="inlineStr">
        <is>
          <t>Obstrução do dispositivo</t>
        </is>
      </c>
      <c r="N217" t="inlineStr">
        <is>
          <t>Foi observado dispositivo de drenagem obstruído, remoção de sobras de concreto do em torno. Falha na germinação da hidrossemeadura. Refazer pontos de acabamento.</t>
        </is>
      </c>
      <c r="O217" t="inlineStr">
        <is>
          <t>Tipo A</t>
        </is>
      </c>
      <c r="P217" t="inlineStr">
        <is>
          <t>0+542</t>
        </is>
      </c>
      <c r="Q217" t="inlineStr">
        <is>
          <t>0+687</t>
        </is>
      </c>
      <c r="R217" t="inlineStr">
        <is>
          <t>Encerrado</t>
        </is>
      </c>
      <c r="T217" t="inlineStr">
        <is>
          <t>Aline Batista</t>
        </is>
      </c>
      <c r="U217" t="inlineStr">
        <is>
          <t>10/02/2026</t>
        </is>
      </c>
      <c r="V217" t="inlineStr">
        <is>
          <t>17/02/2026</t>
        </is>
      </c>
      <c r="W217">
        <v>113</v>
      </c>
      <c r="Y217" t="inlineStr">
        <is>
          <t>27/02/2026</t>
        </is>
      </c>
      <c r="Z217" t="inlineStr">
        <is>
          <t>Concluído</t>
        </is>
      </c>
      <c r="AA217" t="inlineStr">
        <is>
          <t>Fechada -30 dias</t>
        </is>
      </c>
    </row>
    <row r="218">
      <c r="A218">
        <v>216</v>
      </c>
      <c r="B218">
        <v>1</v>
      </c>
      <c r="C218" t="inlineStr">
        <is>
          <t>1.1</t>
        </is>
      </c>
      <c r="D218" t="inlineStr">
        <is>
          <t>Geral</t>
        </is>
      </c>
      <c r="F218" t="inlineStr">
        <is>
          <t>GSA</t>
        </is>
      </c>
      <c r="G218" t="inlineStr">
        <is>
          <t>CLP-008</t>
        </is>
      </c>
      <c r="H218" t="inlineStr">
        <is>
          <t>Protocolo</t>
        </is>
      </c>
      <c r="I218">
        <v>6</v>
      </c>
      <c r="J218" t="inlineStr">
        <is>
          <t>Drenagem Superficial</t>
        </is>
      </c>
      <c r="K218" t="inlineStr">
        <is>
          <t>6.14</t>
        </is>
      </c>
      <c r="L218" t="inlineStr">
        <is>
          <t>Ensaios</t>
        </is>
      </c>
      <c r="M218" t="inlineStr">
        <is>
          <t>Documental</t>
        </is>
      </c>
      <c r="N218" t="inlineStr">
        <is>
          <t>Foram identificadas resistências inferiores ao específicado aos 63 dias nos seguintes registros RG 004. RG 006, RG 011, RG 018, RG 023, RG 024, RG 026, RG 034, RG 041, RG 110, RG 124, RG 125, RG 126, RG 132, RG 137, RG 138, RG 144, RG 151, RG 157, RG 168, RG 178, RG 187, RG 198.</t>
        </is>
      </c>
      <c r="O218" t="inlineStr">
        <is>
          <t>Tipo B</t>
        </is>
      </c>
      <c r="P218" t="inlineStr">
        <is>
          <t>0+480</t>
        </is>
      </c>
      <c r="Q218" t="inlineStr">
        <is>
          <t>7+910</t>
        </is>
      </c>
      <c r="R218" t="inlineStr">
        <is>
          <t>Aberta</t>
        </is>
      </c>
      <c r="T218" t="inlineStr">
        <is>
          <t>Aline Batista</t>
        </is>
      </c>
      <c r="U218" t="inlineStr">
        <is>
          <t>10/02/2026</t>
        </is>
      </c>
      <c r="V218" t="inlineStr">
        <is>
          <t>25/02/2026</t>
        </is>
      </c>
      <c r="W218">
        <v>105</v>
      </c>
      <c r="AA218" t="inlineStr">
        <is>
          <t>Aberta 90-120 dias</t>
        </is>
      </c>
      <c r="AB218" t="inlineStr">
        <is>
          <t>GSA</t>
        </is>
      </c>
      <c r="AC218" t="inlineStr">
        <is>
          <t>Aline</t>
        </is>
      </c>
      <c r="AD218" t="inlineStr">
        <is>
          <t>15/06/2026</t>
        </is>
      </c>
      <c r="AE218" t="inlineStr">
        <is>
          <t>30/06/2026</t>
        </is>
      </c>
      <c r="AF218" t="inlineStr">
        <is>
          <t>Prazo Premissa VALE</t>
        </is>
      </c>
    </row>
    <row r="219">
      <c r="A219">
        <v>217</v>
      </c>
      <c r="B219">
        <v>1</v>
      </c>
      <c r="C219" t="inlineStr">
        <is>
          <t>1.1</t>
        </is>
      </c>
      <c r="D219" t="inlineStr">
        <is>
          <t>Geral</t>
        </is>
      </c>
      <c r="F219" t="inlineStr">
        <is>
          <t>GSA</t>
        </is>
      </c>
      <c r="G219" t="inlineStr">
        <is>
          <t>CLP-008</t>
        </is>
      </c>
      <c r="H219" t="inlineStr">
        <is>
          <t>Protocolo</t>
        </is>
      </c>
      <c r="I219">
        <v>6</v>
      </c>
      <c r="J219" t="inlineStr">
        <is>
          <t>Drenagem Superficial</t>
        </is>
      </c>
      <c r="K219" t="inlineStr">
        <is>
          <t>6.14</t>
        </is>
      </c>
      <c r="L219" t="inlineStr">
        <is>
          <t>As Built</t>
        </is>
      </c>
      <c r="M219" t="inlineStr">
        <is>
          <t>Documental</t>
        </is>
      </c>
      <c r="N219" t="inlineStr">
        <is>
          <t>Não apresentado o As Built.</t>
        </is>
      </c>
      <c r="O219" t="inlineStr">
        <is>
          <t>Tipo B</t>
        </is>
      </c>
      <c r="P219" t="inlineStr">
        <is>
          <t>0+480</t>
        </is>
      </c>
      <c r="Q219" t="inlineStr">
        <is>
          <t>7+910</t>
        </is>
      </c>
      <c r="R219" t="inlineStr">
        <is>
          <t>Aberta</t>
        </is>
      </c>
      <c r="T219" t="inlineStr">
        <is>
          <t>Aline Batista</t>
        </is>
      </c>
      <c r="U219" t="inlineStr">
        <is>
          <t>10/02/2026</t>
        </is>
      </c>
      <c r="V219" t="inlineStr">
        <is>
          <t>25/02/2026</t>
        </is>
      </c>
      <c r="W219">
        <v>105</v>
      </c>
      <c r="AA219" t="inlineStr">
        <is>
          <t>Aberta 90-120 dias</t>
        </is>
      </c>
      <c r="AB219" t="inlineStr">
        <is>
          <t>GSA</t>
        </is>
      </c>
      <c r="AC219" t="inlineStr">
        <is>
          <t>Aline</t>
        </is>
      </c>
      <c r="AD219" t="inlineStr">
        <is>
          <t>15/06/2026</t>
        </is>
      </c>
      <c r="AE219" t="inlineStr">
        <is>
          <t>30/06/2026</t>
        </is>
      </c>
      <c r="AF219" t="inlineStr">
        <is>
          <t>Prazo Premissa VALE</t>
        </is>
      </c>
    </row>
    <row r="220">
      <c r="A220">
        <v>218</v>
      </c>
      <c r="B220">
        <v>1</v>
      </c>
      <c r="C220" t="inlineStr">
        <is>
          <t>1.1</t>
        </is>
      </c>
      <c r="D220" t="inlineStr">
        <is>
          <t>Geral</t>
        </is>
      </c>
      <c r="F220" t="inlineStr">
        <is>
          <t>GSA</t>
        </is>
      </c>
      <c r="G220" t="inlineStr">
        <is>
          <t>CLP-008</t>
        </is>
      </c>
      <c r="H220" t="inlineStr">
        <is>
          <t>Protocolo</t>
        </is>
      </c>
      <c r="I220">
        <v>6</v>
      </c>
      <c r="J220" t="inlineStr">
        <is>
          <t>Drenagem Superficial</t>
        </is>
      </c>
      <c r="K220" t="inlineStr">
        <is>
          <t>6.16</t>
        </is>
      </c>
      <c r="L220" t="inlineStr">
        <is>
          <t>RNC</t>
        </is>
      </c>
      <c r="M220" t="inlineStr">
        <is>
          <t>Documental</t>
        </is>
      </c>
      <c r="N220" t="inlineStr">
        <is>
          <t xml:space="preserve">Existem RNCs abertas em tratamento pela contratada.
RNC-08093/25
RNC-08099/25
RNC-08820/25
RNC-08838/25
RNC-08479/25
RNC-08681/25</t>
        </is>
      </c>
      <c r="O220" t="inlineStr">
        <is>
          <t>Tipo B</t>
        </is>
      </c>
      <c r="P220" t="inlineStr">
        <is>
          <t>0+480</t>
        </is>
      </c>
      <c r="Q220" t="inlineStr">
        <is>
          <t>7+910</t>
        </is>
      </c>
      <c r="R220" t="inlineStr">
        <is>
          <t>Aberta</t>
        </is>
      </c>
      <c r="T220" t="inlineStr">
        <is>
          <t>Aline Batista</t>
        </is>
      </c>
      <c r="U220" t="inlineStr">
        <is>
          <t>10/02/2026</t>
        </is>
      </c>
      <c r="V220" t="inlineStr">
        <is>
          <t>25/02/2026</t>
        </is>
      </c>
      <c r="W220">
        <v>105</v>
      </c>
      <c r="AA220" t="inlineStr">
        <is>
          <t>Aberta 90-120 dias</t>
        </is>
      </c>
      <c r="AB220" t="inlineStr">
        <is>
          <t>GSA</t>
        </is>
      </c>
      <c r="AC220" t="inlineStr">
        <is>
          <t>Aline</t>
        </is>
      </c>
      <c r="AD220" t="inlineStr">
        <is>
          <t>15/06/2026</t>
        </is>
      </c>
      <c r="AE220" t="inlineStr">
        <is>
          <t>30/06/2026</t>
        </is>
      </c>
      <c r="AF220" t="inlineStr">
        <is>
          <t>Prazo Premissa VALE</t>
        </is>
      </c>
    </row>
    <row r="221">
      <c r="A221">
        <v>219</v>
      </c>
      <c r="B221">
        <v>1</v>
      </c>
      <c r="C221" t="inlineStr">
        <is>
          <t>1.1</t>
        </is>
      </c>
      <c r="D221" t="inlineStr">
        <is>
          <t>A20</t>
        </is>
      </c>
      <c r="E221" t="inlineStr">
        <is>
          <t>LD</t>
        </is>
      </c>
      <c r="F221" t="inlineStr">
        <is>
          <t>EMPA</t>
        </is>
      </c>
      <c r="G221" t="inlineStr">
        <is>
          <t>CLP-009</t>
        </is>
      </c>
      <c r="H221" t="inlineStr">
        <is>
          <t>Protocolo</t>
        </is>
      </c>
      <c r="I221">
        <v>1</v>
      </c>
      <c r="J221" t="inlineStr">
        <is>
          <t>Obras Complementares</t>
        </is>
      </c>
      <c r="K221" t="inlineStr">
        <is>
          <t>1.8</t>
        </is>
      </c>
      <c r="L221" t="inlineStr">
        <is>
          <t>Cerca</t>
        </is>
      </c>
      <c r="M221" t="inlineStr">
        <is>
          <t>Cercamento danificado</t>
        </is>
      </c>
      <c r="N221" t="inlineStr">
        <is>
          <t>Cercamento soterrado pelo acesso</t>
        </is>
      </c>
      <c r="O221" t="inlineStr">
        <is>
          <t>Tipo A</t>
        </is>
      </c>
      <c r="P221" t="inlineStr">
        <is>
          <t>7+680</t>
        </is>
      </c>
      <c r="Q221" t="inlineStr">
        <is>
          <t>7+680</t>
        </is>
      </c>
      <c r="R221" t="inlineStr">
        <is>
          <t>Aberta</t>
        </is>
      </c>
      <c r="T221" t="inlineStr">
        <is>
          <t>Aline Batista</t>
        </is>
      </c>
      <c r="U221" t="inlineStr">
        <is>
          <t>24/02/2026</t>
        </is>
      </c>
      <c r="V221" t="inlineStr">
        <is>
          <t>03/03/2026</t>
        </is>
      </c>
      <c r="W221">
        <v>99</v>
      </c>
      <c r="AA221" t="inlineStr">
        <is>
          <t>Aberta 90-120 dias</t>
        </is>
      </c>
      <c r="AB221" t="inlineStr">
        <is>
          <t>EMPA</t>
        </is>
      </c>
      <c r="AC221" t="inlineStr">
        <is>
          <t>Aline</t>
        </is>
      </c>
      <c r="AD221" t="inlineStr">
        <is>
          <t>27/05/2026</t>
        </is>
      </c>
      <c r="AE221" t="inlineStr">
        <is>
          <t>31/05/2026</t>
        </is>
      </c>
      <c r="AF221" t="inlineStr">
        <is>
          <t>Cronograma de Pendências EMPA</t>
        </is>
      </c>
    </row>
    <row r="222">
      <c r="A222">
        <v>220</v>
      </c>
      <c r="B222">
        <v>1</v>
      </c>
      <c r="C222" t="inlineStr">
        <is>
          <t>1.1</t>
        </is>
      </c>
      <c r="D222" t="inlineStr">
        <is>
          <t>C20</t>
        </is>
      </c>
      <c r="E222" t="inlineStr">
        <is>
          <t>LE/LD</t>
        </is>
      </c>
      <c r="F222" t="inlineStr">
        <is>
          <t>EMPA</t>
        </is>
      </c>
      <c r="G222" t="inlineStr">
        <is>
          <t>CLP-009</t>
        </is>
      </c>
      <c r="H222" t="inlineStr">
        <is>
          <t>Protocolo</t>
        </is>
      </c>
      <c r="I222">
        <v>1</v>
      </c>
      <c r="J222" t="inlineStr">
        <is>
          <t>Obras Complementares</t>
        </is>
      </c>
      <c r="K222" t="inlineStr">
        <is>
          <t>1.8</t>
        </is>
      </c>
      <c r="L222" t="inlineStr">
        <is>
          <t>Cerca</t>
        </is>
      </c>
      <c r="M222" t="inlineStr">
        <is>
          <t>Cercamento pendente</t>
        </is>
      </c>
      <c r="N222" t="inlineStr">
        <is>
          <t>Falta execução de Cerca de condução de gado para a PG</t>
        </is>
      </c>
      <c r="O222" t="inlineStr">
        <is>
          <t>Tipo A</t>
        </is>
      </c>
      <c r="P222" t="inlineStr">
        <is>
          <t>9+340</t>
        </is>
      </c>
      <c r="Q222" t="inlineStr">
        <is>
          <t>9+340</t>
        </is>
      </c>
      <c r="R222" t="inlineStr">
        <is>
          <t>Aberta</t>
        </is>
      </c>
      <c r="T222" t="inlineStr">
        <is>
          <t>Aline Batista</t>
        </is>
      </c>
      <c r="U222" t="inlineStr">
        <is>
          <t>24/02/2026</t>
        </is>
      </c>
      <c r="V222" t="inlineStr">
        <is>
          <t>03/03/2026</t>
        </is>
      </c>
      <c r="W222">
        <v>99</v>
      </c>
      <c r="AA222" t="inlineStr">
        <is>
          <t>Aberta 90-120 dias</t>
        </is>
      </c>
      <c r="AB222" t="inlineStr">
        <is>
          <t>EMPA</t>
        </is>
      </c>
      <c r="AC222" t="inlineStr">
        <is>
          <t>Aline</t>
        </is>
      </c>
      <c r="AD222" t="inlineStr">
        <is>
          <t>09/06/2026</t>
        </is>
      </c>
      <c r="AE222" t="inlineStr">
        <is>
          <t>14/06/2026</t>
        </is>
      </c>
      <c r="AF222" t="inlineStr">
        <is>
          <t>Prazo Premissa Vale</t>
        </is>
      </c>
    </row>
    <row r="223">
      <c r="A223">
        <v>221</v>
      </c>
      <c r="B223">
        <v>1</v>
      </c>
      <c r="C223" t="inlineStr">
        <is>
          <t>1.1</t>
        </is>
      </c>
      <c r="D223" t="inlineStr">
        <is>
          <t>A20</t>
        </is>
      </c>
      <c r="E223" t="inlineStr">
        <is>
          <t>LE/LD</t>
        </is>
      </c>
      <c r="F223" t="inlineStr">
        <is>
          <t>EMPA</t>
        </is>
      </c>
      <c r="G223" t="inlineStr">
        <is>
          <t>CLP-009</t>
        </is>
      </c>
      <c r="H223" t="inlineStr">
        <is>
          <t>Protocolo</t>
        </is>
      </c>
      <c r="I223">
        <v>2</v>
      </c>
      <c r="J223" t="inlineStr">
        <is>
          <t>Bueiros</t>
        </is>
      </c>
      <c r="K223" t="inlineStr">
        <is>
          <t>2.11</t>
        </is>
      </c>
      <c r="L223" t="inlineStr">
        <is>
          <t>Bueiro</t>
        </is>
      </c>
      <c r="M223" t="inlineStr">
        <is>
          <t>Obstrução do dispositivo</t>
        </is>
      </c>
      <c r="N223" t="inlineStr">
        <is>
          <t>Limpeza do bueiro de acesso</t>
        </is>
      </c>
      <c r="O223" t="inlineStr">
        <is>
          <t>Tipo A</t>
        </is>
      </c>
      <c r="P223" t="inlineStr">
        <is>
          <t>7+640</t>
        </is>
      </c>
      <c r="Q223" t="inlineStr">
        <is>
          <t>7+640</t>
        </is>
      </c>
      <c r="R223" t="inlineStr">
        <is>
          <t>Aberta</t>
        </is>
      </c>
      <c r="T223" t="inlineStr">
        <is>
          <t>Aline Batista</t>
        </is>
      </c>
      <c r="U223" t="inlineStr">
        <is>
          <t>24/02/2026</t>
        </is>
      </c>
      <c r="V223" t="inlineStr">
        <is>
          <t>03/03/2026</t>
        </is>
      </c>
      <c r="W223">
        <v>99</v>
      </c>
      <c r="AA223" t="inlineStr">
        <is>
          <t>Aberta 90-120 dias</t>
        </is>
      </c>
      <c r="AB223" t="inlineStr">
        <is>
          <t>EMPA</t>
        </is>
      </c>
      <c r="AC223" t="inlineStr">
        <is>
          <t>Aline</t>
        </is>
      </c>
      <c r="AD223" t="inlineStr">
        <is>
          <t>27/05/2026</t>
        </is>
      </c>
      <c r="AE223" t="inlineStr">
        <is>
          <t>31/05/2026</t>
        </is>
      </c>
      <c r="AF223" t="inlineStr">
        <is>
          <t>Cronograma de Pendências EMPA</t>
        </is>
      </c>
    </row>
    <row r="224">
      <c r="A224">
        <v>222</v>
      </c>
      <c r="B224">
        <v>1</v>
      </c>
      <c r="C224" t="inlineStr">
        <is>
          <t>1.1</t>
        </is>
      </c>
      <c r="D224" t="inlineStr">
        <is>
          <t>C19</t>
        </is>
      </c>
      <c r="E224" t="inlineStr">
        <is>
          <t>LE/LD</t>
        </is>
      </c>
      <c r="F224" t="inlineStr">
        <is>
          <t>EMPA</t>
        </is>
      </c>
      <c r="G224" t="inlineStr">
        <is>
          <t>CLP-009</t>
        </is>
      </c>
      <c r="H224" t="inlineStr">
        <is>
          <t>Protocolo</t>
        </is>
      </c>
      <c r="I224">
        <v>2</v>
      </c>
      <c r="J224" t="inlineStr">
        <is>
          <t>Bueiros</t>
        </is>
      </c>
      <c r="K224" t="inlineStr">
        <is>
          <t>2.11</t>
        </is>
      </c>
      <c r="L224" t="inlineStr">
        <is>
          <t>Bueiro</t>
        </is>
      </c>
      <c r="M224" t="inlineStr">
        <is>
          <t>Obstrução do dispositivo</t>
        </is>
      </c>
      <c r="N224" t="inlineStr">
        <is>
          <t xml:space="preserve"> Obstrução do BSTP.</t>
        </is>
      </c>
      <c r="O224" t="inlineStr">
        <is>
          <t>Tipo C</t>
        </is>
      </c>
      <c r="P224" t="inlineStr">
        <is>
          <t>8+160</t>
        </is>
      </c>
      <c r="Q224" t="inlineStr">
        <is>
          <t>8+240</t>
        </is>
      </c>
      <c r="R224" t="inlineStr">
        <is>
          <t>Aberta</t>
        </is>
      </c>
      <c r="T224" t="inlineStr">
        <is>
          <t>Aline Batista</t>
        </is>
      </c>
      <c r="U224" t="inlineStr">
        <is>
          <t>24/02/2026</t>
        </is>
      </c>
      <c r="V224" t="inlineStr">
        <is>
          <t>26/03/2026</t>
        </is>
      </c>
      <c r="W224">
        <v>76</v>
      </c>
      <c r="AA224" t="inlineStr">
        <is>
          <t>Aberta 90-120 dias</t>
        </is>
      </c>
      <c r="AB224" t="inlineStr">
        <is>
          <t>EMPA</t>
        </is>
      </c>
      <c r="AC224" t="inlineStr">
        <is>
          <t>Aline</t>
        </is>
      </c>
      <c r="AD224" t="inlineStr">
        <is>
          <t>02/06/2026</t>
        </is>
      </c>
      <c r="AE224" t="inlineStr">
        <is>
          <t>07/06/2026</t>
        </is>
      </c>
      <c r="AF224" t="inlineStr">
        <is>
          <t>Cronograma de Pendências EMPA</t>
        </is>
      </c>
    </row>
    <row r="225">
      <c r="A225">
        <v>223</v>
      </c>
      <c r="B225">
        <v>1</v>
      </c>
      <c r="C225" t="inlineStr">
        <is>
          <t>1.1</t>
        </is>
      </c>
      <c r="D225" t="inlineStr">
        <is>
          <t>A30</t>
        </is>
      </c>
      <c r="E225" t="inlineStr">
        <is>
          <t>LE/LD</t>
        </is>
      </c>
      <c r="F225" t="inlineStr">
        <is>
          <t>EMPA</t>
        </is>
      </c>
      <c r="G225" t="inlineStr">
        <is>
          <t>CLP-009</t>
        </is>
      </c>
      <c r="H225" t="inlineStr">
        <is>
          <t>Protocolo</t>
        </is>
      </c>
      <c r="I225">
        <v>2</v>
      </c>
      <c r="J225" t="inlineStr">
        <is>
          <t>Bueiros</t>
        </is>
      </c>
      <c r="K225" t="inlineStr">
        <is>
          <t>2.11</t>
        </is>
      </c>
      <c r="L225" t="inlineStr">
        <is>
          <t>Bueiro</t>
        </is>
      </c>
      <c r="M225" t="inlineStr">
        <is>
          <t>Obstrução do dispositivo</t>
        </is>
      </c>
      <c r="N225" t="inlineStr">
        <is>
          <t xml:space="preserve"> Limpeza de bueiro.</t>
        </is>
      </c>
      <c r="O225" t="inlineStr">
        <is>
          <t>Tipo C</t>
        </is>
      </c>
      <c r="P225" t="inlineStr">
        <is>
          <t>10+600</t>
        </is>
      </c>
      <c r="Q225" t="inlineStr">
        <is>
          <t xml:space="preserve"> 10+700</t>
        </is>
      </c>
      <c r="R225" t="inlineStr">
        <is>
          <t>Aberta</t>
        </is>
      </c>
      <c r="T225" t="inlineStr">
        <is>
          <t>Aline Batista</t>
        </is>
      </c>
      <c r="U225" t="inlineStr">
        <is>
          <t>24/02/2026</t>
        </is>
      </c>
      <c r="V225" t="inlineStr">
        <is>
          <t>26/03/2026</t>
        </is>
      </c>
      <c r="W225">
        <v>76</v>
      </c>
      <c r="AA225" t="inlineStr">
        <is>
          <t>Aberta 90-120 dias</t>
        </is>
      </c>
      <c r="AB225" t="inlineStr">
        <is>
          <t>EMPA</t>
        </is>
      </c>
      <c r="AC225" t="inlineStr">
        <is>
          <t>Aline</t>
        </is>
      </c>
      <c r="AD225" t="inlineStr">
        <is>
          <t>16/06/2026</t>
        </is>
      </c>
      <c r="AE225" t="inlineStr">
        <is>
          <t>21/06/2026</t>
        </is>
      </c>
      <c r="AF225" t="inlineStr">
        <is>
          <t>Cronograma de Pendências EMPA</t>
        </is>
      </c>
    </row>
    <row r="226">
      <c r="A226">
        <v>224</v>
      </c>
      <c r="B226">
        <v>1</v>
      </c>
      <c r="C226" t="inlineStr">
        <is>
          <t>1.1</t>
        </is>
      </c>
      <c r="D226" t="inlineStr">
        <is>
          <t>A24</t>
        </is>
      </c>
      <c r="E226" t="inlineStr">
        <is>
          <t>LE/LD</t>
        </is>
      </c>
      <c r="F226" t="inlineStr">
        <is>
          <t>EMPA</t>
        </is>
      </c>
      <c r="G226" t="inlineStr">
        <is>
          <t>CLP-009</t>
        </is>
      </c>
      <c r="H226" t="inlineStr">
        <is>
          <t>Protocolo</t>
        </is>
      </c>
      <c r="I226">
        <v>2</v>
      </c>
      <c r="J226" t="inlineStr">
        <is>
          <t>Bueiros</t>
        </is>
      </c>
      <c r="K226" t="inlineStr">
        <is>
          <t>2.11</t>
        </is>
      </c>
      <c r="L226" t="inlineStr">
        <is>
          <t>TSS</t>
        </is>
      </c>
      <c r="M226" t="inlineStr">
        <is>
          <t>Inclinação</t>
        </is>
      </c>
      <c r="N226" t="inlineStr">
        <is>
          <t>TSS com inclinação acima do especificado dificuldade para passagem de gado, limpeza da BSCC</t>
        </is>
      </c>
      <c r="O226" t="inlineStr">
        <is>
          <t>Tipo C</t>
        </is>
      </c>
      <c r="P226" t="inlineStr">
        <is>
          <t>9+320</t>
        </is>
      </c>
      <c r="Q226" t="inlineStr">
        <is>
          <t>9+320</t>
        </is>
      </c>
      <c r="R226" t="inlineStr">
        <is>
          <t>Aberta</t>
        </is>
      </c>
      <c r="T226" t="inlineStr">
        <is>
          <t>Aline Batista</t>
        </is>
      </c>
      <c r="U226" t="inlineStr">
        <is>
          <t>24/02/2026</t>
        </is>
      </c>
      <c r="V226" t="inlineStr">
        <is>
          <t>26/03/2026</t>
        </is>
      </c>
      <c r="W226">
        <v>76</v>
      </c>
      <c r="AA226" t="inlineStr">
        <is>
          <t>Aberta 90-120 dias</t>
        </is>
      </c>
      <c r="AB226" t="inlineStr">
        <is>
          <t>EMPA</t>
        </is>
      </c>
      <c r="AC226" t="inlineStr">
        <is>
          <t>Aline</t>
        </is>
      </c>
      <c r="AD226" t="inlineStr">
        <is>
          <t>09/06/2026</t>
        </is>
      </c>
      <c r="AE226" t="inlineStr">
        <is>
          <t>14/06/2026</t>
        </is>
      </c>
      <c r="AF226" t="inlineStr">
        <is>
          <t>Cronograma de Pendências EMPA</t>
        </is>
      </c>
    </row>
    <row r="227">
      <c r="A227">
        <v>225</v>
      </c>
      <c r="B227">
        <v>1</v>
      </c>
      <c r="C227" t="inlineStr">
        <is>
          <t>1.1</t>
        </is>
      </c>
      <c r="D227" t="inlineStr">
        <is>
          <t>C19</t>
        </is>
      </c>
      <c r="E227" t="inlineStr">
        <is>
          <t>LE/LD</t>
        </is>
      </c>
      <c r="F227" t="inlineStr">
        <is>
          <t>EMPA</t>
        </is>
      </c>
      <c r="G227" t="inlineStr">
        <is>
          <t>CLP-009</t>
        </is>
      </c>
      <c r="H227" t="inlineStr">
        <is>
          <t>Protocolo</t>
        </is>
      </c>
      <c r="I227">
        <v>2</v>
      </c>
      <c r="J227" t="inlineStr">
        <is>
          <t>Bueiros</t>
        </is>
      </c>
      <c r="K227" t="inlineStr">
        <is>
          <t>2.11</t>
        </is>
      </c>
      <c r="L227" t="inlineStr">
        <is>
          <t>Bueiro</t>
        </is>
      </c>
      <c r="M227" t="inlineStr">
        <is>
          <t>Obstrução do dispositivo</t>
        </is>
      </c>
      <c r="N227" t="inlineStr">
        <is>
          <t xml:space="preserve"> Limpeza geral de todo dispositivo de drenagem.</t>
        </is>
      </c>
      <c r="O227" t="inlineStr">
        <is>
          <t>Tipo C</t>
        </is>
      </c>
      <c r="P227" t="inlineStr">
        <is>
          <t>8+380</t>
        </is>
      </c>
      <c r="Q227" t="inlineStr">
        <is>
          <t>8+390</t>
        </is>
      </c>
      <c r="R227" t="inlineStr">
        <is>
          <t>Aberta</t>
        </is>
      </c>
      <c r="T227" t="inlineStr">
        <is>
          <t>Aline Batista</t>
        </is>
      </c>
      <c r="U227" t="inlineStr">
        <is>
          <t>24/02/2026</t>
        </is>
      </c>
      <c r="V227" t="inlineStr">
        <is>
          <t>26/03/2026</t>
        </is>
      </c>
      <c r="W227">
        <v>76</v>
      </c>
      <c r="AA227" t="inlineStr">
        <is>
          <t>Aberta 90-120 dias</t>
        </is>
      </c>
      <c r="AB227" t="inlineStr">
        <is>
          <t>EMPA</t>
        </is>
      </c>
      <c r="AC227" t="inlineStr">
        <is>
          <t>Aline</t>
        </is>
      </c>
      <c r="AD227" t="inlineStr">
        <is>
          <t>02/06/2026</t>
        </is>
      </c>
      <c r="AE227" t="inlineStr">
        <is>
          <t>07/06/2026</t>
        </is>
      </c>
      <c r="AF227" t="inlineStr">
        <is>
          <t>Cronograma de Pendências EMPA</t>
        </is>
      </c>
    </row>
    <row r="228">
      <c r="A228">
        <v>226</v>
      </c>
      <c r="B228">
        <v>1</v>
      </c>
      <c r="C228" t="inlineStr">
        <is>
          <t>1.1</t>
        </is>
      </c>
      <c r="D228" t="inlineStr">
        <is>
          <t>C22</t>
        </is>
      </c>
      <c r="E228" t="inlineStr">
        <is>
          <t>LE/LD</t>
        </is>
      </c>
      <c r="F228" t="inlineStr">
        <is>
          <t>EMPA</t>
        </is>
      </c>
      <c r="G228" t="inlineStr">
        <is>
          <t>CLP-009</t>
        </is>
      </c>
      <c r="H228" t="inlineStr">
        <is>
          <t>Protocolo</t>
        </is>
      </c>
      <c r="I228">
        <v>2</v>
      </c>
      <c r="J228" t="inlineStr">
        <is>
          <t>Bueiros</t>
        </is>
      </c>
      <c r="K228" t="inlineStr">
        <is>
          <t>2.11</t>
        </is>
      </c>
      <c r="L228" t="inlineStr">
        <is>
          <t>Bueiro</t>
        </is>
      </c>
      <c r="M228" t="inlineStr">
        <is>
          <t>Obstrução do dispositivo</t>
        </is>
      </c>
      <c r="N228" t="inlineStr">
        <is>
          <t xml:space="preserve"> Limpeza de bueiro.</t>
        </is>
      </c>
      <c r="O228" t="inlineStr">
        <is>
          <t>Tipo C</t>
        </is>
      </c>
      <c r="P228" t="inlineStr">
        <is>
          <t xml:space="preserve"> 9+340</t>
        </is>
      </c>
      <c r="Q228" t="inlineStr">
        <is>
          <t xml:space="preserve"> 9+340</t>
        </is>
      </c>
      <c r="R228" t="inlineStr">
        <is>
          <t>Aberta</t>
        </is>
      </c>
      <c r="T228" t="inlineStr">
        <is>
          <t>Aline Batista</t>
        </is>
      </c>
      <c r="U228" t="inlineStr">
        <is>
          <t>24/02/2026</t>
        </is>
      </c>
      <c r="V228" t="inlineStr">
        <is>
          <t>26/03/2026</t>
        </is>
      </c>
      <c r="W228">
        <v>76</v>
      </c>
      <c r="AA228" t="inlineStr">
        <is>
          <t>Aberta 90-120 dias</t>
        </is>
      </c>
      <c r="AB228" t="inlineStr">
        <is>
          <t>EMPA</t>
        </is>
      </c>
      <c r="AC228" t="inlineStr">
        <is>
          <t>Aline</t>
        </is>
      </c>
      <c r="AD228" t="inlineStr">
        <is>
          <t>09/06/2026</t>
        </is>
      </c>
      <c r="AE228" t="inlineStr">
        <is>
          <t>14/06/2026</t>
        </is>
      </c>
      <c r="AF228" t="inlineStr">
        <is>
          <t>Prazo Premissa Vale</t>
        </is>
      </c>
    </row>
    <row r="229">
      <c r="A229">
        <v>227</v>
      </c>
      <c r="B229">
        <v>1</v>
      </c>
      <c r="C229" t="inlineStr">
        <is>
          <t>1.1</t>
        </is>
      </c>
      <c r="D229" t="inlineStr">
        <is>
          <t>C25</t>
        </is>
      </c>
      <c r="E229" t="inlineStr">
        <is>
          <t>LE/LD</t>
        </is>
      </c>
      <c r="F229" t="inlineStr">
        <is>
          <t>EMPA</t>
        </is>
      </c>
      <c r="G229" t="inlineStr">
        <is>
          <t>CLP-009</t>
        </is>
      </c>
      <c r="H229" t="inlineStr">
        <is>
          <t>Protocolo</t>
        </is>
      </c>
      <c r="I229">
        <v>2</v>
      </c>
      <c r="J229" t="inlineStr">
        <is>
          <t>Bueiros</t>
        </is>
      </c>
      <c r="K229" t="inlineStr">
        <is>
          <t>2.11</t>
        </is>
      </c>
      <c r="L229" t="inlineStr">
        <is>
          <t>Bueiro</t>
        </is>
      </c>
      <c r="M229" t="inlineStr">
        <is>
          <t>Obstrução do dispositivo</t>
        </is>
      </c>
      <c r="N229" t="inlineStr">
        <is>
          <t>Desobstrução de bueiro.</t>
        </is>
      </c>
      <c r="O229" t="inlineStr">
        <is>
          <t>Tipo C</t>
        </is>
      </c>
      <c r="P229" t="inlineStr">
        <is>
          <t>9+890</t>
        </is>
      </c>
      <c r="Q229" t="inlineStr">
        <is>
          <t xml:space="preserve"> 9+900</t>
        </is>
      </c>
      <c r="R229" t="inlineStr">
        <is>
          <t>Aberta</t>
        </is>
      </c>
      <c r="T229" t="inlineStr">
        <is>
          <t>Aline Batista</t>
        </is>
      </c>
      <c r="U229" t="inlineStr">
        <is>
          <t>24/02/2026</t>
        </is>
      </c>
      <c r="V229" t="inlineStr">
        <is>
          <t>26/03/2026</t>
        </is>
      </c>
      <c r="W229">
        <v>76</v>
      </c>
      <c r="AA229" t="inlineStr">
        <is>
          <t>Aberta 90-120 dias</t>
        </is>
      </c>
      <c r="AB229" t="inlineStr">
        <is>
          <t>EMPA</t>
        </is>
      </c>
      <c r="AC229" t="inlineStr">
        <is>
          <t>Aline</t>
        </is>
      </c>
      <c r="AD229" t="inlineStr">
        <is>
          <t>16/06/2026</t>
        </is>
      </c>
      <c r="AE229" t="inlineStr">
        <is>
          <t>21/06/2026</t>
        </is>
      </c>
      <c r="AF229" t="inlineStr">
        <is>
          <t>Cronograma de Pendências EMPA</t>
        </is>
      </c>
    </row>
    <row r="230">
      <c r="A230">
        <v>228</v>
      </c>
      <c r="B230">
        <v>1</v>
      </c>
      <c r="C230" t="inlineStr">
        <is>
          <t>1.1</t>
        </is>
      </c>
      <c r="D230" t="inlineStr">
        <is>
          <t>A29</t>
        </is>
      </c>
      <c r="E230" t="inlineStr">
        <is>
          <t>LE/LD</t>
        </is>
      </c>
      <c r="F230" t="inlineStr">
        <is>
          <t>EMPA</t>
        </is>
      </c>
      <c r="G230" t="inlineStr">
        <is>
          <t>CLP-009</t>
        </is>
      </c>
      <c r="H230" t="inlineStr">
        <is>
          <t>Protocolo</t>
        </is>
      </c>
      <c r="I230">
        <v>2</v>
      </c>
      <c r="J230" t="inlineStr">
        <is>
          <t>Bueiros</t>
        </is>
      </c>
      <c r="K230" t="inlineStr">
        <is>
          <t>2.11</t>
        </is>
      </c>
      <c r="L230" t="inlineStr">
        <is>
          <t>Bueiro</t>
        </is>
      </c>
      <c r="M230" t="inlineStr">
        <is>
          <t>Obstrução do dispositivo</t>
        </is>
      </c>
      <c r="N230" t="inlineStr">
        <is>
          <t>Desobstrução de bueiro.</t>
        </is>
      </c>
      <c r="O230" t="inlineStr">
        <is>
          <t>Tipo C</t>
        </is>
      </c>
      <c r="P230" t="inlineStr">
        <is>
          <t xml:space="preserve"> 10+250</t>
        </is>
      </c>
      <c r="Q230" t="inlineStr">
        <is>
          <t xml:space="preserve"> 10+250</t>
        </is>
      </c>
      <c r="R230" t="inlineStr">
        <is>
          <t>Aberta</t>
        </is>
      </c>
      <c r="T230" t="inlineStr">
        <is>
          <t>Aline Batista</t>
        </is>
      </c>
      <c r="U230" t="inlineStr">
        <is>
          <t>24/02/2026</t>
        </is>
      </c>
      <c r="V230" t="inlineStr">
        <is>
          <t>26/03/2026</t>
        </is>
      </c>
      <c r="W230">
        <v>76</v>
      </c>
      <c r="AA230" t="inlineStr">
        <is>
          <t>Aberta 90-120 dias</t>
        </is>
      </c>
      <c r="AB230" t="inlineStr">
        <is>
          <t>EMPA</t>
        </is>
      </c>
      <c r="AC230" t="inlineStr">
        <is>
          <t>Aline</t>
        </is>
      </c>
      <c r="AD230" t="inlineStr">
        <is>
          <t>16/06/2026</t>
        </is>
      </c>
      <c r="AE230" t="inlineStr">
        <is>
          <t>21/06/2026</t>
        </is>
      </c>
      <c r="AF230" t="inlineStr">
        <is>
          <t>Cronograma de Pendências EMPA</t>
        </is>
      </c>
    </row>
    <row r="231">
      <c r="A231">
        <v>229</v>
      </c>
      <c r="B231">
        <v>1</v>
      </c>
      <c r="C231" t="inlineStr">
        <is>
          <t>1.1</t>
        </is>
      </c>
      <c r="D231" t="inlineStr">
        <is>
          <t>C27</t>
        </is>
      </c>
      <c r="E231" t="inlineStr">
        <is>
          <t>LE/LD</t>
        </is>
      </c>
      <c r="F231" t="inlineStr">
        <is>
          <t>EMPA</t>
        </is>
      </c>
      <c r="G231" t="inlineStr">
        <is>
          <t>CLP-009</t>
        </is>
      </c>
      <c r="H231" t="inlineStr">
        <is>
          <t>Protocolo</t>
        </is>
      </c>
      <c r="I231">
        <v>2</v>
      </c>
      <c r="J231" t="inlineStr">
        <is>
          <t>Bueiros</t>
        </is>
      </c>
      <c r="K231" t="inlineStr">
        <is>
          <t>2.11</t>
        </is>
      </c>
      <c r="L231" t="inlineStr">
        <is>
          <t>Bueiro</t>
        </is>
      </c>
      <c r="M231" t="inlineStr">
        <is>
          <t>Obstrução do dispositivo</t>
        </is>
      </c>
      <c r="N231" t="inlineStr">
        <is>
          <t xml:space="preserve"> Limpeza de bueiro.</t>
        </is>
      </c>
      <c r="O231" t="inlineStr">
        <is>
          <t>Tipo C</t>
        </is>
      </c>
      <c r="P231" t="inlineStr">
        <is>
          <t>11+000</t>
        </is>
      </c>
      <c r="Q231" t="inlineStr">
        <is>
          <t>11+000</t>
        </is>
      </c>
      <c r="R231" t="inlineStr">
        <is>
          <t>Aberta</t>
        </is>
      </c>
      <c r="T231" t="inlineStr">
        <is>
          <t>Aline Batista</t>
        </is>
      </c>
      <c r="U231" t="inlineStr">
        <is>
          <t>24/02/2026</t>
        </is>
      </c>
      <c r="V231" t="inlineStr">
        <is>
          <t>26/03/2026</t>
        </is>
      </c>
      <c r="W231">
        <v>76</v>
      </c>
      <c r="AA231" t="inlineStr">
        <is>
          <t>Aberta 90-120 dias</t>
        </is>
      </c>
      <c r="AB231" t="inlineStr">
        <is>
          <t>EMPA</t>
        </is>
      </c>
      <c r="AC231" t="inlineStr">
        <is>
          <t>Aline</t>
        </is>
      </c>
      <c r="AD231" t="inlineStr">
        <is>
          <t>27/05/2026</t>
        </is>
      </c>
      <c r="AE231" t="inlineStr">
        <is>
          <t>31/05/2026</t>
        </is>
      </c>
      <c r="AF231" t="inlineStr">
        <is>
          <t>Cronograma de Pendências EMPA</t>
        </is>
      </c>
    </row>
    <row r="232">
      <c r="A232">
        <v>230</v>
      </c>
      <c r="B232">
        <v>1</v>
      </c>
      <c r="C232" t="inlineStr">
        <is>
          <t>1.1</t>
        </is>
      </c>
      <c r="D232" t="inlineStr">
        <is>
          <t>A32</t>
        </is>
      </c>
      <c r="E232" t="inlineStr">
        <is>
          <t>LE/LD</t>
        </is>
      </c>
      <c r="F232" t="inlineStr">
        <is>
          <t>EMPA</t>
        </is>
      </c>
      <c r="G232" t="inlineStr">
        <is>
          <t>CLP-009</t>
        </is>
      </c>
      <c r="H232" t="inlineStr">
        <is>
          <t>Protocolo</t>
        </is>
      </c>
      <c r="I232">
        <v>2</v>
      </c>
      <c r="J232" t="inlineStr">
        <is>
          <t>Bueiros</t>
        </is>
      </c>
      <c r="K232" t="inlineStr">
        <is>
          <t>2.11</t>
        </is>
      </c>
      <c r="L232" t="inlineStr">
        <is>
          <t>Bueiro</t>
        </is>
      </c>
      <c r="M232" t="inlineStr">
        <is>
          <t>Obstrução do dispositivo</t>
        </is>
      </c>
      <c r="N232" t="inlineStr">
        <is>
          <t xml:space="preserve"> Limpeza de bueiro.</t>
        </is>
      </c>
      <c r="O232" t="inlineStr">
        <is>
          <t>Tipo C</t>
        </is>
      </c>
      <c r="P232" t="inlineStr">
        <is>
          <t xml:space="preserve"> 11+300</t>
        </is>
      </c>
      <c r="Q232" t="inlineStr">
        <is>
          <t>11+420</t>
        </is>
      </c>
      <c r="R232" t="inlineStr">
        <is>
          <t>Aberta</t>
        </is>
      </c>
      <c r="T232" t="inlineStr">
        <is>
          <t>Aline Batista</t>
        </is>
      </c>
      <c r="U232" t="inlineStr">
        <is>
          <t>24/02/2026</t>
        </is>
      </c>
      <c r="V232" t="inlineStr">
        <is>
          <t>26/03/2026</t>
        </is>
      </c>
      <c r="W232">
        <v>76</v>
      </c>
      <c r="AA232" t="inlineStr">
        <is>
          <t>Aberta 90-120 dias</t>
        </is>
      </c>
      <c r="AB232" t="inlineStr">
        <is>
          <t>EMPA</t>
        </is>
      </c>
      <c r="AC232" t="inlineStr">
        <is>
          <t>Aline</t>
        </is>
      </c>
      <c r="AD232" t="inlineStr">
        <is>
          <t>27/05/2026</t>
        </is>
      </c>
      <c r="AE232" t="inlineStr">
        <is>
          <t>31/05/2026</t>
        </is>
      </c>
      <c r="AF232" t="inlineStr">
        <is>
          <t>Cronograma de Pendências EMPA</t>
        </is>
      </c>
    </row>
    <row r="233">
      <c r="A233">
        <v>231</v>
      </c>
      <c r="B233">
        <v>1</v>
      </c>
      <c r="C233" t="inlineStr">
        <is>
          <t>1.1</t>
        </is>
      </c>
      <c r="D233" t="inlineStr">
        <is>
          <t>C19</t>
        </is>
      </c>
      <c r="E233" t="inlineStr">
        <is>
          <t>LE/LD/Banqueta</t>
        </is>
      </c>
      <c r="F233" t="inlineStr">
        <is>
          <t>EMPA</t>
        </is>
      </c>
      <c r="G233" t="inlineStr">
        <is>
          <t>CLP-009</t>
        </is>
      </c>
      <c r="H233" t="inlineStr">
        <is>
          <t>Protocolo</t>
        </is>
      </c>
      <c r="I233">
        <v>2</v>
      </c>
      <c r="J233" t="inlineStr">
        <is>
          <t>Bueiros</t>
        </is>
      </c>
      <c r="K233" t="inlineStr">
        <is>
          <t>2.11</t>
        </is>
      </c>
      <c r="L233" t="inlineStr">
        <is>
          <t>Bacia de captação</t>
        </is>
      </c>
      <c r="M233" t="inlineStr">
        <is>
          <t>Dispositivo não executado</t>
        </is>
      </c>
      <c r="N233" t="inlineStr">
        <is>
          <t>Falta de bacia para capitação de água para BSTP</t>
        </is>
      </c>
      <c r="O233" t="inlineStr">
        <is>
          <t>Tipo A</t>
        </is>
      </c>
      <c r="P233" t="inlineStr">
        <is>
          <t xml:space="preserve"> 8+160</t>
        </is>
      </c>
      <c r="Q233" t="inlineStr">
        <is>
          <t>8+240</t>
        </is>
      </c>
      <c r="R233" t="inlineStr">
        <is>
          <t>Aberta</t>
        </is>
      </c>
      <c r="T233" t="inlineStr">
        <is>
          <t>Aline Batista</t>
        </is>
      </c>
      <c r="U233" t="inlineStr">
        <is>
          <t>24/02/2026</t>
        </is>
      </c>
      <c r="V233" t="inlineStr">
        <is>
          <t>03/03/2026</t>
        </is>
      </c>
      <c r="W233">
        <v>99</v>
      </c>
      <c r="AA233" t="inlineStr">
        <is>
          <t>Aberta 90-120 dias</t>
        </is>
      </c>
      <c r="AB233" t="inlineStr">
        <is>
          <t>EMPA</t>
        </is>
      </c>
      <c r="AC233" t="inlineStr">
        <is>
          <t>Aline</t>
        </is>
      </c>
      <c r="AD233" t="inlineStr">
        <is>
          <t>27/05/2026</t>
        </is>
      </c>
      <c r="AE233" t="inlineStr">
        <is>
          <t>31/05/2026</t>
        </is>
      </c>
      <c r="AF233" t="inlineStr">
        <is>
          <t>Cronograma de Pendências EMPA</t>
        </is>
      </c>
    </row>
    <row r="234">
      <c r="A234">
        <v>232</v>
      </c>
      <c r="B234">
        <v>1</v>
      </c>
      <c r="C234" t="inlineStr">
        <is>
          <t>1.1</t>
        </is>
      </c>
      <c r="D234" t="inlineStr">
        <is>
          <t>Geral</t>
        </is>
      </c>
      <c r="F234" t="inlineStr">
        <is>
          <t>EMPA</t>
        </is>
      </c>
      <c r="G234" t="inlineStr">
        <is>
          <t>CLP-009</t>
        </is>
      </c>
      <c r="H234" t="inlineStr">
        <is>
          <t>Protocolo</t>
        </is>
      </c>
      <c r="I234">
        <v>4</v>
      </c>
      <c r="J234" t="inlineStr">
        <is>
          <t>Terraplenagem</t>
        </is>
      </c>
      <c r="K234" t="inlineStr">
        <is>
          <t>4.2</t>
        </is>
      </c>
      <c r="L234" t="inlineStr">
        <is>
          <t>Sublastro</t>
        </is>
      </c>
      <c r="M234" t="inlineStr">
        <is>
          <t>Plano cotado não aprovado</t>
        </is>
      </c>
      <c r="N234" t="inlineStr">
        <is>
          <t>Pendente revisão de Plano Cotado referente ao KM 7+420 ao KM 12+117.</t>
        </is>
      </c>
      <c r="O234" t="inlineStr">
        <is>
          <t>Tipo B</t>
        </is>
      </c>
      <c r="P234" t="inlineStr">
        <is>
          <t xml:space="preserve">7+420 </t>
        </is>
      </c>
      <c r="Q234" t="inlineStr">
        <is>
          <t xml:space="preserve"> 12+117</t>
        </is>
      </c>
      <c r="R234" t="inlineStr">
        <is>
          <t>Encerrado</t>
        </is>
      </c>
      <c r="T234" t="inlineStr">
        <is>
          <t>Aline Batista</t>
        </is>
      </c>
      <c r="U234" t="inlineStr">
        <is>
          <t>24/02/2026</t>
        </is>
      </c>
      <c r="V234" t="inlineStr">
        <is>
          <t>11/03/2026</t>
        </is>
      </c>
      <c r="W234">
        <v>91</v>
      </c>
      <c r="Y234" t="inlineStr">
        <is>
          <t>22/04/2026</t>
        </is>
      </c>
      <c r="Z234" t="inlineStr">
        <is>
          <t>Concluído</t>
        </is>
      </c>
      <c r="AA234" t="inlineStr">
        <is>
          <t>Fechada 30-60 dias</t>
        </is>
      </c>
    </row>
    <row r="235">
      <c r="A235">
        <v>233</v>
      </c>
      <c r="B235">
        <v>1</v>
      </c>
      <c r="C235" t="inlineStr">
        <is>
          <t>1.1</t>
        </is>
      </c>
      <c r="D235" t="inlineStr">
        <is>
          <t>C19</t>
        </is>
      </c>
      <c r="E235" t="inlineStr">
        <is>
          <t>LE/LD</t>
        </is>
      </c>
      <c r="F235" t="inlineStr">
        <is>
          <t>EMPA</t>
        </is>
      </c>
      <c r="G235" t="inlineStr">
        <is>
          <t>CLP-009</t>
        </is>
      </c>
      <c r="H235" t="inlineStr">
        <is>
          <t>Protocolo</t>
        </is>
      </c>
      <c r="I235">
        <v>4</v>
      </c>
      <c r="J235" t="inlineStr">
        <is>
          <t>Terraplenagem</t>
        </is>
      </c>
      <c r="K235" t="inlineStr">
        <is>
          <t>4.4</t>
        </is>
      </c>
      <c r="L235" t="inlineStr">
        <is>
          <t>Sublastro</t>
        </is>
      </c>
      <c r="M235" t="inlineStr">
        <is>
          <t>Material Solto</t>
        </is>
      </c>
      <c r="N235" t="inlineStr">
        <is>
          <t>Sublastro apresenta falta de compactação LD, remoção das leiras na plataforma</t>
        </is>
      </c>
      <c r="O235" t="inlineStr">
        <is>
          <t>Tipo A</t>
        </is>
      </c>
      <c r="P235" t="inlineStr">
        <is>
          <t xml:space="preserve"> 8+680</t>
        </is>
      </c>
      <c r="Q235" t="inlineStr">
        <is>
          <t xml:space="preserve"> 8+680</t>
        </is>
      </c>
      <c r="R235" t="inlineStr">
        <is>
          <t>Aberta</t>
        </is>
      </c>
      <c r="T235" t="inlineStr">
        <is>
          <t>Aline Batista</t>
        </is>
      </c>
      <c r="U235" t="inlineStr">
        <is>
          <t>24/02/2026</t>
        </is>
      </c>
      <c r="V235" t="inlineStr">
        <is>
          <t>03/03/2026</t>
        </is>
      </c>
      <c r="W235">
        <v>99</v>
      </c>
      <c r="AA235" t="inlineStr">
        <is>
          <t>Aberta 90-120 dias</t>
        </is>
      </c>
      <c r="AB235" t="inlineStr">
        <is>
          <t>EMPA</t>
        </is>
      </c>
      <c r="AC235" t="inlineStr">
        <is>
          <t>Aline</t>
        </is>
      </c>
      <c r="AD235" t="inlineStr">
        <is>
          <t>09/06/2026</t>
        </is>
      </c>
      <c r="AE235" t="inlineStr">
        <is>
          <t>14/06/2026</t>
        </is>
      </c>
      <c r="AF235" t="inlineStr">
        <is>
          <t>Cronograma de Pendências EMPA</t>
        </is>
      </c>
    </row>
    <row r="236">
      <c r="A236">
        <v>234</v>
      </c>
      <c r="B236">
        <v>1</v>
      </c>
      <c r="C236" t="inlineStr">
        <is>
          <t>1.1</t>
        </is>
      </c>
      <c r="D236" t="inlineStr">
        <is>
          <t>A22</t>
        </is>
      </c>
      <c r="E236" t="inlineStr">
        <is>
          <t>LE/LD</t>
        </is>
      </c>
      <c r="F236" t="inlineStr">
        <is>
          <t>EMPA</t>
        </is>
      </c>
      <c r="G236" t="inlineStr">
        <is>
          <t>CLP-009</t>
        </is>
      </c>
      <c r="H236" t="inlineStr">
        <is>
          <t>Protocolo</t>
        </is>
      </c>
      <c r="I236">
        <v>4</v>
      </c>
      <c r="J236" t="inlineStr">
        <is>
          <t>Terraplenagem</t>
        </is>
      </c>
      <c r="K236" t="inlineStr">
        <is>
          <t>4.4</t>
        </is>
      </c>
      <c r="L236" t="inlineStr">
        <is>
          <t>PN</t>
        </is>
      </c>
      <c r="M236" t="inlineStr">
        <is>
          <t>Conformação</t>
        </is>
      </c>
      <c r="N236" t="inlineStr">
        <is>
          <t>Falta de conformação do material (solo) na PN.</t>
        </is>
      </c>
      <c r="O236" t="inlineStr">
        <is>
          <t>Tipo C</t>
        </is>
      </c>
      <c r="P236" t="inlineStr">
        <is>
          <t>9+030</t>
        </is>
      </c>
      <c r="Q236" t="inlineStr">
        <is>
          <t>9+030</t>
        </is>
      </c>
      <c r="R236" t="inlineStr">
        <is>
          <t>Aberta</t>
        </is>
      </c>
      <c r="T236" t="inlineStr">
        <is>
          <t>Aline Batista</t>
        </is>
      </c>
      <c r="U236" t="inlineStr">
        <is>
          <t>24/02/2026</t>
        </is>
      </c>
      <c r="V236" t="inlineStr">
        <is>
          <t>26/03/2026</t>
        </is>
      </c>
      <c r="W236">
        <v>76</v>
      </c>
      <c r="AA236" t="inlineStr">
        <is>
          <t>Aberta 90-120 dias</t>
        </is>
      </c>
      <c r="AB236" t="inlineStr">
        <is>
          <t>EMPA</t>
        </is>
      </c>
      <c r="AC236" t="inlineStr">
        <is>
          <t>Aline</t>
        </is>
      </c>
      <c r="AD236" t="inlineStr">
        <is>
          <t>09/06/2026</t>
        </is>
      </c>
      <c r="AE236" t="inlineStr">
        <is>
          <t>14/06/2026</t>
        </is>
      </c>
      <c r="AF236" t="inlineStr">
        <is>
          <t>Cronograma de Pendências EMPA</t>
        </is>
      </c>
    </row>
    <row r="237">
      <c r="A237">
        <v>235</v>
      </c>
      <c r="B237">
        <v>1</v>
      </c>
      <c r="C237" t="inlineStr">
        <is>
          <t>1.1</t>
        </is>
      </c>
      <c r="D237" t="inlineStr">
        <is>
          <t>A23</t>
        </is>
      </c>
      <c r="E237" t="inlineStr">
        <is>
          <t>LE/LD</t>
        </is>
      </c>
      <c r="F237" t="inlineStr">
        <is>
          <t>EMPA</t>
        </is>
      </c>
      <c r="G237" t="inlineStr">
        <is>
          <t>CLP-009</t>
        </is>
      </c>
      <c r="H237" t="inlineStr">
        <is>
          <t>Protocolo</t>
        </is>
      </c>
      <c r="I237">
        <v>4</v>
      </c>
      <c r="J237" t="inlineStr">
        <is>
          <t>Terraplenagem</t>
        </is>
      </c>
      <c r="K237" t="inlineStr">
        <is>
          <t>4.9</t>
        </is>
      </c>
      <c r="L237" t="inlineStr">
        <is>
          <t>Talude</t>
        </is>
      </c>
      <c r="M237" t="inlineStr">
        <is>
          <t>Revegetação/ Hidrossemeadura</t>
        </is>
      </c>
      <c r="N237" t="inlineStr">
        <is>
          <t xml:space="preserve">Conformação da ADME 11  aplicação de hidrossemeadura. </t>
        </is>
      </c>
      <c r="O237" t="inlineStr">
        <is>
          <t>Tipo A</t>
        </is>
      </c>
      <c r="P237" t="inlineStr">
        <is>
          <t>9+100</t>
        </is>
      </c>
      <c r="Q237" t="inlineStr">
        <is>
          <t xml:space="preserve"> 9+230</t>
        </is>
      </c>
      <c r="R237" t="inlineStr">
        <is>
          <t>Aberta</t>
        </is>
      </c>
      <c r="T237" t="inlineStr">
        <is>
          <t>Aline Batista</t>
        </is>
      </c>
      <c r="U237" t="inlineStr">
        <is>
          <t>24/02/2026</t>
        </is>
      </c>
      <c r="V237" t="inlineStr">
        <is>
          <t>03/03/2026</t>
        </is>
      </c>
      <c r="W237">
        <v>99</v>
      </c>
      <c r="AA237" t="inlineStr">
        <is>
          <t>Aberta 90-120 dias</t>
        </is>
      </c>
      <c r="AB237" t="inlineStr">
        <is>
          <t>EMPA</t>
        </is>
      </c>
      <c r="AC237" t="inlineStr">
        <is>
          <t>Aline</t>
        </is>
      </c>
      <c r="AD237" t="inlineStr">
        <is>
          <t>09/06/2026</t>
        </is>
      </c>
      <c r="AE237" t="inlineStr">
        <is>
          <t>14/06/2026</t>
        </is>
      </c>
      <c r="AF237" t="inlineStr">
        <is>
          <t>Prazo Premissa Vale</t>
        </is>
      </c>
    </row>
    <row r="238">
      <c r="A238">
        <v>236</v>
      </c>
      <c r="B238">
        <v>1</v>
      </c>
      <c r="C238" t="inlineStr">
        <is>
          <t>1.1</t>
        </is>
      </c>
      <c r="D238" t="inlineStr">
        <is>
          <t>A20</t>
        </is>
      </c>
      <c r="E238" t="inlineStr">
        <is>
          <t>LE/LD</t>
        </is>
      </c>
      <c r="F238" t="inlineStr">
        <is>
          <t>EMPA</t>
        </is>
      </c>
      <c r="G238" t="inlineStr">
        <is>
          <t>CLP-009</t>
        </is>
      </c>
      <c r="H238" t="inlineStr">
        <is>
          <t>Protocolo</t>
        </is>
      </c>
      <c r="I238">
        <v>4</v>
      </c>
      <c r="J238" t="inlineStr">
        <is>
          <t>Terraplenagem</t>
        </is>
      </c>
      <c r="K238" t="inlineStr">
        <is>
          <t>4.9</t>
        </is>
      </c>
      <c r="L238" t="inlineStr">
        <is>
          <t>ADME</t>
        </is>
      </c>
      <c r="M238" t="inlineStr">
        <is>
          <t>Erosões</t>
        </is>
      </c>
      <c r="N238" t="inlineStr">
        <is>
          <t xml:space="preserve"> Erosão na segunda berma, processo erosivo na ADME 10.</t>
        </is>
      </c>
      <c r="O238" t="inlineStr">
        <is>
          <t>Tipo A</t>
        </is>
      </c>
      <c r="P238" t="inlineStr">
        <is>
          <t>7+000</t>
        </is>
      </c>
      <c r="Q238" t="inlineStr">
        <is>
          <t>7+590</t>
        </is>
      </c>
      <c r="R238" t="inlineStr">
        <is>
          <t>Aberta</t>
        </is>
      </c>
      <c r="T238" t="inlineStr">
        <is>
          <t>Aline Batista</t>
        </is>
      </c>
      <c r="U238" t="inlineStr">
        <is>
          <t>24/02/2026</t>
        </is>
      </c>
      <c r="V238" t="inlineStr">
        <is>
          <t>03/03/2026</t>
        </is>
      </c>
      <c r="W238">
        <v>99</v>
      </c>
      <c r="AA238" t="inlineStr">
        <is>
          <t>Aberta 90-120 dias</t>
        </is>
      </c>
      <c r="AB238" t="inlineStr">
        <is>
          <t>EMPA</t>
        </is>
      </c>
      <c r="AC238" t="inlineStr">
        <is>
          <t>Aline</t>
        </is>
      </c>
      <c r="AD238" t="inlineStr">
        <is>
          <t>02/06/2026</t>
        </is>
      </c>
      <c r="AE238" t="inlineStr">
        <is>
          <t>07/06/2026</t>
        </is>
      </c>
      <c r="AF238" t="inlineStr">
        <is>
          <t>Prazo Premissa Vale</t>
        </is>
      </c>
    </row>
    <row r="239">
      <c r="A239">
        <v>237</v>
      </c>
      <c r="B239">
        <v>1</v>
      </c>
      <c r="C239" t="inlineStr">
        <is>
          <t>1.1</t>
        </is>
      </c>
      <c r="D239" t="inlineStr">
        <is>
          <t>C25</t>
        </is>
      </c>
      <c r="E239" t="inlineStr">
        <is>
          <t>LE/LD</t>
        </is>
      </c>
      <c r="F239" t="inlineStr">
        <is>
          <t>EMPA</t>
        </is>
      </c>
      <c r="G239" t="inlineStr">
        <is>
          <t>CLP-009</t>
        </is>
      </c>
      <c r="H239" t="inlineStr">
        <is>
          <t>Protocolo</t>
        </is>
      </c>
      <c r="I239">
        <v>4</v>
      </c>
      <c r="J239" t="inlineStr">
        <is>
          <t>Terraplenagem</t>
        </is>
      </c>
      <c r="K239" t="inlineStr">
        <is>
          <t>4.11</t>
        </is>
      </c>
      <c r="L239" t="inlineStr">
        <is>
          <t>Acesso</t>
        </is>
      </c>
      <c r="M239" t="inlineStr">
        <is>
          <t>Revegetação/ Hidrossemeadura</t>
        </is>
      </c>
      <c r="N239" t="inlineStr">
        <is>
          <t xml:space="preserve"> Aplicar hidrossemeadura na área do acesso descomissionado, hidrossemeadura no aterro não geminada.</t>
        </is>
      </c>
      <c r="O239" t="inlineStr">
        <is>
          <t>Tipo A</t>
        </is>
      </c>
      <c r="P239" t="inlineStr">
        <is>
          <t>9+890</t>
        </is>
      </c>
      <c r="Q239" t="inlineStr">
        <is>
          <t>9+900</t>
        </is>
      </c>
      <c r="R239" t="inlineStr">
        <is>
          <t>Aberta</t>
        </is>
      </c>
      <c r="T239" t="inlineStr">
        <is>
          <t>Aline Batista</t>
        </is>
      </c>
      <c r="U239" t="inlineStr">
        <is>
          <t>24/02/2026</t>
        </is>
      </c>
      <c r="V239" t="inlineStr">
        <is>
          <t>03/03/2026</t>
        </is>
      </c>
      <c r="W239">
        <v>99</v>
      </c>
      <c r="AA239" t="inlineStr">
        <is>
          <t>Aberta 90-120 dias</t>
        </is>
      </c>
      <c r="AB239" t="inlineStr">
        <is>
          <t>EMPA</t>
        </is>
      </c>
      <c r="AC239" t="inlineStr">
        <is>
          <t>Aline</t>
        </is>
      </c>
      <c r="AD239" t="inlineStr">
        <is>
          <t>09/06/2026</t>
        </is>
      </c>
      <c r="AE239" t="inlineStr">
        <is>
          <t>14/06/2026</t>
        </is>
      </c>
      <c r="AF239" t="inlineStr">
        <is>
          <t>Prazo Premissa Vale</t>
        </is>
      </c>
    </row>
    <row r="240">
      <c r="A240">
        <v>238</v>
      </c>
      <c r="B240">
        <v>1</v>
      </c>
      <c r="C240" t="inlineStr">
        <is>
          <t>1.1</t>
        </is>
      </c>
      <c r="D240" t="inlineStr">
        <is>
          <t>A20</t>
        </is>
      </c>
      <c r="E240" t="inlineStr">
        <is>
          <t>LE/LD</t>
        </is>
      </c>
      <c r="F240" t="inlineStr">
        <is>
          <t>EMPA</t>
        </is>
      </c>
      <c r="G240" t="inlineStr">
        <is>
          <t>CLP-009</t>
        </is>
      </c>
      <c r="H240" t="inlineStr">
        <is>
          <t>Protocolo</t>
        </is>
      </c>
      <c r="I240">
        <v>4</v>
      </c>
      <c r="J240" t="inlineStr">
        <is>
          <t>Terraplenagem</t>
        </is>
      </c>
      <c r="K240" t="inlineStr">
        <is>
          <t>4.11</t>
        </is>
      </c>
      <c r="L240" t="inlineStr">
        <is>
          <t>Talude</t>
        </is>
      </c>
      <c r="M240" t="inlineStr">
        <is>
          <t>Revegetação/ Hidrossemeadura</t>
        </is>
      </c>
      <c r="N240" t="inlineStr">
        <is>
          <t>Recompactação da plataforma até o dispositivo de drenagem. Erosão por ausência de hidrossemeadura.</t>
        </is>
      </c>
      <c r="O240" t="inlineStr">
        <is>
          <t>Tipo A</t>
        </is>
      </c>
      <c r="P240" t="inlineStr">
        <is>
          <t>7+640</t>
        </is>
      </c>
      <c r="Q240" t="inlineStr">
        <is>
          <t>7+640</t>
        </is>
      </c>
      <c r="R240" t="inlineStr">
        <is>
          <t>Aberta</t>
        </is>
      </c>
      <c r="T240" t="inlineStr">
        <is>
          <t>Aline Batista</t>
        </is>
      </c>
      <c r="U240" t="inlineStr">
        <is>
          <t>24/02/2026</t>
        </is>
      </c>
      <c r="V240" t="inlineStr">
        <is>
          <t>03/03/2026</t>
        </is>
      </c>
      <c r="W240">
        <v>99</v>
      </c>
      <c r="AA240" t="inlineStr">
        <is>
          <t>Aberta 90-120 dias</t>
        </is>
      </c>
      <c r="AB240" t="inlineStr">
        <is>
          <t>EMPA</t>
        </is>
      </c>
      <c r="AC240" t="inlineStr">
        <is>
          <t>Aline</t>
        </is>
      </c>
      <c r="AD240" t="inlineStr">
        <is>
          <t>02/06/2026</t>
        </is>
      </c>
      <c r="AE240" t="inlineStr">
        <is>
          <t>07/06/2026</t>
        </is>
      </c>
      <c r="AF240" t="inlineStr">
        <is>
          <t>Prazo Premissa Vale</t>
        </is>
      </c>
    </row>
    <row r="241">
      <c r="A241">
        <v>239</v>
      </c>
      <c r="B241">
        <v>1</v>
      </c>
      <c r="C241" t="inlineStr">
        <is>
          <t>1.1</t>
        </is>
      </c>
      <c r="D241" t="inlineStr">
        <is>
          <t>A20</t>
        </is>
      </c>
      <c r="E241" t="inlineStr">
        <is>
          <t>LD</t>
        </is>
      </c>
      <c r="F241" t="inlineStr">
        <is>
          <t>EMPA</t>
        </is>
      </c>
      <c r="G241" t="inlineStr">
        <is>
          <t>CLP-009</t>
        </is>
      </c>
      <c r="H241" t="inlineStr">
        <is>
          <t>Protocolo</t>
        </is>
      </c>
      <c r="I241">
        <v>4</v>
      </c>
      <c r="J241" t="inlineStr">
        <is>
          <t>Terraplenagem</t>
        </is>
      </c>
      <c r="K241" t="inlineStr">
        <is>
          <t>4.11</t>
        </is>
      </c>
      <c r="L241" t="inlineStr">
        <is>
          <t>Talude</t>
        </is>
      </c>
      <c r="M241" t="inlineStr">
        <is>
          <t>Revegetação/ Hidrossemeadura</t>
        </is>
      </c>
      <c r="N241" t="inlineStr">
        <is>
          <t>Pendência de hidrossemeadura - Presença de ravinamentos.</t>
        </is>
      </c>
      <c r="O241" t="inlineStr">
        <is>
          <t>Tipo A</t>
        </is>
      </c>
      <c r="P241" t="inlineStr">
        <is>
          <t>7+680</t>
        </is>
      </c>
      <c r="Q241" t="inlineStr">
        <is>
          <t>7+680</t>
        </is>
      </c>
      <c r="R241" t="inlineStr">
        <is>
          <t>Aberta</t>
        </is>
      </c>
      <c r="T241" t="inlineStr">
        <is>
          <t>Aline Batista</t>
        </is>
      </c>
      <c r="U241" t="inlineStr">
        <is>
          <t>24/02/2026</t>
        </is>
      </c>
      <c r="V241" t="inlineStr">
        <is>
          <t>03/03/2026</t>
        </is>
      </c>
      <c r="W241">
        <v>99</v>
      </c>
      <c r="AA241" t="inlineStr">
        <is>
          <t>Aberta 90-120 dias</t>
        </is>
      </c>
      <c r="AB241" t="inlineStr">
        <is>
          <t>EMPA</t>
        </is>
      </c>
      <c r="AC241" t="inlineStr">
        <is>
          <t>Aline</t>
        </is>
      </c>
      <c r="AD241" t="inlineStr">
        <is>
          <t>02/06/2026</t>
        </is>
      </c>
      <c r="AE241" t="inlineStr">
        <is>
          <t>07/06/2026</t>
        </is>
      </c>
      <c r="AF241" t="inlineStr">
        <is>
          <t>Prazo Premissa Vale</t>
        </is>
      </c>
    </row>
    <row r="242">
      <c r="A242">
        <v>240</v>
      </c>
      <c r="B242">
        <v>1</v>
      </c>
      <c r="C242" t="inlineStr">
        <is>
          <t>1.1</t>
        </is>
      </c>
      <c r="D242" t="inlineStr">
        <is>
          <t>C19</t>
        </is>
      </c>
      <c r="E242" t="inlineStr">
        <is>
          <t>LE/LD</t>
        </is>
      </c>
      <c r="F242" t="inlineStr">
        <is>
          <t>EMPA</t>
        </is>
      </c>
      <c r="G242" t="inlineStr">
        <is>
          <t>CLP-009</t>
        </is>
      </c>
      <c r="H242" t="inlineStr">
        <is>
          <t>Protocolo</t>
        </is>
      </c>
      <c r="I242">
        <v>4</v>
      </c>
      <c r="J242" t="inlineStr">
        <is>
          <t>Terraplenagem</t>
        </is>
      </c>
      <c r="K242" t="inlineStr">
        <is>
          <t>4.11</t>
        </is>
      </c>
      <c r="L242" t="inlineStr">
        <is>
          <t>DHP</t>
        </is>
      </c>
      <c r="M242" t="inlineStr">
        <is>
          <t>Dispositivo não executado</t>
        </is>
      </c>
      <c r="N242" t="inlineStr">
        <is>
          <t>Pendente execução dos terminais de dreno sub-horizontais  DHP em todos os cortes onde foram instalados os mesmos, repasse de hidrossemeadura em talude.</t>
        </is>
      </c>
      <c r="O242" t="inlineStr">
        <is>
          <t>Tipo A</t>
        </is>
      </c>
      <c r="P242" t="inlineStr">
        <is>
          <t>7+810</t>
        </is>
      </c>
      <c r="Q242" t="inlineStr">
        <is>
          <t xml:space="preserve"> 9+900</t>
        </is>
      </c>
      <c r="R242" t="inlineStr">
        <is>
          <t>Aberta</t>
        </is>
      </c>
      <c r="T242" t="inlineStr">
        <is>
          <t>Aline Batista</t>
        </is>
      </c>
      <c r="U242" t="inlineStr">
        <is>
          <t>24/02/2026</t>
        </is>
      </c>
      <c r="V242" t="inlineStr">
        <is>
          <t>03/03/2026</t>
        </is>
      </c>
      <c r="W242">
        <v>99</v>
      </c>
      <c r="AA242" t="inlineStr">
        <is>
          <t>Aberta 90-120 dias</t>
        </is>
      </c>
      <c r="AB242" t="inlineStr">
        <is>
          <t>EMPA</t>
        </is>
      </c>
      <c r="AC242" t="inlineStr">
        <is>
          <t>Aline</t>
        </is>
      </c>
      <c r="AD242" t="inlineStr">
        <is>
          <t>02/06/2026</t>
        </is>
      </c>
      <c r="AE242" t="inlineStr">
        <is>
          <t>07/06/2026</t>
        </is>
      </c>
      <c r="AF242" t="inlineStr">
        <is>
          <t>Prazo Premissa Vale</t>
        </is>
      </c>
    </row>
    <row r="243">
      <c r="A243">
        <v>241</v>
      </c>
      <c r="B243">
        <v>1</v>
      </c>
      <c r="C243" t="inlineStr">
        <is>
          <t>1.1</t>
        </is>
      </c>
      <c r="D243" t="inlineStr">
        <is>
          <t>Geral</t>
        </is>
      </c>
      <c r="F243" t="inlineStr">
        <is>
          <t>EMPA</t>
        </is>
      </c>
      <c r="G243" t="inlineStr">
        <is>
          <t>CLP-009</t>
        </is>
      </c>
      <c r="H243" t="inlineStr">
        <is>
          <t>Protocolo</t>
        </is>
      </c>
      <c r="I243">
        <v>4</v>
      </c>
      <c r="J243" t="inlineStr">
        <is>
          <t>Terraplenagem</t>
        </is>
      </c>
      <c r="K243" t="inlineStr">
        <is>
          <t>4.12/4.13</t>
        </is>
      </c>
      <c r="L243" t="inlineStr">
        <is>
          <t>Ensaios</t>
        </is>
      </c>
      <c r="M243" t="inlineStr">
        <is>
          <t>Documental</t>
        </is>
      </c>
      <c r="N243" t="inlineStr">
        <is>
          <t>Registros 61, 86, 209, 252, 256, camadas reprovadas sem evidências de retrabalho. Não foram identificados ensaios referentes ao sublastro.</t>
        </is>
      </c>
      <c r="O243" t="inlineStr">
        <is>
          <t>Tipo B</t>
        </is>
      </c>
      <c r="P243" t="inlineStr">
        <is>
          <t>7+590</t>
        </is>
      </c>
      <c r="Q243" t="inlineStr">
        <is>
          <t>11+900</t>
        </is>
      </c>
      <c r="R243" t="inlineStr">
        <is>
          <t>Aberta</t>
        </is>
      </c>
      <c r="T243" t="inlineStr">
        <is>
          <t>Aline Batista</t>
        </is>
      </c>
      <c r="U243" t="inlineStr">
        <is>
          <t>24/02/2026</t>
        </is>
      </c>
      <c r="V243" t="inlineStr">
        <is>
          <t>11/03/2026</t>
        </is>
      </c>
      <c r="W243">
        <v>91</v>
      </c>
      <c r="AA243" t="inlineStr">
        <is>
          <t>Aberta 90-120 dias</t>
        </is>
      </c>
      <c r="AB243" t="inlineStr">
        <is>
          <t>EMPA</t>
        </is>
      </c>
      <c r="AC243" t="inlineStr">
        <is>
          <t>Aline</t>
        </is>
      </c>
      <c r="AE243" t="inlineStr">
        <is>
          <t>19/06/2026</t>
        </is>
      </c>
      <c r="AF243" t="inlineStr">
        <is>
          <t>Ata de reunião de RM p/ BK</t>
        </is>
      </c>
    </row>
    <row r="244">
      <c r="A244">
        <v>242</v>
      </c>
      <c r="B244">
        <v>1</v>
      </c>
      <c r="C244" t="inlineStr">
        <is>
          <t>1.1</t>
        </is>
      </c>
      <c r="D244" t="inlineStr">
        <is>
          <t>C19</t>
        </is>
      </c>
      <c r="E244" t="inlineStr">
        <is>
          <t>LE/LD</t>
        </is>
      </c>
      <c r="F244" t="inlineStr">
        <is>
          <t>EMPA</t>
        </is>
      </c>
      <c r="G244" t="inlineStr">
        <is>
          <t>CLP-009</t>
        </is>
      </c>
      <c r="H244" t="inlineStr">
        <is>
          <t>Protocolo</t>
        </is>
      </c>
      <c r="I244">
        <v>4</v>
      </c>
      <c r="J244" t="inlineStr">
        <is>
          <t>Terraplenagem</t>
        </is>
      </c>
      <c r="K244" t="inlineStr">
        <is>
          <t>4.18</t>
        </is>
      </c>
      <c r="L244" t="inlineStr">
        <is>
          <t>Sublastro</t>
        </is>
      </c>
      <c r="M244" t="inlineStr">
        <is>
          <t>Material Solto</t>
        </is>
      </c>
      <c r="N244" t="inlineStr">
        <is>
          <t>Remoção das leiras na plataforma.</t>
        </is>
      </c>
      <c r="O244" t="inlineStr">
        <is>
          <t>Tipo A</t>
        </is>
      </c>
      <c r="P244" t="inlineStr">
        <is>
          <t xml:space="preserve"> 8+680</t>
        </is>
      </c>
      <c r="Q244" t="inlineStr">
        <is>
          <t xml:space="preserve"> 8+680</t>
        </is>
      </c>
      <c r="R244" t="inlineStr">
        <is>
          <t>Aberta</t>
        </is>
      </c>
      <c r="T244" t="inlineStr">
        <is>
          <t>Aline Batista</t>
        </is>
      </c>
      <c r="U244" t="inlineStr">
        <is>
          <t>24/02/2026</t>
        </is>
      </c>
      <c r="V244" t="inlineStr">
        <is>
          <t>03/03/2026</t>
        </is>
      </c>
      <c r="W244">
        <v>99</v>
      </c>
      <c r="AA244" t="inlineStr">
        <is>
          <t>Aberta 90-120 dias</t>
        </is>
      </c>
      <c r="AB244" t="inlineStr">
        <is>
          <t>EMPA</t>
        </is>
      </c>
      <c r="AC244" t="inlineStr">
        <is>
          <t>Aline</t>
        </is>
      </c>
      <c r="AD244" t="inlineStr">
        <is>
          <t>09/06/2026</t>
        </is>
      </c>
      <c r="AE244" t="inlineStr">
        <is>
          <t>14/06/2026</t>
        </is>
      </c>
      <c r="AF244" t="inlineStr">
        <is>
          <t>Cronograma de Pendências EMPA</t>
        </is>
      </c>
    </row>
    <row r="245">
      <c r="A245">
        <v>243</v>
      </c>
      <c r="B245">
        <v>1</v>
      </c>
      <c r="C245" t="inlineStr">
        <is>
          <t>1.1</t>
        </is>
      </c>
      <c r="D245" t="inlineStr">
        <is>
          <t>A22</t>
        </is>
      </c>
      <c r="E245" t="inlineStr">
        <is>
          <t>LE/LD</t>
        </is>
      </c>
      <c r="F245" t="inlineStr">
        <is>
          <t>EMPA</t>
        </is>
      </c>
      <c r="G245" t="inlineStr">
        <is>
          <t>CLP-009</t>
        </is>
      </c>
      <c r="H245" t="inlineStr">
        <is>
          <t>Protocolo</t>
        </is>
      </c>
      <c r="I245">
        <v>4</v>
      </c>
      <c r="J245" t="inlineStr">
        <is>
          <t>Terraplenagem</t>
        </is>
      </c>
      <c r="K245" t="inlineStr">
        <is>
          <t>4.18</t>
        </is>
      </c>
      <c r="L245" t="inlineStr">
        <is>
          <t>Sublastro</t>
        </is>
      </c>
      <c r="M245" t="inlineStr">
        <is>
          <t>Material Solto</t>
        </is>
      </c>
      <c r="N245" t="inlineStr">
        <is>
          <t>Remoção das leiras na plataforma.</t>
        </is>
      </c>
      <c r="O245" t="inlineStr">
        <is>
          <t>Tipo A</t>
        </is>
      </c>
      <c r="P245" t="inlineStr">
        <is>
          <t xml:space="preserve"> 8+980</t>
        </is>
      </c>
      <c r="Q245" t="inlineStr">
        <is>
          <t xml:space="preserve"> 8+980</t>
        </is>
      </c>
      <c r="R245" t="inlineStr">
        <is>
          <t>Aberta</t>
        </is>
      </c>
      <c r="T245" t="inlineStr">
        <is>
          <t>Aline Batista</t>
        </is>
      </c>
      <c r="U245" t="inlineStr">
        <is>
          <t>24/02/2026</t>
        </is>
      </c>
      <c r="V245" t="inlineStr">
        <is>
          <t>03/03/2026</t>
        </is>
      </c>
      <c r="W245">
        <v>99</v>
      </c>
      <c r="AA245" t="inlineStr">
        <is>
          <t>Aberta 90-120 dias</t>
        </is>
      </c>
      <c r="AB245" t="inlineStr">
        <is>
          <t>EMPA</t>
        </is>
      </c>
      <c r="AC245" t="inlineStr">
        <is>
          <t>Aline</t>
        </is>
      </c>
      <c r="AD245" t="inlineStr">
        <is>
          <t>09/06/2026</t>
        </is>
      </c>
      <c r="AE245" t="inlineStr">
        <is>
          <t>14/06/2026</t>
        </is>
      </c>
      <c r="AF245" t="inlineStr">
        <is>
          <t>Cronograma de Pendências EMPA</t>
        </is>
      </c>
    </row>
    <row r="246">
      <c r="A246">
        <v>244</v>
      </c>
      <c r="B246">
        <v>1</v>
      </c>
      <c r="C246" t="inlineStr">
        <is>
          <t>1.1</t>
        </is>
      </c>
      <c r="D246" t="inlineStr">
        <is>
          <t>A30</t>
        </is>
      </c>
      <c r="E246" t="inlineStr">
        <is>
          <t>LE/LD</t>
        </is>
      </c>
      <c r="F246" t="inlineStr">
        <is>
          <t>EMPA</t>
        </is>
      </c>
      <c r="G246" t="inlineStr">
        <is>
          <t>CLP-009</t>
        </is>
      </c>
      <c r="H246" t="inlineStr">
        <is>
          <t>Protocolo</t>
        </is>
      </c>
      <c r="I246">
        <v>4</v>
      </c>
      <c r="J246" t="inlineStr">
        <is>
          <t>Terraplenagem</t>
        </is>
      </c>
      <c r="K246" t="inlineStr">
        <is>
          <t>4.18</t>
        </is>
      </c>
      <c r="L246" t="inlineStr">
        <is>
          <t>Sublastro</t>
        </is>
      </c>
      <c r="M246" t="inlineStr">
        <is>
          <t>Material Solto</t>
        </is>
      </c>
      <c r="N246" t="inlineStr">
        <is>
          <t>Remoção das leiras na plataforma.</t>
        </is>
      </c>
      <c r="O246" t="inlineStr">
        <is>
          <t>Tipo A</t>
        </is>
      </c>
      <c r="P246" t="inlineStr">
        <is>
          <t>10+600</t>
        </is>
      </c>
      <c r="Q246" t="inlineStr">
        <is>
          <t>10+700</t>
        </is>
      </c>
      <c r="R246" t="inlineStr">
        <is>
          <t>Aberta</t>
        </is>
      </c>
      <c r="T246" t="inlineStr">
        <is>
          <t>Aline Batista</t>
        </is>
      </c>
      <c r="U246" t="inlineStr">
        <is>
          <t>24/02/2026</t>
        </is>
      </c>
      <c r="V246" t="inlineStr">
        <is>
          <t>03/03/2026</t>
        </is>
      </c>
      <c r="W246">
        <v>99</v>
      </c>
      <c r="AA246" t="inlineStr">
        <is>
          <t>Aberta 90-120 dias</t>
        </is>
      </c>
      <c r="AB246" t="inlineStr">
        <is>
          <t>EMPA</t>
        </is>
      </c>
      <c r="AC246" t="inlineStr">
        <is>
          <t>Aline</t>
        </is>
      </c>
      <c r="AD246" t="inlineStr">
        <is>
          <t>23/06/2026</t>
        </is>
      </c>
      <c r="AE246" t="inlineStr">
        <is>
          <t>28/06/2026</t>
        </is>
      </c>
      <c r="AF246" t="inlineStr">
        <is>
          <t>Cronograma de Pendências EMPA</t>
        </is>
      </c>
    </row>
    <row r="247">
      <c r="A247">
        <v>245</v>
      </c>
      <c r="B247">
        <v>1</v>
      </c>
      <c r="C247" t="inlineStr">
        <is>
          <t>1.1</t>
        </is>
      </c>
      <c r="D247" t="inlineStr">
        <is>
          <t>C27</t>
        </is>
      </c>
      <c r="E247" t="inlineStr">
        <is>
          <t>LE/LD</t>
        </is>
      </c>
      <c r="F247" t="inlineStr">
        <is>
          <t>EMPA</t>
        </is>
      </c>
      <c r="G247" t="inlineStr">
        <is>
          <t>CLP-009</t>
        </is>
      </c>
      <c r="H247" t="inlineStr">
        <is>
          <t>Protocolo</t>
        </is>
      </c>
      <c r="I247">
        <v>4</v>
      </c>
      <c r="J247" t="inlineStr">
        <is>
          <t>Terraplenagem</t>
        </is>
      </c>
      <c r="K247" t="inlineStr">
        <is>
          <t>4.18</t>
        </is>
      </c>
      <c r="L247" t="inlineStr">
        <is>
          <t>Sublastro</t>
        </is>
      </c>
      <c r="M247" t="inlineStr">
        <is>
          <t>Material Solto</t>
        </is>
      </c>
      <c r="N247" t="inlineStr">
        <is>
          <t>Remoção das leiras na plataforma.</t>
        </is>
      </c>
      <c r="O247" t="inlineStr">
        <is>
          <t>Tipo A</t>
        </is>
      </c>
      <c r="P247" t="inlineStr">
        <is>
          <t xml:space="preserve"> 11+000</t>
        </is>
      </c>
      <c r="Q247" t="inlineStr">
        <is>
          <t xml:space="preserve"> 11+000</t>
        </is>
      </c>
      <c r="R247" t="inlineStr">
        <is>
          <t>Aberta</t>
        </is>
      </c>
      <c r="T247" t="inlineStr">
        <is>
          <t>Aline Batista</t>
        </is>
      </c>
      <c r="U247" t="inlineStr">
        <is>
          <t>24/02/2026</t>
        </is>
      </c>
      <c r="V247" t="inlineStr">
        <is>
          <t>03/03/2026</t>
        </is>
      </c>
      <c r="W247">
        <v>99</v>
      </c>
      <c r="AA247" t="inlineStr">
        <is>
          <t>Aberta 90-120 dias</t>
        </is>
      </c>
      <c r="AB247" t="inlineStr">
        <is>
          <t>EMPA</t>
        </is>
      </c>
      <c r="AC247" t="inlineStr">
        <is>
          <t>Aline</t>
        </is>
      </c>
      <c r="AD247" t="inlineStr">
        <is>
          <t>27/05/2026</t>
        </is>
      </c>
      <c r="AE247" t="inlineStr">
        <is>
          <t>31/05/2026</t>
        </is>
      </c>
      <c r="AF247" t="inlineStr">
        <is>
          <t>Cronograma de Pendências EMPA</t>
        </is>
      </c>
    </row>
    <row r="248">
      <c r="A248">
        <v>246</v>
      </c>
      <c r="B248">
        <v>1</v>
      </c>
      <c r="C248" t="inlineStr">
        <is>
          <t>1.1</t>
        </is>
      </c>
      <c r="D248" t="inlineStr">
        <is>
          <t>A23</t>
        </is>
      </c>
      <c r="E248" t="inlineStr">
        <is>
          <t>LE/LD/Banqueta</t>
        </is>
      </c>
      <c r="F248" t="inlineStr">
        <is>
          <t>EMPA</t>
        </is>
      </c>
      <c r="G248" t="inlineStr">
        <is>
          <t>CLP-009</t>
        </is>
      </c>
      <c r="H248" t="inlineStr">
        <is>
          <t>Protocolo</t>
        </is>
      </c>
      <c r="I248">
        <v>4</v>
      </c>
      <c r="J248" t="inlineStr">
        <is>
          <t>Terraplenagem</t>
        </is>
      </c>
      <c r="K248" t="inlineStr">
        <is>
          <t>4.20</t>
        </is>
      </c>
      <c r="L248" t="inlineStr">
        <is>
          <t>Talude</t>
        </is>
      </c>
      <c r="M248" t="inlineStr">
        <is>
          <t>Erosões</t>
        </is>
      </c>
      <c r="N248" t="inlineStr">
        <is>
          <t xml:space="preserve">Evidenciado erosão no talude por de dispositivo de drenagem, erosão no acesso. </t>
        </is>
      </c>
      <c r="O248" t="inlineStr">
        <is>
          <t>Tipo A</t>
        </is>
      </c>
      <c r="P248" t="inlineStr">
        <is>
          <t xml:space="preserve"> 9+050</t>
        </is>
      </c>
      <c r="Q248" t="inlineStr">
        <is>
          <t>9+080</t>
        </is>
      </c>
      <c r="R248" t="inlineStr">
        <is>
          <t>Aberta</t>
        </is>
      </c>
      <c r="T248" t="inlineStr">
        <is>
          <t>Aline Batista</t>
        </is>
      </c>
      <c r="U248" t="inlineStr">
        <is>
          <t>24/02/2026</t>
        </is>
      </c>
      <c r="V248" t="inlineStr">
        <is>
          <t>03/03/2026</t>
        </is>
      </c>
      <c r="W248">
        <v>99</v>
      </c>
      <c r="AA248" t="inlineStr">
        <is>
          <t>Aberta 90-120 dias</t>
        </is>
      </c>
      <c r="AB248" t="inlineStr">
        <is>
          <t>EMPA</t>
        </is>
      </c>
      <c r="AC248" t="inlineStr">
        <is>
          <t>Aline</t>
        </is>
      </c>
      <c r="AD248" t="inlineStr">
        <is>
          <t>09/06/2026</t>
        </is>
      </c>
      <c r="AE248" t="inlineStr">
        <is>
          <t>14/06/2026</t>
        </is>
      </c>
      <c r="AF248" t="inlineStr">
        <is>
          <t>Cronograma de Pendências EMPA</t>
        </is>
      </c>
    </row>
    <row r="249">
      <c r="A249">
        <v>247</v>
      </c>
      <c r="B249">
        <v>1</v>
      </c>
      <c r="C249" t="inlineStr">
        <is>
          <t>1.1</t>
        </is>
      </c>
      <c r="D249" t="inlineStr">
        <is>
          <t>C27</t>
        </is>
      </c>
      <c r="E249" t="inlineStr">
        <is>
          <t>LE/LD</t>
        </is>
      </c>
      <c r="F249" t="inlineStr">
        <is>
          <t>EMPA</t>
        </is>
      </c>
      <c r="G249" t="inlineStr">
        <is>
          <t>CLP-009</t>
        </is>
      </c>
      <c r="H249" t="inlineStr">
        <is>
          <t>Protocolo</t>
        </is>
      </c>
      <c r="I249">
        <v>4</v>
      </c>
      <c r="J249" t="inlineStr">
        <is>
          <t>Terraplenagem</t>
        </is>
      </c>
      <c r="K249" t="inlineStr">
        <is>
          <t>4.20</t>
        </is>
      </c>
      <c r="L249" t="inlineStr">
        <is>
          <t>Talude</t>
        </is>
      </c>
      <c r="M249" t="inlineStr">
        <is>
          <t>Erosões</t>
        </is>
      </c>
      <c r="N249" t="inlineStr">
        <is>
          <t xml:space="preserve"> Evidenciado erosão no talude.</t>
        </is>
      </c>
      <c r="O249" t="inlineStr">
        <is>
          <t>Tipo A</t>
        </is>
      </c>
      <c r="P249" t="inlineStr">
        <is>
          <t xml:space="preserve"> 10+940</t>
        </is>
      </c>
      <c r="Q249" t="inlineStr">
        <is>
          <t xml:space="preserve"> 10+940</t>
        </is>
      </c>
      <c r="R249" t="inlineStr">
        <is>
          <t>Aberta</t>
        </is>
      </c>
      <c r="T249" t="inlineStr">
        <is>
          <t>Aline Batista</t>
        </is>
      </c>
      <c r="U249" t="inlineStr">
        <is>
          <t>24/02/2026</t>
        </is>
      </c>
      <c r="V249" t="inlineStr">
        <is>
          <t>03/03/2026</t>
        </is>
      </c>
      <c r="W249">
        <v>99</v>
      </c>
      <c r="AA249" t="inlineStr">
        <is>
          <t>Aberta 90-120 dias</t>
        </is>
      </c>
      <c r="AB249" t="inlineStr">
        <is>
          <t>EMPA</t>
        </is>
      </c>
      <c r="AC249" t="inlineStr">
        <is>
          <t>Aline</t>
        </is>
      </c>
      <c r="AD249" t="inlineStr">
        <is>
          <t>23/06/2026</t>
        </is>
      </c>
      <c r="AE249" t="inlineStr">
        <is>
          <t>28/06/2026</t>
        </is>
      </c>
      <c r="AF249" t="inlineStr">
        <is>
          <t>Cronograma de Pendências EMPA</t>
        </is>
      </c>
    </row>
    <row r="250">
      <c r="A250">
        <v>248</v>
      </c>
      <c r="B250">
        <v>1</v>
      </c>
      <c r="C250" t="inlineStr">
        <is>
          <t>1.1</t>
        </is>
      </c>
      <c r="D250" t="inlineStr">
        <is>
          <t>A32</t>
        </is>
      </c>
      <c r="E250" t="inlineStr">
        <is>
          <t>LD</t>
        </is>
      </c>
      <c r="F250" t="inlineStr">
        <is>
          <t>EMPA</t>
        </is>
      </c>
      <c r="G250" t="inlineStr">
        <is>
          <t>CLP-009</t>
        </is>
      </c>
      <c r="H250" t="inlineStr">
        <is>
          <t>Protocolo</t>
        </is>
      </c>
      <c r="I250">
        <v>4</v>
      </c>
      <c r="J250" t="inlineStr">
        <is>
          <t>Terraplenagem</t>
        </is>
      </c>
      <c r="K250" t="inlineStr">
        <is>
          <t>4.20</t>
        </is>
      </c>
      <c r="L250" t="inlineStr">
        <is>
          <t>Talude</t>
        </is>
      </c>
      <c r="M250" t="inlineStr">
        <is>
          <t>Erosões</t>
        </is>
      </c>
      <c r="N250" t="inlineStr">
        <is>
          <t>Remoção de erosão do talude LD.</t>
        </is>
      </c>
      <c r="O250" t="inlineStr">
        <is>
          <t>Tipo A</t>
        </is>
      </c>
      <c r="P250" t="inlineStr">
        <is>
          <t xml:space="preserve"> 11+300</t>
        </is>
      </c>
      <c r="Q250" t="inlineStr">
        <is>
          <t xml:space="preserve"> 11+420</t>
        </is>
      </c>
      <c r="R250" t="inlineStr">
        <is>
          <t>Aberta</t>
        </is>
      </c>
      <c r="T250" t="inlineStr">
        <is>
          <t>Aline Batista</t>
        </is>
      </c>
      <c r="U250" t="inlineStr">
        <is>
          <t>24/02/2026</t>
        </is>
      </c>
      <c r="V250" t="inlineStr">
        <is>
          <t>03/03/2026</t>
        </is>
      </c>
      <c r="W250">
        <v>99</v>
      </c>
      <c r="AA250" t="inlineStr">
        <is>
          <t>Aberta 90-120 dias</t>
        </is>
      </c>
      <c r="AB250" t="inlineStr">
        <is>
          <t>EMPA</t>
        </is>
      </c>
      <c r="AC250" t="inlineStr">
        <is>
          <t>Aline</t>
        </is>
      </c>
      <c r="AD250" t="inlineStr">
        <is>
          <t>27/05/2026</t>
        </is>
      </c>
      <c r="AE250" t="inlineStr">
        <is>
          <t>31/05/2026</t>
        </is>
      </c>
      <c r="AF250" t="inlineStr">
        <is>
          <t>Cronograma de Pendências EMPA</t>
        </is>
      </c>
    </row>
    <row r="251">
      <c r="A251">
        <v>249</v>
      </c>
      <c r="B251">
        <v>1</v>
      </c>
      <c r="C251" t="inlineStr">
        <is>
          <t>1.1</t>
        </is>
      </c>
      <c r="D251" t="inlineStr">
        <is>
          <t>C19</t>
        </is>
      </c>
      <c r="E251" t="inlineStr">
        <is>
          <t>LE/LD</t>
        </is>
      </c>
      <c r="F251" t="inlineStr">
        <is>
          <t>EMPA</t>
        </is>
      </c>
      <c r="G251" t="inlineStr">
        <is>
          <t>CLP-009</t>
        </is>
      </c>
      <c r="H251" t="inlineStr">
        <is>
          <t>Fiscalização</t>
        </is>
      </c>
      <c r="I251">
        <v>4</v>
      </c>
      <c r="J251" t="inlineStr">
        <is>
          <t>Terraplenagem</t>
        </is>
      </c>
      <c r="K251" t="inlineStr">
        <is>
          <t>4.20</t>
        </is>
      </c>
      <c r="L251" t="inlineStr">
        <is>
          <t>Talude</t>
        </is>
      </c>
      <c r="M251" t="inlineStr">
        <is>
          <t>Erosões</t>
        </is>
      </c>
      <c r="N251" t="inlineStr">
        <is>
          <t>Desplacamento do talude banqueta 1 e 2.</t>
        </is>
      </c>
      <c r="O251" t="inlineStr">
        <is>
          <t>Tipo A</t>
        </is>
      </c>
      <c r="P251" t="inlineStr">
        <is>
          <t>8+000</t>
        </is>
      </c>
      <c r="Q251" t="inlineStr">
        <is>
          <t xml:space="preserve"> 8+100</t>
        </is>
      </c>
      <c r="R251" t="inlineStr">
        <is>
          <t>Aberta</t>
        </is>
      </c>
      <c r="T251" t="inlineStr">
        <is>
          <t>Aline Batista</t>
        </is>
      </c>
      <c r="U251" t="inlineStr">
        <is>
          <t>24/02/2026</t>
        </is>
      </c>
      <c r="V251" t="inlineStr">
        <is>
          <t>03/03/2026</t>
        </is>
      </c>
      <c r="W251">
        <v>99</v>
      </c>
      <c r="AA251" t="inlineStr">
        <is>
          <t>Aberta 90-120 dias</t>
        </is>
      </c>
      <c r="AB251" t="inlineStr">
        <is>
          <t>EMPA</t>
        </is>
      </c>
      <c r="AC251" t="inlineStr">
        <is>
          <t>Aline</t>
        </is>
      </c>
      <c r="AD251" t="inlineStr">
        <is>
          <t>02/06/2026</t>
        </is>
      </c>
      <c r="AE251" t="inlineStr">
        <is>
          <t>07/06/2026</t>
        </is>
      </c>
      <c r="AF251" t="inlineStr">
        <is>
          <t>Cronograma de Pendências EMPA</t>
        </is>
      </c>
    </row>
    <row r="252">
      <c r="A252">
        <v>250</v>
      </c>
      <c r="B252">
        <v>1</v>
      </c>
      <c r="C252" t="inlineStr">
        <is>
          <t>1.1</t>
        </is>
      </c>
      <c r="D252" t="inlineStr">
        <is>
          <t>A20</t>
        </is>
      </c>
      <c r="E252" t="inlineStr">
        <is>
          <t>LD</t>
        </is>
      </c>
      <c r="F252" t="inlineStr">
        <is>
          <t>EMPA</t>
        </is>
      </c>
      <c r="G252" t="inlineStr">
        <is>
          <t>CLP-009</t>
        </is>
      </c>
      <c r="H252" t="inlineStr">
        <is>
          <t>Manifestação</t>
        </is>
      </c>
      <c r="I252">
        <v>4</v>
      </c>
      <c r="J252" t="inlineStr">
        <is>
          <t>Terraplenagem</t>
        </is>
      </c>
      <c r="K252" t="inlineStr">
        <is>
          <t>4.20</t>
        </is>
      </c>
      <c r="L252" t="inlineStr">
        <is>
          <t>Talude</t>
        </is>
      </c>
      <c r="M252" t="inlineStr">
        <is>
          <t>Erosões</t>
        </is>
      </c>
      <c r="N252" t="inlineStr">
        <is>
          <t>Evidenciado erosão no talude.</t>
        </is>
      </c>
      <c r="O252" t="inlineStr">
        <is>
          <t>Tipo A</t>
        </is>
      </c>
      <c r="P252" t="inlineStr">
        <is>
          <t>7+680</t>
        </is>
      </c>
      <c r="Q252" t="inlineStr">
        <is>
          <t>7+680</t>
        </is>
      </c>
      <c r="R252" t="inlineStr">
        <is>
          <t>Aberta</t>
        </is>
      </c>
      <c r="T252" t="inlineStr">
        <is>
          <t>Aline Batista</t>
        </is>
      </c>
      <c r="U252" t="inlineStr">
        <is>
          <t>24/02/2026</t>
        </is>
      </c>
      <c r="V252" t="inlineStr">
        <is>
          <t>03/03/2026</t>
        </is>
      </c>
      <c r="W252">
        <v>99</v>
      </c>
      <c r="AA252" t="inlineStr">
        <is>
          <t>Aberta 90-120 dias</t>
        </is>
      </c>
      <c r="AB252" t="inlineStr">
        <is>
          <t>EMPA</t>
        </is>
      </c>
      <c r="AC252" t="inlineStr">
        <is>
          <t>Aline</t>
        </is>
      </c>
      <c r="AD252" t="inlineStr">
        <is>
          <t>02/06/2026</t>
        </is>
      </c>
      <c r="AE252" t="inlineStr">
        <is>
          <t>07/06/2026</t>
        </is>
      </c>
      <c r="AF252" t="inlineStr">
        <is>
          <t>Prazo Premissa Vale</t>
        </is>
      </c>
    </row>
    <row r="253">
      <c r="A253">
        <v>251</v>
      </c>
      <c r="B253">
        <v>1</v>
      </c>
      <c r="C253" t="inlineStr">
        <is>
          <t>1.1</t>
        </is>
      </c>
      <c r="D253" t="inlineStr">
        <is>
          <t>C30</t>
        </is>
      </c>
      <c r="E253" t="inlineStr">
        <is>
          <t>LE/LD</t>
        </is>
      </c>
      <c r="F253" t="inlineStr">
        <is>
          <t>EMPA</t>
        </is>
      </c>
      <c r="G253" t="inlineStr">
        <is>
          <t>CLP-009</t>
        </is>
      </c>
      <c r="H253" t="inlineStr">
        <is>
          <t>Protocolo</t>
        </is>
      </c>
      <c r="I253">
        <v>4</v>
      </c>
      <c r="J253" t="inlineStr">
        <is>
          <t>Terraplenagem</t>
        </is>
      </c>
      <c r="K253" t="inlineStr">
        <is>
          <t>4.23</t>
        </is>
      </c>
      <c r="L253" t="inlineStr">
        <is>
          <t>Sublastro</t>
        </is>
      </c>
      <c r="M253" t="inlineStr">
        <is>
          <t>Material Solto</t>
        </is>
      </c>
      <c r="N253" t="inlineStr">
        <is>
          <t>Sublastro apresenta material solto devido a manobra.</t>
        </is>
      </c>
      <c r="O253" t="inlineStr">
        <is>
          <t>Tipo A</t>
        </is>
      </c>
      <c r="P253" t="inlineStr">
        <is>
          <t xml:space="preserve"> 11+900</t>
        </is>
      </c>
      <c r="Q253" t="inlineStr">
        <is>
          <t xml:space="preserve"> 11+900</t>
        </is>
      </c>
      <c r="R253" t="inlineStr">
        <is>
          <t>Aberta</t>
        </is>
      </c>
      <c r="T253" t="inlineStr">
        <is>
          <t>Aline Batista</t>
        </is>
      </c>
      <c r="U253" t="inlineStr">
        <is>
          <t>24/02/2026</t>
        </is>
      </c>
      <c r="V253" t="inlineStr">
        <is>
          <t>03/03/2026</t>
        </is>
      </c>
      <c r="W253">
        <v>99</v>
      </c>
      <c r="AA253" t="inlineStr">
        <is>
          <t>Aberta 90-120 dias</t>
        </is>
      </c>
      <c r="AB253" t="inlineStr">
        <is>
          <t>EMPA</t>
        </is>
      </c>
      <c r="AC253" t="inlineStr">
        <is>
          <t>Aline</t>
        </is>
      </c>
      <c r="AD253" t="inlineStr">
        <is>
          <t>16/06/2026</t>
        </is>
      </c>
      <c r="AE253" t="inlineStr">
        <is>
          <t>21/06/2026</t>
        </is>
      </c>
      <c r="AF253" t="inlineStr">
        <is>
          <t>Cronograma de Pendências EMPA</t>
        </is>
      </c>
    </row>
    <row r="254">
      <c r="A254">
        <v>252</v>
      </c>
      <c r="B254">
        <v>1</v>
      </c>
      <c r="C254" t="inlineStr">
        <is>
          <t>1.1</t>
        </is>
      </c>
      <c r="D254" t="inlineStr">
        <is>
          <t>C19</t>
        </is>
      </c>
      <c r="E254" t="inlineStr">
        <is>
          <t>LE/LD</t>
        </is>
      </c>
      <c r="F254" t="inlineStr">
        <is>
          <t>EMPA</t>
        </is>
      </c>
      <c r="G254" t="inlineStr">
        <is>
          <t>CLP-009</t>
        </is>
      </c>
      <c r="H254" t="inlineStr">
        <is>
          <t>Protocolo</t>
        </is>
      </c>
      <c r="I254">
        <v>4</v>
      </c>
      <c r="J254" t="inlineStr">
        <is>
          <t>Terraplenagem</t>
        </is>
      </c>
      <c r="K254" t="inlineStr">
        <is>
          <t>4.23</t>
        </is>
      </c>
      <c r="L254" t="inlineStr">
        <is>
          <t>Colchão drenante</t>
        </is>
      </c>
      <c r="M254" t="inlineStr">
        <is>
          <t>Colmatação colchão drenante</t>
        </is>
      </c>
      <c r="N254" t="inlineStr">
        <is>
          <t xml:space="preserve">Contaminação do colchão drenante em vários pontos, granulometria diversa em vários pontos do colchão drenante.    </t>
        </is>
      </c>
      <c r="O254" t="inlineStr">
        <is>
          <t>Tipo A</t>
        </is>
      </c>
      <c r="P254" t="inlineStr">
        <is>
          <t xml:space="preserve"> 7+710</t>
        </is>
      </c>
      <c r="Q254" t="inlineStr">
        <is>
          <t xml:space="preserve"> 8+100</t>
        </is>
      </c>
      <c r="R254" t="inlineStr">
        <is>
          <t>Aberta</t>
        </is>
      </c>
      <c r="T254" t="inlineStr">
        <is>
          <t>Aline Batista</t>
        </is>
      </c>
      <c r="U254" t="inlineStr">
        <is>
          <t>24/02/2026</t>
        </is>
      </c>
      <c r="V254" t="inlineStr">
        <is>
          <t>03/03/2026</t>
        </is>
      </c>
      <c r="W254">
        <v>99</v>
      </c>
      <c r="AA254" t="inlineStr">
        <is>
          <t>Aberta 90-120 dias</t>
        </is>
      </c>
      <c r="AB254" t="inlineStr">
        <is>
          <t>EMPA</t>
        </is>
      </c>
      <c r="AC254" t="inlineStr">
        <is>
          <t>Aline</t>
        </is>
      </c>
      <c r="AD254" t="inlineStr">
        <is>
          <t>02/06/2026</t>
        </is>
      </c>
      <c r="AE254" t="inlineStr">
        <is>
          <t>07/06/2026</t>
        </is>
      </c>
      <c r="AF254" t="inlineStr">
        <is>
          <t>Prazo Premissa Vale</t>
        </is>
      </c>
    </row>
    <row r="255">
      <c r="A255">
        <v>253</v>
      </c>
      <c r="B255">
        <v>1</v>
      </c>
      <c r="C255" t="inlineStr">
        <is>
          <t>1.1</t>
        </is>
      </c>
      <c r="D255" t="inlineStr">
        <is>
          <t>A23</t>
        </is>
      </c>
      <c r="E255" t="inlineStr">
        <is>
          <t>LE/LD</t>
        </is>
      </c>
      <c r="F255" t="inlineStr">
        <is>
          <t>EMPA</t>
        </is>
      </c>
      <c r="G255" t="inlineStr">
        <is>
          <t>CLP-009</t>
        </is>
      </c>
      <c r="H255" t="inlineStr">
        <is>
          <t>Protocolo</t>
        </is>
      </c>
      <c r="I255">
        <v>4</v>
      </c>
      <c r="J255" t="inlineStr">
        <is>
          <t>Terraplenagem</t>
        </is>
      </c>
      <c r="K255" t="inlineStr">
        <is>
          <t>4.25</t>
        </is>
      </c>
      <c r="L255" t="inlineStr">
        <is>
          <t>ADME</t>
        </is>
      </c>
      <c r="M255" t="inlineStr">
        <is>
          <t>Material Solto</t>
        </is>
      </c>
      <c r="N255" t="inlineStr">
        <is>
          <t>Remoção de solo solto jogado sobre hidrossemeadura.</t>
        </is>
      </c>
      <c r="O255" t="inlineStr">
        <is>
          <t>Tipo C</t>
        </is>
      </c>
      <c r="P255" t="inlineStr">
        <is>
          <t>9+100</t>
        </is>
      </c>
      <c r="Q255" t="inlineStr">
        <is>
          <t>9+230</t>
        </is>
      </c>
      <c r="R255" t="inlineStr">
        <is>
          <t>Aberta</t>
        </is>
      </c>
      <c r="T255" t="inlineStr">
        <is>
          <t>Aline Batista</t>
        </is>
      </c>
      <c r="U255" t="inlineStr">
        <is>
          <t>24/02/2026</t>
        </is>
      </c>
      <c r="V255" t="inlineStr">
        <is>
          <t>26/03/2026</t>
        </is>
      </c>
      <c r="W255">
        <v>76</v>
      </c>
      <c r="AA255" t="inlineStr">
        <is>
          <t>Aberta 90-120 dias</t>
        </is>
      </c>
      <c r="AB255" t="inlineStr">
        <is>
          <t>EMPA</t>
        </is>
      </c>
      <c r="AC255" t="inlineStr">
        <is>
          <t>Aline</t>
        </is>
      </c>
      <c r="AD255" t="inlineStr">
        <is>
          <t>09/06/2026</t>
        </is>
      </c>
      <c r="AE255" t="inlineStr">
        <is>
          <t>14/06/2026</t>
        </is>
      </c>
      <c r="AF255" t="inlineStr">
        <is>
          <t>Cronograma de Pendências EMPA</t>
        </is>
      </c>
    </row>
    <row r="256">
      <c r="A256">
        <v>254</v>
      </c>
      <c r="B256">
        <v>1</v>
      </c>
      <c r="C256" t="inlineStr">
        <is>
          <t>1.1</t>
        </is>
      </c>
      <c r="D256" t="inlineStr">
        <is>
          <t>C22</t>
        </is>
      </c>
      <c r="E256" t="inlineStr">
        <is>
          <t>LE/LD</t>
        </is>
      </c>
      <c r="F256" t="inlineStr">
        <is>
          <t>EMPA</t>
        </is>
      </c>
      <c r="G256" t="inlineStr">
        <is>
          <t>CLP-009</t>
        </is>
      </c>
      <c r="H256" t="inlineStr">
        <is>
          <t>Protocolo</t>
        </is>
      </c>
      <c r="I256">
        <v>4</v>
      </c>
      <c r="J256" t="inlineStr">
        <is>
          <t>Terraplenagem</t>
        </is>
      </c>
      <c r="K256" t="inlineStr">
        <is>
          <t>4.25</t>
        </is>
      </c>
      <c r="L256" t="inlineStr">
        <is>
          <t>Sublastro</t>
        </is>
      </c>
      <c r="M256" t="inlineStr">
        <is>
          <t>Material Solto</t>
        </is>
      </c>
      <c r="N256" t="inlineStr">
        <is>
          <t>Remoção de solo solto sobre hidrossemeadura</t>
        </is>
      </c>
      <c r="O256" t="inlineStr">
        <is>
          <t>Tipo C</t>
        </is>
      </c>
      <c r="P256" t="inlineStr">
        <is>
          <t>9+340</t>
        </is>
      </c>
      <c r="Q256" t="inlineStr">
        <is>
          <t>9+340</t>
        </is>
      </c>
      <c r="R256" t="inlineStr">
        <is>
          <t>Aberta</t>
        </is>
      </c>
      <c r="T256" t="inlineStr">
        <is>
          <t>Aline Batista</t>
        </is>
      </c>
      <c r="U256" t="inlineStr">
        <is>
          <t>24/02/2026</t>
        </is>
      </c>
      <c r="V256" t="inlineStr">
        <is>
          <t>26/03/2026</t>
        </is>
      </c>
      <c r="W256">
        <v>76</v>
      </c>
      <c r="AA256" t="inlineStr">
        <is>
          <t>Aberta 90-120 dias</t>
        </is>
      </c>
      <c r="AB256" t="inlineStr">
        <is>
          <t>EMPA</t>
        </is>
      </c>
      <c r="AC256" t="inlineStr">
        <is>
          <t>Aline</t>
        </is>
      </c>
      <c r="AD256" t="inlineStr">
        <is>
          <t>09/06/2026</t>
        </is>
      </c>
      <c r="AE256" t="inlineStr">
        <is>
          <t>14/06/2026</t>
        </is>
      </c>
      <c r="AF256" t="inlineStr">
        <is>
          <t>Cronograma de Pendências EMPA</t>
        </is>
      </c>
    </row>
    <row r="257">
      <c r="A257">
        <v>255</v>
      </c>
      <c r="B257">
        <v>1</v>
      </c>
      <c r="C257" t="inlineStr">
        <is>
          <t>1.1</t>
        </is>
      </c>
      <c r="D257" t="inlineStr">
        <is>
          <t>Geral</t>
        </is>
      </c>
      <c r="F257" t="inlineStr">
        <is>
          <t>EMPA</t>
        </is>
      </c>
      <c r="G257" t="inlineStr">
        <is>
          <t>CLP-009</t>
        </is>
      </c>
      <c r="H257" t="inlineStr">
        <is>
          <t>Protocolo</t>
        </is>
      </c>
      <c r="I257">
        <v>4</v>
      </c>
      <c r="J257" t="inlineStr">
        <is>
          <t>Terraplenagem</t>
        </is>
      </c>
      <c r="K257" t="inlineStr">
        <is>
          <t>4.26</t>
        </is>
      </c>
      <c r="L257" t="inlineStr">
        <is>
          <t>As Built</t>
        </is>
      </c>
      <c r="M257" t="inlineStr">
        <is>
          <t>Documental</t>
        </is>
      </c>
      <c r="N257" t="inlineStr">
        <is>
          <t>As Built - pendente de envio e validação da engenharia</t>
        </is>
      </c>
      <c r="O257" t="inlineStr">
        <is>
          <t>Tipo B</t>
        </is>
      </c>
      <c r="P257" t="inlineStr">
        <is>
          <t>7+590</t>
        </is>
      </c>
      <c r="Q257" t="inlineStr">
        <is>
          <t>11+900</t>
        </is>
      </c>
      <c r="R257" t="inlineStr">
        <is>
          <t>Aberta</t>
        </is>
      </c>
      <c r="T257" t="inlineStr">
        <is>
          <t>Aline Batista</t>
        </is>
      </c>
      <c r="U257" t="inlineStr">
        <is>
          <t>24/02/2026</t>
        </is>
      </c>
      <c r="V257" t="inlineStr">
        <is>
          <t>11/03/2026</t>
        </is>
      </c>
      <c r="W257">
        <v>91</v>
      </c>
      <c r="AA257" t="inlineStr">
        <is>
          <t>Aberta 90-120 dias</t>
        </is>
      </c>
      <c r="AB257" t="inlineStr">
        <is>
          <t>EMPA</t>
        </is>
      </c>
      <c r="AC257" t="inlineStr">
        <is>
          <t>Aline</t>
        </is>
      </c>
      <c r="AD257" t="inlineStr">
        <is>
          <t>02/06/2026</t>
        </is>
      </c>
      <c r="AE257" t="inlineStr">
        <is>
          <t>07/06/2026</t>
        </is>
      </c>
      <c r="AF257" t="inlineStr">
        <is>
          <t>Prazo Premissa Vale</t>
        </is>
      </c>
    </row>
    <row r="258">
      <c r="A258">
        <v>256</v>
      </c>
      <c r="B258">
        <v>1</v>
      </c>
      <c r="C258" t="inlineStr">
        <is>
          <t>1.1</t>
        </is>
      </c>
      <c r="D258" t="inlineStr">
        <is>
          <t>Geral</t>
        </is>
      </c>
      <c r="F258" t="inlineStr">
        <is>
          <t>EMPA</t>
        </is>
      </c>
      <c r="G258" t="inlineStr">
        <is>
          <t>CLP-009</t>
        </is>
      </c>
      <c r="H258" t="inlineStr">
        <is>
          <t>Protocolo</t>
        </is>
      </c>
      <c r="I258">
        <v>4</v>
      </c>
      <c r="J258" t="inlineStr">
        <is>
          <t>Terraplenagem</t>
        </is>
      </c>
      <c r="K258" t="inlineStr">
        <is>
          <t>4.28</t>
        </is>
      </c>
      <c r="L258" t="inlineStr">
        <is>
          <t>RNC</t>
        </is>
      </c>
      <c r="M258" t="inlineStr">
        <is>
          <t>Documental</t>
        </is>
      </c>
      <c r="N258" t="inlineStr">
        <is>
          <t>Existem RNC em tramitação .</t>
        </is>
      </c>
      <c r="O258" t="inlineStr">
        <is>
          <t>Tipo B</t>
        </is>
      </c>
      <c r="P258" t="inlineStr">
        <is>
          <t>7+590</t>
        </is>
      </c>
      <c r="Q258" t="inlineStr">
        <is>
          <t>11+900</t>
        </is>
      </c>
      <c r="R258" t="inlineStr">
        <is>
          <t>Aberta</t>
        </is>
      </c>
      <c r="T258" t="inlineStr">
        <is>
          <t>Aline Batista</t>
        </is>
      </c>
      <c r="U258" t="inlineStr">
        <is>
          <t>24/02/2026</t>
        </is>
      </c>
      <c r="V258" t="inlineStr">
        <is>
          <t>11/03/2026</t>
        </is>
      </c>
      <c r="W258">
        <v>91</v>
      </c>
      <c r="AA258" t="inlineStr">
        <is>
          <t>Aberta 90-120 dias</t>
        </is>
      </c>
      <c r="AB258" t="inlineStr">
        <is>
          <t>EMPA</t>
        </is>
      </c>
      <c r="AC258" t="inlineStr">
        <is>
          <t>Aline</t>
        </is>
      </c>
      <c r="AD258" t="inlineStr">
        <is>
          <t>02/06/2026</t>
        </is>
      </c>
      <c r="AE258" t="inlineStr">
        <is>
          <t>07/06/2026</t>
        </is>
      </c>
      <c r="AF258" t="inlineStr">
        <is>
          <t>Prazo Premissa Vale</t>
        </is>
      </c>
    </row>
    <row r="259">
      <c r="A259">
        <v>257</v>
      </c>
      <c r="B259">
        <v>1</v>
      </c>
      <c r="C259" t="inlineStr">
        <is>
          <t>1.1</t>
        </is>
      </c>
      <c r="D259" t="inlineStr">
        <is>
          <t>C19</t>
        </is>
      </c>
      <c r="E259" t="inlineStr">
        <is>
          <t>LE/LD/Banqueta</t>
        </is>
      </c>
      <c r="F259" t="inlineStr">
        <is>
          <t>EMPA</t>
        </is>
      </c>
      <c r="G259" t="inlineStr">
        <is>
          <t>CLP-009</t>
        </is>
      </c>
      <c r="H259" t="inlineStr">
        <is>
          <t>Protocolo</t>
        </is>
      </c>
      <c r="I259">
        <v>6</v>
      </c>
      <c r="J259" t="inlineStr">
        <is>
          <t>Drenagem Superficial</t>
        </is>
      </c>
      <c r="K259" t="inlineStr">
        <is>
          <t>6.1</t>
        </is>
      </c>
      <c r="L259" t="inlineStr">
        <is>
          <t>CZB-02</t>
        </is>
      </c>
      <c r="M259" t="inlineStr">
        <is>
          <t>Dispositivo não executado</t>
        </is>
      </c>
      <c r="N259" t="inlineStr">
        <is>
          <t>Pendência de execução da CZB-02.</t>
        </is>
      </c>
      <c r="O259" t="inlineStr">
        <is>
          <t>Tipo A</t>
        </is>
      </c>
      <c r="P259" t="inlineStr">
        <is>
          <t xml:space="preserve"> 8+160</t>
        </is>
      </c>
      <c r="Q259" t="inlineStr">
        <is>
          <t>8+240</t>
        </is>
      </c>
      <c r="R259" t="inlineStr">
        <is>
          <t>Aberta</t>
        </is>
      </c>
      <c r="T259" t="inlineStr">
        <is>
          <t>Aline Batista</t>
        </is>
      </c>
      <c r="U259" t="inlineStr">
        <is>
          <t>24/02/2026</t>
        </is>
      </c>
      <c r="V259" t="inlineStr">
        <is>
          <t>03/03/2026</t>
        </is>
      </c>
      <c r="W259">
        <v>99</v>
      </c>
      <c r="AA259" t="inlineStr">
        <is>
          <t>Aberta 90-120 dias</t>
        </is>
      </c>
      <c r="AB259" t="inlineStr">
        <is>
          <t>EMPA</t>
        </is>
      </c>
      <c r="AC259" t="inlineStr">
        <is>
          <t>Aline</t>
        </is>
      </c>
      <c r="AD259" t="inlineStr">
        <is>
          <t>02/06/2026</t>
        </is>
      </c>
      <c r="AE259" t="inlineStr">
        <is>
          <t>07/06/2026</t>
        </is>
      </c>
      <c r="AF259" t="inlineStr">
        <is>
          <t>Cronograma de Pendências EMPA</t>
        </is>
      </c>
    </row>
    <row r="260">
      <c r="A260">
        <v>258</v>
      </c>
      <c r="B260">
        <v>1</v>
      </c>
      <c r="C260" t="inlineStr">
        <is>
          <t>1.1</t>
        </is>
      </c>
      <c r="D260" t="inlineStr">
        <is>
          <t>C19</t>
        </is>
      </c>
      <c r="E260" t="inlineStr">
        <is>
          <t>LE/LD/Banqueta</t>
        </is>
      </c>
      <c r="F260" t="inlineStr">
        <is>
          <t>EMPA</t>
        </is>
      </c>
      <c r="G260" t="inlineStr">
        <is>
          <t>CLP-009</t>
        </is>
      </c>
      <c r="H260" t="inlineStr">
        <is>
          <t>Protocolo</t>
        </is>
      </c>
      <c r="I260">
        <v>6</v>
      </c>
      <c r="J260" t="inlineStr">
        <is>
          <t>Drenagem Superficial</t>
        </is>
      </c>
      <c r="K260" t="inlineStr">
        <is>
          <t>6.3</t>
        </is>
      </c>
      <c r="L260" t="inlineStr">
        <is>
          <t>VPCD-01</t>
        </is>
      </c>
      <c r="M260" t="inlineStr">
        <is>
          <t>Dispositivo não executado</t>
        </is>
      </c>
      <c r="N260" t="inlineStr">
        <is>
          <t>Pendência de conclusão dos degraus da VPCD-01,falta de bacia para capitação de água para BSTP.</t>
        </is>
      </c>
      <c r="O260" t="inlineStr">
        <is>
          <t>Tipo A</t>
        </is>
      </c>
      <c r="P260" t="inlineStr">
        <is>
          <t>8+160</t>
        </is>
      </c>
      <c r="Q260" t="inlineStr">
        <is>
          <t>8+240</t>
        </is>
      </c>
      <c r="R260" t="inlineStr">
        <is>
          <t>Aberta</t>
        </is>
      </c>
      <c r="T260" t="inlineStr">
        <is>
          <t>Aline Batista</t>
        </is>
      </c>
      <c r="U260" t="inlineStr">
        <is>
          <t>24/02/2026</t>
        </is>
      </c>
      <c r="V260" t="inlineStr">
        <is>
          <t>03/03/2026</t>
        </is>
      </c>
      <c r="W260">
        <v>99</v>
      </c>
      <c r="AA260" t="inlineStr">
        <is>
          <t>Aberta 90-120 dias</t>
        </is>
      </c>
      <c r="AB260" t="inlineStr">
        <is>
          <t>EMPA</t>
        </is>
      </c>
      <c r="AC260" t="inlineStr">
        <is>
          <t>Aline</t>
        </is>
      </c>
      <c r="AD260" t="inlineStr">
        <is>
          <t>27/05/2026</t>
        </is>
      </c>
      <c r="AE260" t="inlineStr">
        <is>
          <t>31/05/2026</t>
        </is>
      </c>
      <c r="AF260" t="inlineStr">
        <is>
          <t>Cronograma de Pendências EMPA</t>
        </is>
      </c>
    </row>
    <row r="261">
      <c r="A261">
        <v>259</v>
      </c>
      <c r="B261">
        <v>1</v>
      </c>
      <c r="C261" t="inlineStr">
        <is>
          <t>1.1</t>
        </is>
      </c>
      <c r="D261" t="inlineStr">
        <is>
          <t>C25</t>
        </is>
      </c>
      <c r="E261" t="inlineStr">
        <is>
          <t>LE/LD</t>
        </is>
      </c>
      <c r="F261" t="inlineStr">
        <is>
          <t>EMPA</t>
        </is>
      </c>
      <c r="G261" t="inlineStr">
        <is>
          <t>CLP-009</t>
        </is>
      </c>
      <c r="H261" t="inlineStr">
        <is>
          <t>Protocolo</t>
        </is>
      </c>
      <c r="I261">
        <v>6</v>
      </c>
      <c r="J261" t="inlineStr">
        <is>
          <t>Drenagem Superficial</t>
        </is>
      </c>
      <c r="K261" t="inlineStr">
        <is>
          <t>6.3</t>
        </is>
      </c>
      <c r="L261" t="inlineStr">
        <is>
          <t>Descida D'água, Dissipador e Colchão Reno</t>
        </is>
      </c>
      <c r="M261" t="inlineStr">
        <is>
          <t>Dispositivo não executado</t>
        </is>
      </c>
      <c r="N261" t="inlineStr">
        <is>
          <t xml:space="preserve">KM 9+764 - BSCap 1,00 x 1,00 DISPOSITIVOS A JUSANTE NÃO EXECUTADOS (DESCIDA D'ÁGUA, DISSIPADOR E COLCHÃO RENO) CONFORME SIT_2024_2010.
KM 9+867 - BSCap 1,00 x 1,00 DISPOSITIVOS A JUSANTE NÃO EXECUTADOS (DESCIDA D'ÁGUA E DISSIPADOR), CONFORME SIT_2024_2096.
KM 9+936 - BSTC Ø 1,00m DISPOSITIVOS A JUSANTE NÃO EXECUTADOS (DESCIDA D'ÁGUA, DISSIPADOR E COLCHÃO RENO), EXECUTAR CONFORME PROJETO.</t>
        </is>
      </c>
      <c r="O261" t="inlineStr">
        <is>
          <t>Tipo A</t>
        </is>
      </c>
      <c r="P261" t="inlineStr">
        <is>
          <t>9+764</t>
        </is>
      </c>
      <c r="Q261" t="inlineStr">
        <is>
          <t xml:space="preserve"> 9+936</t>
        </is>
      </c>
      <c r="R261" t="inlineStr">
        <is>
          <t>Aberta</t>
        </is>
      </c>
      <c r="T261" t="inlineStr">
        <is>
          <t>Aline Batista</t>
        </is>
      </c>
      <c r="U261" t="inlineStr">
        <is>
          <t>24/02/2026</t>
        </is>
      </c>
      <c r="V261" t="inlineStr">
        <is>
          <t>03/03/2026</t>
        </is>
      </c>
      <c r="W261">
        <v>99</v>
      </c>
      <c r="AA261" t="inlineStr">
        <is>
          <t>Aberta 90-120 dias</t>
        </is>
      </c>
      <c r="AB261" t="inlineStr">
        <is>
          <t>EMPA</t>
        </is>
      </c>
      <c r="AC261" t="inlineStr">
        <is>
          <t>Aline</t>
        </is>
      </c>
      <c r="AE261" t="inlineStr">
        <is>
          <t>12/06/2026</t>
        </is>
      </c>
      <c r="AF261" t="inlineStr">
        <is>
          <t>Verificar com ATO o aceite do enrocamento executado</t>
        </is>
      </c>
    </row>
    <row r="262">
      <c r="A262">
        <v>260</v>
      </c>
      <c r="B262">
        <v>1</v>
      </c>
      <c r="C262" t="inlineStr">
        <is>
          <t>1.1</t>
        </is>
      </c>
      <c r="D262" t="inlineStr">
        <is>
          <t>A29</t>
        </is>
      </c>
      <c r="E262" t="inlineStr">
        <is>
          <t>LE</t>
        </is>
      </c>
      <c r="F262" t="inlineStr">
        <is>
          <t>EMPA</t>
        </is>
      </c>
      <c r="G262" t="inlineStr">
        <is>
          <t>CLP-009</t>
        </is>
      </c>
      <c r="H262" t="inlineStr">
        <is>
          <t>Protocolo</t>
        </is>
      </c>
      <c r="I262">
        <v>6</v>
      </c>
      <c r="J262" t="inlineStr">
        <is>
          <t>Drenagem Superficial</t>
        </is>
      </c>
      <c r="K262" t="inlineStr">
        <is>
          <t>6.3</t>
        </is>
      </c>
      <c r="L262" t="inlineStr">
        <is>
          <t>Descida D'água, Dissipador e Colchão Reno</t>
        </is>
      </c>
      <c r="M262" t="inlineStr">
        <is>
          <t>Dispositivo não executado</t>
        </is>
      </c>
      <c r="N262" t="inlineStr">
        <is>
          <t>KM 10+231 BSTC Ø 1,00m - DISPOSITIVOS A JUSANTE NÃO EXECUTADOS (DESCIDA D'ÁGUA, DISSIPADOR E COLCHÃO RENO), CONFORME SIT_2023_1630.</t>
        </is>
      </c>
      <c r="O262" t="inlineStr">
        <is>
          <t>Tipo A</t>
        </is>
      </c>
      <c r="P262" t="inlineStr">
        <is>
          <t>10+250</t>
        </is>
      </c>
      <c r="Q262" t="inlineStr">
        <is>
          <t xml:space="preserve">10+231 </t>
        </is>
      </c>
      <c r="R262" t="inlineStr">
        <is>
          <t>Aberta</t>
        </is>
      </c>
      <c r="T262" t="inlineStr">
        <is>
          <t>Aline Batista</t>
        </is>
      </c>
      <c r="U262" t="inlineStr">
        <is>
          <t>24/02/2026</t>
        </is>
      </c>
      <c r="V262" t="inlineStr">
        <is>
          <t>03/03/2026</t>
        </is>
      </c>
      <c r="W262">
        <v>99</v>
      </c>
      <c r="AA262" t="inlineStr">
        <is>
          <t>Aberta 90-120 dias</t>
        </is>
      </c>
      <c r="AB262" t="inlineStr">
        <is>
          <t>EMPA</t>
        </is>
      </c>
      <c r="AC262" t="inlineStr">
        <is>
          <t>Aline</t>
        </is>
      </c>
      <c r="AE262" t="inlineStr">
        <is>
          <t>12/06/2026</t>
        </is>
      </c>
      <c r="AF262" t="inlineStr">
        <is>
          <t>Verificar com ATO o aceite do enrocamento executado</t>
        </is>
      </c>
    </row>
    <row r="263">
      <c r="A263">
        <v>261</v>
      </c>
      <c r="B263">
        <v>1</v>
      </c>
      <c r="C263" t="inlineStr">
        <is>
          <t>1.1</t>
        </is>
      </c>
      <c r="D263" t="inlineStr">
        <is>
          <t>C26</t>
        </is>
      </c>
      <c r="E263" t="inlineStr">
        <is>
          <t>LD Berma 1</t>
        </is>
      </c>
      <c r="F263" t="inlineStr">
        <is>
          <t>EMPA</t>
        </is>
      </c>
      <c r="G263" t="inlineStr">
        <is>
          <t>CLP-009</t>
        </is>
      </c>
      <c r="H263" t="inlineStr">
        <is>
          <t>Protocolo</t>
        </is>
      </c>
      <c r="I263">
        <v>6</v>
      </c>
      <c r="J263" t="inlineStr">
        <is>
          <t>Drenagem Superficial</t>
        </is>
      </c>
      <c r="K263" t="inlineStr">
        <is>
          <t>6.3</t>
        </is>
      </c>
      <c r="L263" t="inlineStr">
        <is>
          <t>Descida D'água, Dissipador e Colchão Reno</t>
        </is>
      </c>
      <c r="M263" t="inlineStr">
        <is>
          <t>Dispositivo não executado</t>
        </is>
      </c>
      <c r="N263" t="inlineStr">
        <is>
          <t>KM 10+398 BDCC 2,00 x 2,50 - NÃO FOI EXECUTADO DESCIDA D'ÁGUA PADRÃO VALEC E DISSIPADOR DE ENERGIA, CONFORME PROPOSTA NA SIT_2023_1261.</t>
        </is>
      </c>
      <c r="O263" t="inlineStr">
        <is>
          <t>Tipo A</t>
        </is>
      </c>
      <c r="P263" t="inlineStr">
        <is>
          <t>10+350</t>
        </is>
      </c>
      <c r="Q263" t="inlineStr">
        <is>
          <t xml:space="preserve">10+398 </t>
        </is>
      </c>
      <c r="R263" t="inlineStr">
        <is>
          <t>Aberta</t>
        </is>
      </c>
      <c r="T263" t="inlineStr">
        <is>
          <t>Aline Batista</t>
        </is>
      </c>
      <c r="U263" t="inlineStr">
        <is>
          <t>24/02/2026</t>
        </is>
      </c>
      <c r="V263" t="inlineStr">
        <is>
          <t>03/03/2026</t>
        </is>
      </c>
      <c r="W263">
        <v>99</v>
      </c>
      <c r="AA263" t="inlineStr">
        <is>
          <t>Aberta 90-120 dias</t>
        </is>
      </c>
      <c r="AB263" t="inlineStr">
        <is>
          <t>EMPA</t>
        </is>
      </c>
      <c r="AC263" t="inlineStr">
        <is>
          <t>Aline</t>
        </is>
      </c>
      <c r="AE263" t="inlineStr">
        <is>
          <t>12/06/2026</t>
        </is>
      </c>
      <c r="AF263" t="inlineStr">
        <is>
          <t>Verificar com ATO o aceite do enrocamento executado</t>
        </is>
      </c>
    </row>
    <row r="264">
      <c r="A264">
        <v>262</v>
      </c>
      <c r="B264">
        <v>1</v>
      </c>
      <c r="C264" t="inlineStr">
        <is>
          <t>1.1</t>
        </is>
      </c>
      <c r="D264" t="inlineStr">
        <is>
          <t>A30</t>
        </is>
      </c>
      <c r="E264" t="inlineStr">
        <is>
          <t>LE/LD</t>
        </is>
      </c>
      <c r="F264" t="inlineStr">
        <is>
          <t>EMPA</t>
        </is>
      </c>
      <c r="G264" t="inlineStr">
        <is>
          <t>CLP-009</t>
        </is>
      </c>
      <c r="H264" t="inlineStr">
        <is>
          <t>Protocolo</t>
        </is>
      </c>
      <c r="I264">
        <v>6</v>
      </c>
      <c r="J264" t="inlineStr">
        <is>
          <t>Drenagem Superficial</t>
        </is>
      </c>
      <c r="K264" t="inlineStr">
        <is>
          <t>6.3</t>
        </is>
      </c>
      <c r="L264" t="inlineStr">
        <is>
          <t>Descida D'água, Dissipador e Colchão Reno</t>
        </is>
      </c>
      <c r="M264" t="inlineStr">
        <is>
          <t>Dispositivo não executado</t>
        </is>
      </c>
      <c r="N264" t="inlineStr">
        <is>
          <t>KM 10+607 BSCap 1,00 x 1,00 - DISPOSITIVOS A JUSANTE NÃO EXECUTADOS (DESCIDA D'ÁGUA, DISSIPADOR E COLCHÃO RENO). KM 10+667 BSTC Ø 1,00m - BACIA DE CAPTAÇÃO NÃO EXECUTADA.</t>
        </is>
      </c>
      <c r="O264" t="inlineStr">
        <is>
          <t>Tipo A</t>
        </is>
      </c>
      <c r="P264" t="inlineStr">
        <is>
          <t>10+607</t>
        </is>
      </c>
      <c r="Q264" t="inlineStr">
        <is>
          <t>10+667</t>
        </is>
      </c>
      <c r="R264" t="inlineStr">
        <is>
          <t>Aberta</t>
        </is>
      </c>
      <c r="T264" t="inlineStr">
        <is>
          <t>Aline Batista</t>
        </is>
      </c>
      <c r="U264" t="inlineStr">
        <is>
          <t>24/02/2026</t>
        </is>
      </c>
      <c r="V264" t="inlineStr">
        <is>
          <t>03/03/2026</t>
        </is>
      </c>
      <c r="W264">
        <v>99</v>
      </c>
      <c r="AA264" t="inlineStr">
        <is>
          <t>Aberta 90-120 dias</t>
        </is>
      </c>
      <c r="AB264" t="inlineStr">
        <is>
          <t>EMPA</t>
        </is>
      </c>
      <c r="AC264" t="inlineStr">
        <is>
          <t>Aline</t>
        </is>
      </c>
      <c r="AE264" t="inlineStr">
        <is>
          <t>12/06/2026</t>
        </is>
      </c>
      <c r="AF264" t="inlineStr">
        <is>
          <t>Verificar com ATO o aceite do enrocamento executado</t>
        </is>
      </c>
    </row>
    <row r="265">
      <c r="A265">
        <v>263</v>
      </c>
      <c r="B265">
        <v>1</v>
      </c>
      <c r="C265" t="inlineStr">
        <is>
          <t>1.1</t>
        </is>
      </c>
      <c r="D265" t="inlineStr">
        <is>
          <t>A30</t>
        </is>
      </c>
      <c r="E265" t="inlineStr">
        <is>
          <t>LE/LD</t>
        </is>
      </c>
      <c r="F265" t="inlineStr">
        <is>
          <t>EMPA</t>
        </is>
      </c>
      <c r="G265" t="inlineStr">
        <is>
          <t>CLP-009</t>
        </is>
      </c>
      <c r="H265" t="inlineStr">
        <is>
          <t>Protocolo</t>
        </is>
      </c>
      <c r="I265">
        <v>6</v>
      </c>
      <c r="J265" t="inlineStr">
        <is>
          <t>Drenagem Superficial</t>
        </is>
      </c>
      <c r="K265" t="inlineStr">
        <is>
          <t>6.3</t>
        </is>
      </c>
      <c r="L265" t="inlineStr">
        <is>
          <t>Descida D'água, Dissipador e Colchão Reno</t>
        </is>
      </c>
      <c r="M265" t="inlineStr">
        <is>
          <t>Dispositivo não executado</t>
        </is>
      </c>
      <c r="N265" t="inlineStr">
        <is>
          <t>KM 10+763 BSTC Ø 1,00m  - DISPOSITIVOS A JUSANTE NÃO EXECUTADOS (DESCIDA D'ÁGUA, DISSIPADOR E COLCHÃO RENO), CONFORME SIT_2024_2060.</t>
        </is>
      </c>
      <c r="O265" t="inlineStr">
        <is>
          <t>Tipo A</t>
        </is>
      </c>
      <c r="P265" t="inlineStr">
        <is>
          <t>10+700</t>
        </is>
      </c>
      <c r="Q265" t="inlineStr">
        <is>
          <t>10+763</t>
        </is>
      </c>
      <c r="R265" t="inlineStr">
        <is>
          <t>Aberta</t>
        </is>
      </c>
      <c r="T265" t="inlineStr">
        <is>
          <t>Aline Batista</t>
        </is>
      </c>
      <c r="U265" t="inlineStr">
        <is>
          <t>24/02/2026</t>
        </is>
      </c>
      <c r="V265" t="inlineStr">
        <is>
          <t>03/03/2026</t>
        </is>
      </c>
      <c r="W265">
        <v>99</v>
      </c>
      <c r="AA265" t="inlineStr">
        <is>
          <t>Aberta 90-120 dias</t>
        </is>
      </c>
      <c r="AB265" t="inlineStr">
        <is>
          <t>EMPA</t>
        </is>
      </c>
      <c r="AC265" t="inlineStr">
        <is>
          <t>Aline</t>
        </is>
      </c>
      <c r="AE265" t="inlineStr">
        <is>
          <t>12/06/2026</t>
        </is>
      </c>
      <c r="AF265" t="inlineStr">
        <is>
          <t>Verificar com ATO o aceite do enrocamento executado</t>
        </is>
      </c>
    </row>
    <row r="266">
      <c r="A266">
        <v>264</v>
      </c>
      <c r="B266">
        <v>1</v>
      </c>
      <c r="C266" t="inlineStr">
        <is>
          <t>1.1</t>
        </is>
      </c>
      <c r="D266" t="inlineStr">
        <is>
          <t>A32</t>
        </is>
      </c>
      <c r="E266" t="inlineStr">
        <is>
          <t>LE/LD</t>
        </is>
      </c>
      <c r="F266" t="inlineStr">
        <is>
          <t>EMPA</t>
        </is>
      </c>
      <c r="G266" t="inlineStr">
        <is>
          <t>CLP-009</t>
        </is>
      </c>
      <c r="H266" t="inlineStr">
        <is>
          <t>Protocolo</t>
        </is>
      </c>
      <c r="I266">
        <v>6</v>
      </c>
      <c r="J266" t="inlineStr">
        <is>
          <t>Drenagem Superficial</t>
        </is>
      </c>
      <c r="K266" t="inlineStr">
        <is>
          <t>6.3</t>
        </is>
      </c>
      <c r="L266" t="inlineStr">
        <is>
          <t>Descida D'água, Dissipador e Colchão Reno</t>
        </is>
      </c>
      <c r="M266" t="inlineStr">
        <is>
          <t>Dispositivo não executado</t>
        </is>
      </c>
      <c r="N266" t="inlineStr">
        <is>
          <t>KM 11+353 BSTC Ø 1,20m - DISPOSITIVOS A JUSANTE NÃO EXECUTADOS (DESCIDA D'ÁGUA, DISSIPADOR E COLCHÃO RENO)</t>
        </is>
      </c>
      <c r="O266" t="inlineStr">
        <is>
          <t>Tipo A</t>
        </is>
      </c>
      <c r="P266" t="inlineStr">
        <is>
          <t>11+353</t>
        </is>
      </c>
      <c r="Q266" t="inlineStr">
        <is>
          <t>11+353</t>
        </is>
      </c>
      <c r="R266" t="inlineStr">
        <is>
          <t>Aberta</t>
        </is>
      </c>
      <c r="T266" t="inlineStr">
        <is>
          <t>Aline Batista</t>
        </is>
      </c>
      <c r="U266" t="inlineStr">
        <is>
          <t>24/02/2026</t>
        </is>
      </c>
      <c r="V266" t="inlineStr">
        <is>
          <t>03/03/2026</t>
        </is>
      </c>
      <c r="W266">
        <v>99</v>
      </c>
      <c r="AA266" t="inlineStr">
        <is>
          <t>Aberta 90-120 dias</t>
        </is>
      </c>
      <c r="AB266" t="inlineStr">
        <is>
          <t>EMPA</t>
        </is>
      </c>
      <c r="AC266" t="inlineStr">
        <is>
          <t>Aline</t>
        </is>
      </c>
      <c r="AD266" t="inlineStr">
        <is>
          <t>12/06/2026</t>
        </is>
      </c>
      <c r="AE266" t="inlineStr">
        <is>
          <t>12/06/2026</t>
        </is>
      </c>
      <c r="AF266" t="inlineStr">
        <is>
          <t>Verificar com ATO o aceite do enrocamento executado</t>
        </is>
      </c>
    </row>
    <row r="267">
      <c r="A267">
        <v>265</v>
      </c>
      <c r="B267">
        <v>1</v>
      </c>
      <c r="C267" t="inlineStr">
        <is>
          <t>1.1</t>
        </is>
      </c>
      <c r="D267" t="inlineStr">
        <is>
          <t>C22</t>
        </is>
      </c>
      <c r="E267" t="inlineStr">
        <is>
          <t>LE/LD</t>
        </is>
      </c>
      <c r="F267" t="inlineStr">
        <is>
          <t>EMPA</t>
        </is>
      </c>
      <c r="G267" t="inlineStr">
        <is>
          <t>CLP-009</t>
        </is>
      </c>
      <c r="H267" t="inlineStr">
        <is>
          <t>Protocolo</t>
        </is>
      </c>
      <c r="I267">
        <v>6</v>
      </c>
      <c r="J267" t="inlineStr">
        <is>
          <t>Drenagem Superficial</t>
        </is>
      </c>
      <c r="K267" t="inlineStr">
        <is>
          <t>6.5</t>
        </is>
      </c>
      <c r="L267" t="inlineStr">
        <is>
          <t>Dissipador</t>
        </is>
      </c>
      <c r="M267" t="inlineStr">
        <is>
          <t>Dispositivo não executado</t>
        </is>
      </c>
      <c r="N267" t="inlineStr">
        <is>
          <t>KM 11+250 BSTC Ø 1,00m - DISSIPADOR DE ENERGIA NÃO EXECUTADO.</t>
        </is>
      </c>
      <c r="O267" t="inlineStr">
        <is>
          <t>Tipo A</t>
        </is>
      </c>
      <c r="P267" t="inlineStr">
        <is>
          <t>11+250</t>
        </is>
      </c>
      <c r="Q267" t="inlineStr">
        <is>
          <t>11+250</t>
        </is>
      </c>
      <c r="R267" t="inlineStr">
        <is>
          <t>Aberta</t>
        </is>
      </c>
      <c r="T267" t="inlineStr">
        <is>
          <t>Aline Batista</t>
        </is>
      </c>
      <c r="U267" t="inlineStr">
        <is>
          <t>24/02/2026</t>
        </is>
      </c>
      <c r="V267" t="inlineStr">
        <is>
          <t>03/03/2026</t>
        </is>
      </c>
      <c r="W267">
        <v>99</v>
      </c>
      <c r="AA267" t="inlineStr">
        <is>
          <t>Aberta 90-120 dias</t>
        </is>
      </c>
      <c r="AB267" t="inlineStr">
        <is>
          <t>EMPA</t>
        </is>
      </c>
      <c r="AC267" t="inlineStr">
        <is>
          <t>Aline</t>
        </is>
      </c>
      <c r="AD267" t="inlineStr">
        <is>
          <t>12/06/2026</t>
        </is>
      </c>
      <c r="AE267" t="inlineStr">
        <is>
          <t>12/06/2026</t>
        </is>
      </c>
      <c r="AF267" t="inlineStr">
        <is>
          <t>Verificar com ATO o aceite do enrocamento executado</t>
        </is>
      </c>
    </row>
    <row r="268">
      <c r="A268">
        <v>266</v>
      </c>
      <c r="B268">
        <v>1</v>
      </c>
      <c r="C268" t="inlineStr">
        <is>
          <t>1.1</t>
        </is>
      </c>
      <c r="D268" t="inlineStr">
        <is>
          <t>C27</t>
        </is>
      </c>
      <c r="E268" t="inlineStr">
        <is>
          <t>LE/EX/LD</t>
        </is>
      </c>
      <c r="F268" t="inlineStr">
        <is>
          <t>EMPA</t>
        </is>
      </c>
      <c r="G268" t="inlineStr">
        <is>
          <t>CLP-009</t>
        </is>
      </c>
      <c r="H268" t="inlineStr">
        <is>
          <t>Protocolo</t>
        </is>
      </c>
      <c r="I268">
        <v>6</v>
      </c>
      <c r="J268" t="inlineStr">
        <is>
          <t>Drenagem Superficial</t>
        </is>
      </c>
      <c r="K268" t="inlineStr">
        <is>
          <t>6.6</t>
        </is>
      </c>
      <c r="L268" t="inlineStr">
        <is>
          <t>DRA</t>
        </is>
      </c>
      <c r="M268" t="inlineStr">
        <is>
          <t>Conformação</t>
        </is>
      </c>
      <c r="N268" t="inlineStr">
        <is>
          <t>Reaterro da DRA de ambos os lados.</t>
        </is>
      </c>
      <c r="O268" t="inlineStr">
        <is>
          <t>Tipo A</t>
        </is>
      </c>
      <c r="P268" t="inlineStr">
        <is>
          <t>11+000</t>
        </is>
      </c>
      <c r="Q268" t="inlineStr">
        <is>
          <t>11+000</t>
        </is>
      </c>
      <c r="R268" t="inlineStr">
        <is>
          <t>Aberta</t>
        </is>
      </c>
      <c r="T268" t="inlineStr">
        <is>
          <t>Aline Batista</t>
        </is>
      </c>
      <c r="U268" t="inlineStr">
        <is>
          <t>24/02/2026</t>
        </is>
      </c>
      <c r="V268" t="inlineStr">
        <is>
          <t>03/03/2026</t>
        </is>
      </c>
      <c r="W268">
        <v>99</v>
      </c>
      <c r="AA268" t="inlineStr">
        <is>
          <t>Aberta 90-120 dias</t>
        </is>
      </c>
      <c r="AB268" t="inlineStr">
        <is>
          <t>EMPA</t>
        </is>
      </c>
      <c r="AC268" t="inlineStr">
        <is>
          <t>Aline</t>
        </is>
      </c>
      <c r="AD268" t="inlineStr">
        <is>
          <t>23/06/2026</t>
        </is>
      </c>
      <c r="AE268" t="inlineStr">
        <is>
          <t>28/06/2026</t>
        </is>
      </c>
      <c r="AF268" t="inlineStr">
        <is>
          <t>Cronograma de Pendências EMPA</t>
        </is>
      </c>
    </row>
    <row r="269">
      <c r="A269">
        <v>267</v>
      </c>
      <c r="B269">
        <v>1</v>
      </c>
      <c r="C269" t="inlineStr">
        <is>
          <t>1.1</t>
        </is>
      </c>
      <c r="D269" t="inlineStr">
        <is>
          <t>A23</t>
        </is>
      </c>
      <c r="E269" t="inlineStr">
        <is>
          <t>LE/LD</t>
        </is>
      </c>
      <c r="F269" t="inlineStr">
        <is>
          <t>EMPA</t>
        </is>
      </c>
      <c r="G269" t="inlineStr">
        <is>
          <t>CLP-009</t>
        </is>
      </c>
      <c r="H269" t="inlineStr">
        <is>
          <t>Protocolo</t>
        </is>
      </c>
      <c r="I269">
        <v>6</v>
      </c>
      <c r="J269" t="inlineStr">
        <is>
          <t>Drenagem Superficial</t>
        </is>
      </c>
      <c r="K269" t="inlineStr">
        <is>
          <t>6.6</t>
        </is>
      </c>
      <c r="L269" t="inlineStr">
        <is>
          <t>VPCD-01</t>
        </is>
      </c>
      <c r="M269" t="inlineStr">
        <is>
          <t>Erosões</t>
        </is>
      </c>
      <c r="N269" t="inlineStr">
        <is>
          <t>Evidenciado erosão lateral ao lado do dispositivo de drenagem.</t>
        </is>
      </c>
      <c r="O269" t="inlineStr">
        <is>
          <t>Tipo A</t>
        </is>
      </c>
      <c r="P269" t="inlineStr">
        <is>
          <t>9+700</t>
        </is>
      </c>
      <c r="Q269" t="inlineStr">
        <is>
          <t>9+800</t>
        </is>
      </c>
      <c r="R269" t="inlineStr">
        <is>
          <t>Aberta</t>
        </is>
      </c>
      <c r="T269" t="inlineStr">
        <is>
          <t>Aline Batista</t>
        </is>
      </c>
      <c r="U269" t="inlineStr">
        <is>
          <t>24/02/2026</t>
        </is>
      </c>
      <c r="V269" t="inlineStr">
        <is>
          <t>03/03/2026</t>
        </is>
      </c>
      <c r="W269">
        <v>99</v>
      </c>
      <c r="AA269" t="inlineStr">
        <is>
          <t>Aberta 90-120 dias</t>
        </is>
      </c>
      <c r="AB269" t="inlineStr">
        <is>
          <t>EMPA</t>
        </is>
      </c>
      <c r="AC269" t="inlineStr">
        <is>
          <t>Aline</t>
        </is>
      </c>
      <c r="AD269" t="inlineStr">
        <is>
          <t>09/06/2026</t>
        </is>
      </c>
      <c r="AE269" t="inlineStr">
        <is>
          <t>14/06/2026</t>
        </is>
      </c>
      <c r="AF269" t="inlineStr">
        <is>
          <t>Cronograma de Pendências EMPA</t>
        </is>
      </c>
    </row>
    <row r="270">
      <c r="A270">
        <v>268</v>
      </c>
      <c r="B270">
        <v>1</v>
      </c>
      <c r="C270" t="inlineStr">
        <is>
          <t>1.1</t>
        </is>
      </c>
      <c r="D270" t="inlineStr">
        <is>
          <t>C19</t>
        </is>
      </c>
      <c r="E270" t="inlineStr">
        <is>
          <t>LE/LD</t>
        </is>
      </c>
      <c r="F270" t="inlineStr">
        <is>
          <t>EMPA</t>
        </is>
      </c>
      <c r="G270" t="inlineStr">
        <is>
          <t>CLP-009</t>
        </is>
      </c>
      <c r="H270" t="inlineStr">
        <is>
          <t>Protocolo</t>
        </is>
      </c>
      <c r="I270">
        <v>6</v>
      </c>
      <c r="J270" t="inlineStr">
        <is>
          <t>Drenagem Superficial</t>
        </is>
      </c>
      <c r="K270" t="inlineStr">
        <is>
          <t>6.7</t>
        </is>
      </c>
      <c r="L270" t="inlineStr">
        <is>
          <t>SRC</t>
        </is>
      </c>
      <c r="M270" t="inlineStr">
        <is>
          <t>Patologias no Concreto</t>
        </is>
      </c>
      <c r="N270" t="inlineStr">
        <is>
          <t>Evidenciado fissuras e trincas em todo o sistema de drenagem em pontos alternados em todo segmento percorrido plataforma e banqueta.</t>
        </is>
      </c>
      <c r="O270" t="inlineStr">
        <is>
          <t>Tipo A</t>
        </is>
      </c>
      <c r="P270" t="inlineStr">
        <is>
          <t>7+710</t>
        </is>
      </c>
      <c r="Q270" t="inlineStr">
        <is>
          <t>8+100</t>
        </is>
      </c>
      <c r="R270" t="inlineStr">
        <is>
          <t>Aberta</t>
        </is>
      </c>
      <c r="T270" t="inlineStr">
        <is>
          <t>Aline Batista</t>
        </is>
      </c>
      <c r="U270" t="inlineStr">
        <is>
          <t>24/02/2026</t>
        </is>
      </c>
      <c r="V270" t="inlineStr">
        <is>
          <t>03/03/2026</t>
        </is>
      </c>
      <c r="W270">
        <v>99</v>
      </c>
      <c r="AA270" t="inlineStr">
        <is>
          <t>Aberta 90-120 dias</t>
        </is>
      </c>
      <c r="AB270" t="inlineStr">
        <is>
          <t>EMPA</t>
        </is>
      </c>
      <c r="AC270" t="inlineStr">
        <is>
          <t>Aline</t>
        </is>
      </c>
      <c r="AD270" t="inlineStr">
        <is>
          <t>02/06/2026</t>
        </is>
      </c>
      <c r="AE270" t="inlineStr">
        <is>
          <t>07/06/2026</t>
        </is>
      </c>
      <c r="AF270" t="inlineStr">
        <is>
          <t>Cronograma de Pendências EMPA</t>
        </is>
      </c>
    </row>
    <row r="271">
      <c r="A271">
        <v>269</v>
      </c>
      <c r="B271">
        <v>1</v>
      </c>
      <c r="C271" t="inlineStr">
        <is>
          <t>1.1</t>
        </is>
      </c>
      <c r="D271" t="inlineStr">
        <is>
          <t>C19</t>
        </is>
      </c>
      <c r="E271" t="inlineStr">
        <is>
          <t>LE/LD</t>
        </is>
      </c>
      <c r="F271" t="inlineStr">
        <is>
          <t>EMPA</t>
        </is>
      </c>
      <c r="G271" t="inlineStr">
        <is>
          <t>CLP-009</t>
        </is>
      </c>
      <c r="H271" t="inlineStr">
        <is>
          <t>Protocolo</t>
        </is>
      </c>
      <c r="I271">
        <v>6</v>
      </c>
      <c r="J271" t="inlineStr">
        <is>
          <t>Drenagem Superficial</t>
        </is>
      </c>
      <c r="K271" t="inlineStr">
        <is>
          <t>6.7</t>
        </is>
      </c>
      <c r="L271" t="inlineStr">
        <is>
          <t>SRC 03, 04, CZB-02</t>
        </is>
      </c>
      <c r="M271" t="inlineStr">
        <is>
          <t>Obstrução do dispositivo</t>
        </is>
      </c>
      <c r="N271" t="inlineStr">
        <is>
          <t>Evidenciado alça de pega das sarjetas pré-moldados aparente em contato com a armação da estrutura. Obstrução de canaleta CZB 02, desplacamento de talude LD 1° e 2° banqueta.</t>
        </is>
      </c>
      <c r="O271" t="inlineStr">
        <is>
          <t>Tipo A</t>
        </is>
      </c>
      <c r="P271" t="inlineStr">
        <is>
          <t>7+810</t>
        </is>
      </c>
      <c r="Q271" t="inlineStr">
        <is>
          <t>8+390</t>
        </is>
      </c>
      <c r="R271" t="inlineStr">
        <is>
          <t>Aberta</t>
        </is>
      </c>
      <c r="T271" t="inlineStr">
        <is>
          <t>Aline Batista</t>
        </is>
      </c>
      <c r="U271" t="inlineStr">
        <is>
          <t>24/02/2026</t>
        </is>
      </c>
      <c r="V271" t="inlineStr">
        <is>
          <t>03/03/2026</t>
        </is>
      </c>
      <c r="W271">
        <v>99</v>
      </c>
      <c r="AA271" t="inlineStr">
        <is>
          <t>Aberta 90-120 dias</t>
        </is>
      </c>
      <c r="AB271" t="inlineStr">
        <is>
          <t>EMPA</t>
        </is>
      </c>
      <c r="AC271" t="inlineStr">
        <is>
          <t>Aline</t>
        </is>
      </c>
      <c r="AD271" t="inlineStr">
        <is>
          <t>02/06/2026</t>
        </is>
      </c>
      <c r="AE271" t="inlineStr">
        <is>
          <t>07/06/2026</t>
        </is>
      </c>
      <c r="AF271" t="inlineStr">
        <is>
          <t>Cronograma de Pendências EMPA</t>
        </is>
      </c>
    </row>
    <row r="272">
      <c r="A272">
        <v>270</v>
      </c>
      <c r="B272">
        <v>1</v>
      </c>
      <c r="C272" t="inlineStr">
        <is>
          <t>1.1</t>
        </is>
      </c>
      <c r="D272" t="inlineStr">
        <is>
          <t>C19</t>
        </is>
      </c>
      <c r="E272" t="inlineStr">
        <is>
          <t>LE/LD</t>
        </is>
      </c>
      <c r="F272" t="inlineStr">
        <is>
          <t>EMPA</t>
        </is>
      </c>
      <c r="G272" t="inlineStr">
        <is>
          <t>CLP-009</t>
        </is>
      </c>
      <c r="H272" t="inlineStr">
        <is>
          <t>Protocolo</t>
        </is>
      </c>
      <c r="I272">
        <v>6</v>
      </c>
      <c r="J272" t="inlineStr">
        <is>
          <t>Drenagem Superficial</t>
        </is>
      </c>
      <c r="K272" t="inlineStr">
        <is>
          <t>6.7</t>
        </is>
      </c>
      <c r="L272" t="inlineStr">
        <is>
          <t>SCR 04</t>
        </is>
      </c>
      <c r="M272" t="inlineStr">
        <is>
          <t>Acabamento do concreto</t>
        </is>
      </c>
      <c r="N272" t="inlineStr">
        <is>
          <t>Pendente tratamento de ponto de pega (furos) e trincas em todo o dispositivo de drenagem SRC.</t>
        </is>
      </c>
      <c r="O272" t="inlineStr">
        <is>
          <t>Tipo A</t>
        </is>
      </c>
      <c r="P272" t="inlineStr">
        <is>
          <t xml:space="preserve"> 7+960</t>
        </is>
      </c>
      <c r="Q272" t="inlineStr">
        <is>
          <t xml:space="preserve"> 7+960</t>
        </is>
      </c>
      <c r="R272" t="inlineStr">
        <is>
          <t>Aberta</t>
        </is>
      </c>
      <c r="T272" t="inlineStr">
        <is>
          <t>Aline Batista</t>
        </is>
      </c>
      <c r="U272" t="inlineStr">
        <is>
          <t>24/02/2026</t>
        </is>
      </c>
      <c r="V272" t="inlineStr">
        <is>
          <t>03/03/2026</t>
        </is>
      </c>
      <c r="W272">
        <v>99</v>
      </c>
      <c r="AA272" t="inlineStr">
        <is>
          <t>Aberta 90-120 dias</t>
        </is>
      </c>
      <c r="AB272" t="inlineStr">
        <is>
          <t>EMPA</t>
        </is>
      </c>
      <c r="AC272" t="inlineStr">
        <is>
          <t>Aline</t>
        </is>
      </c>
      <c r="AD272" t="inlineStr">
        <is>
          <t>02/06/2026</t>
        </is>
      </c>
      <c r="AE272" t="inlineStr">
        <is>
          <t>07/06/2026</t>
        </is>
      </c>
      <c r="AF272" t="inlineStr">
        <is>
          <t>Cronograma de Pendências EMPA</t>
        </is>
      </c>
    </row>
    <row r="273">
      <c r="A273">
        <v>271</v>
      </c>
      <c r="B273">
        <v>1</v>
      </c>
      <c r="C273" t="inlineStr">
        <is>
          <t>1.1</t>
        </is>
      </c>
      <c r="D273" t="inlineStr">
        <is>
          <t>C19</t>
        </is>
      </c>
      <c r="E273" t="inlineStr">
        <is>
          <t>LE/LD</t>
        </is>
      </c>
      <c r="F273" t="inlineStr">
        <is>
          <t>EMPA</t>
        </is>
      </c>
      <c r="G273" t="inlineStr">
        <is>
          <t>CLP-009</t>
        </is>
      </c>
      <c r="H273" t="inlineStr">
        <is>
          <t>Protocolo</t>
        </is>
      </c>
      <c r="I273">
        <v>6</v>
      </c>
      <c r="J273" t="inlineStr">
        <is>
          <t>Drenagem Superficial</t>
        </is>
      </c>
      <c r="K273" t="inlineStr">
        <is>
          <t>6.7</t>
        </is>
      </c>
      <c r="L273" t="inlineStr">
        <is>
          <t>DDA</t>
        </is>
      </c>
      <c r="M273" t="inlineStr">
        <is>
          <t>Obstrução do dispositivo</t>
        </is>
      </c>
      <c r="N273" t="inlineStr">
        <is>
          <t>Evidenciado VPC de crista obstruída e com fissuras.</t>
        </is>
      </c>
      <c r="O273" t="inlineStr">
        <is>
          <t>Tipo A</t>
        </is>
      </c>
      <c r="P273" t="inlineStr">
        <is>
          <t xml:space="preserve"> 7+840</t>
        </is>
      </c>
      <c r="Q273" t="inlineStr">
        <is>
          <t xml:space="preserve"> 7+840</t>
        </is>
      </c>
      <c r="R273" t="inlineStr">
        <is>
          <t>Aberta</t>
        </is>
      </c>
      <c r="T273" t="inlineStr">
        <is>
          <t>Aline Batista</t>
        </is>
      </c>
      <c r="U273" t="inlineStr">
        <is>
          <t>24/02/2026</t>
        </is>
      </c>
      <c r="V273" t="inlineStr">
        <is>
          <t>03/03/2026</t>
        </is>
      </c>
      <c r="W273">
        <v>99</v>
      </c>
      <c r="AA273" t="inlineStr">
        <is>
          <t>Aberta 90-120 dias</t>
        </is>
      </c>
      <c r="AB273" t="inlineStr">
        <is>
          <t>EMPA</t>
        </is>
      </c>
      <c r="AC273" t="inlineStr">
        <is>
          <t>Aline</t>
        </is>
      </c>
      <c r="AD273" t="inlineStr">
        <is>
          <t>02/06/2026</t>
        </is>
      </c>
      <c r="AE273" t="inlineStr">
        <is>
          <t>07/06/2026</t>
        </is>
      </c>
      <c r="AF273" t="inlineStr">
        <is>
          <t>Prazo Premissa Vale</t>
        </is>
      </c>
    </row>
    <row r="274">
      <c r="A274">
        <v>272</v>
      </c>
      <c r="B274">
        <v>1</v>
      </c>
      <c r="C274" t="inlineStr">
        <is>
          <t>1.1</t>
        </is>
      </c>
      <c r="D274" t="inlineStr">
        <is>
          <t>C19</t>
        </is>
      </c>
      <c r="E274" t="inlineStr">
        <is>
          <t>LE/LD</t>
        </is>
      </c>
      <c r="F274" t="inlineStr">
        <is>
          <t>EMPA</t>
        </is>
      </c>
      <c r="G274" t="inlineStr">
        <is>
          <t>CLP-009</t>
        </is>
      </c>
      <c r="H274" t="inlineStr">
        <is>
          <t>Protocolo</t>
        </is>
      </c>
      <c r="I274">
        <v>6</v>
      </c>
      <c r="J274" t="inlineStr">
        <is>
          <t>Drenagem Superficial</t>
        </is>
      </c>
      <c r="K274" t="inlineStr">
        <is>
          <t>6.7</t>
        </is>
      </c>
      <c r="L274" t="inlineStr">
        <is>
          <t>DHP</t>
        </is>
      </c>
      <c r="M274" t="inlineStr">
        <is>
          <t>Patologias no Concreto</t>
        </is>
      </c>
      <c r="N274" t="inlineStr">
        <is>
          <t>Trincas nos dispositivos de drenagem, falta de acabamento dos pontos de pega da SCR pré-moldadas.</t>
        </is>
      </c>
      <c r="O274" t="inlineStr">
        <is>
          <t>Tipo A</t>
        </is>
      </c>
      <c r="P274" t="inlineStr">
        <is>
          <t>8+000</t>
        </is>
      </c>
      <c r="Q274" t="inlineStr">
        <is>
          <t>8+100</t>
        </is>
      </c>
      <c r="R274" t="inlineStr">
        <is>
          <t>Aberta</t>
        </is>
      </c>
      <c r="T274" t="inlineStr">
        <is>
          <t>Aline Batista</t>
        </is>
      </c>
      <c r="U274" t="inlineStr">
        <is>
          <t>24/02/2026</t>
        </is>
      </c>
      <c r="V274" t="inlineStr">
        <is>
          <t>03/03/2026</t>
        </is>
      </c>
      <c r="W274">
        <v>99</v>
      </c>
      <c r="AA274" t="inlineStr">
        <is>
          <t>Aberta 90-120 dias</t>
        </is>
      </c>
      <c r="AB274" t="inlineStr">
        <is>
          <t>EMPA</t>
        </is>
      </c>
      <c r="AC274" t="inlineStr">
        <is>
          <t>Aline</t>
        </is>
      </c>
      <c r="AD274" t="inlineStr">
        <is>
          <t>02/06/2026</t>
        </is>
      </c>
      <c r="AE274" t="inlineStr">
        <is>
          <t>07/06/2026</t>
        </is>
      </c>
      <c r="AF274" t="inlineStr">
        <is>
          <t>Cronograma de Pendências EMPA</t>
        </is>
      </c>
    </row>
    <row r="275">
      <c r="A275">
        <v>273</v>
      </c>
      <c r="B275">
        <v>1</v>
      </c>
      <c r="C275" t="inlineStr">
        <is>
          <t>1.1</t>
        </is>
      </c>
      <c r="D275" t="inlineStr">
        <is>
          <t>C19</t>
        </is>
      </c>
      <c r="E275" t="inlineStr">
        <is>
          <t>LE/LD</t>
        </is>
      </c>
      <c r="F275" t="inlineStr">
        <is>
          <t>EMPA</t>
        </is>
      </c>
      <c r="G275" t="inlineStr">
        <is>
          <t>CLP-009</t>
        </is>
      </c>
      <c r="H275" t="inlineStr">
        <is>
          <t>Protocolo</t>
        </is>
      </c>
      <c r="I275">
        <v>6</v>
      </c>
      <c r="J275" t="inlineStr">
        <is>
          <t>Drenagem Superficial</t>
        </is>
      </c>
      <c r="K275" t="inlineStr">
        <is>
          <t>6.7</t>
        </is>
      </c>
      <c r="L275" t="inlineStr">
        <is>
          <t>CZB-02, VPCD-01, BSTP</t>
        </is>
      </c>
      <c r="M275" t="inlineStr">
        <is>
          <t>Patologias no Concreto</t>
        </is>
      </c>
      <c r="N275" t="inlineStr">
        <is>
          <t xml:space="preserve"> Dispositivo cursor de agua do talude para o dispositivo de drenagem com rachaduras e recalques, fissuras nos dispositivos de drenagem, pendência de execução da CZB-02.</t>
        </is>
      </c>
      <c r="O275" t="inlineStr">
        <is>
          <t>Tipo A</t>
        </is>
      </c>
      <c r="P275" t="inlineStr">
        <is>
          <t xml:space="preserve"> 8+160</t>
        </is>
      </c>
      <c r="Q275" t="inlineStr">
        <is>
          <t>8+240</t>
        </is>
      </c>
      <c r="R275" t="inlineStr">
        <is>
          <t>Aberta</t>
        </is>
      </c>
      <c r="T275" t="inlineStr">
        <is>
          <t>Aline Batista</t>
        </is>
      </c>
      <c r="U275" t="inlineStr">
        <is>
          <t>24/02/2026</t>
        </is>
      </c>
      <c r="V275" t="inlineStr">
        <is>
          <t>03/03/2026</t>
        </is>
      </c>
      <c r="W275">
        <v>99</v>
      </c>
      <c r="AA275" t="inlineStr">
        <is>
          <t>Aberta 90-120 dias</t>
        </is>
      </c>
      <c r="AB275" t="inlineStr">
        <is>
          <t>EMPA</t>
        </is>
      </c>
      <c r="AC275" t="inlineStr">
        <is>
          <t>Aline</t>
        </is>
      </c>
      <c r="AD275" t="inlineStr">
        <is>
          <t>02/06/2026</t>
        </is>
      </c>
      <c r="AE275" t="inlineStr">
        <is>
          <t>07/06/2026</t>
        </is>
      </c>
      <c r="AF275" t="inlineStr">
        <is>
          <t>Cronograma de Pendências EMPA</t>
        </is>
      </c>
    </row>
    <row r="276">
      <c r="A276">
        <v>274</v>
      </c>
      <c r="B276">
        <v>1</v>
      </c>
      <c r="C276" t="inlineStr">
        <is>
          <t>1.1</t>
        </is>
      </c>
      <c r="D276" t="inlineStr">
        <is>
          <t>C19</t>
        </is>
      </c>
      <c r="E276" t="inlineStr">
        <is>
          <t>LE/LD</t>
        </is>
      </c>
      <c r="F276" t="inlineStr">
        <is>
          <t>EMPA</t>
        </is>
      </c>
      <c r="G276" t="inlineStr">
        <is>
          <t>CLP-009</t>
        </is>
      </c>
      <c r="H276" t="inlineStr">
        <is>
          <t>Protocolo</t>
        </is>
      </c>
      <c r="I276">
        <v>6</v>
      </c>
      <c r="J276" t="inlineStr">
        <is>
          <t>Drenagem Superficial</t>
        </is>
      </c>
      <c r="K276" t="inlineStr">
        <is>
          <t>6.7</t>
        </is>
      </c>
      <c r="L276" t="inlineStr">
        <is>
          <t>SRC</t>
        </is>
      </c>
      <c r="M276" t="inlineStr">
        <is>
          <t>Acúmulo de água</t>
        </is>
      </c>
      <c r="N276" t="inlineStr">
        <is>
          <t>Evidenciado possível ponto de acúmulo de água, falha no tratamento de junta.</t>
        </is>
      </c>
      <c r="O276" t="inlineStr">
        <is>
          <t>Tipo A</t>
        </is>
      </c>
      <c r="P276" t="inlineStr">
        <is>
          <t>8+500</t>
        </is>
      </c>
      <c r="Q276" t="inlineStr">
        <is>
          <t>8+500</t>
        </is>
      </c>
      <c r="R276" t="inlineStr">
        <is>
          <t>Aberta</t>
        </is>
      </c>
      <c r="T276" t="inlineStr">
        <is>
          <t>Aline Batista</t>
        </is>
      </c>
      <c r="U276" t="inlineStr">
        <is>
          <t>24/02/2026</t>
        </is>
      </c>
      <c r="V276" t="inlineStr">
        <is>
          <t>03/03/2026</t>
        </is>
      </c>
      <c r="W276">
        <v>99</v>
      </c>
      <c r="AA276" t="inlineStr">
        <is>
          <t>Aberta 90-120 dias</t>
        </is>
      </c>
      <c r="AB276" t="inlineStr">
        <is>
          <t>EMPA</t>
        </is>
      </c>
      <c r="AC276" t="inlineStr">
        <is>
          <t>Aline</t>
        </is>
      </c>
      <c r="AD276" t="inlineStr">
        <is>
          <t>02/06/2026</t>
        </is>
      </c>
      <c r="AE276" t="inlineStr">
        <is>
          <t>07/06/2026</t>
        </is>
      </c>
      <c r="AF276" t="inlineStr">
        <is>
          <t>Cronograma de Pendências EMPA</t>
        </is>
      </c>
    </row>
    <row r="277">
      <c r="A277">
        <v>275</v>
      </c>
      <c r="B277">
        <v>1</v>
      </c>
      <c r="C277" t="inlineStr">
        <is>
          <t>1.1</t>
        </is>
      </c>
      <c r="D277" t="inlineStr">
        <is>
          <t>C19</t>
        </is>
      </c>
      <c r="E277" t="inlineStr">
        <is>
          <t>LE/LD/Banqueta</t>
        </is>
      </c>
      <c r="F277" t="inlineStr">
        <is>
          <t>EMPA</t>
        </is>
      </c>
      <c r="G277" t="inlineStr">
        <is>
          <t>CLP-009</t>
        </is>
      </c>
      <c r="H277" t="inlineStr">
        <is>
          <t>Protocolo</t>
        </is>
      </c>
      <c r="I277">
        <v>6</v>
      </c>
      <c r="J277" t="inlineStr">
        <is>
          <t>Drenagem Superficial</t>
        </is>
      </c>
      <c r="K277" t="inlineStr">
        <is>
          <t>6.7</t>
        </is>
      </c>
      <c r="L277" t="inlineStr">
        <is>
          <t>DPS</t>
        </is>
      </c>
      <c r="M277" t="inlineStr">
        <is>
          <t>Dispositivo não executado</t>
        </is>
      </c>
      <c r="N277" t="inlineStr">
        <is>
          <t>Falta dispositivo terminal de dreno DPS.</t>
        </is>
      </c>
      <c r="O277" t="inlineStr">
        <is>
          <t>Tipo A</t>
        </is>
      </c>
      <c r="P277" t="inlineStr">
        <is>
          <t>8+760</t>
        </is>
      </c>
      <c r="Q277" t="inlineStr">
        <is>
          <t>8+760</t>
        </is>
      </c>
      <c r="R277" t="inlineStr">
        <is>
          <t>Aberta</t>
        </is>
      </c>
      <c r="T277" t="inlineStr">
        <is>
          <t>Aline Batista</t>
        </is>
      </c>
      <c r="U277" t="inlineStr">
        <is>
          <t>24/02/2026</t>
        </is>
      </c>
      <c r="V277" t="inlineStr">
        <is>
          <t>03/03/2026</t>
        </is>
      </c>
      <c r="W277">
        <v>99</v>
      </c>
      <c r="AA277" t="inlineStr">
        <is>
          <t>Aberta 90-120 dias</t>
        </is>
      </c>
      <c r="AB277" t="inlineStr">
        <is>
          <t>EMPA</t>
        </is>
      </c>
      <c r="AC277" t="inlineStr">
        <is>
          <t>Aline</t>
        </is>
      </c>
      <c r="AD277" t="inlineStr">
        <is>
          <t>02/06/2026</t>
        </is>
      </c>
      <c r="AE277" t="inlineStr">
        <is>
          <t>07/06/2026</t>
        </is>
      </c>
      <c r="AF277" t="inlineStr">
        <is>
          <t>Prazo Premissa VALE</t>
        </is>
      </c>
    </row>
    <row r="278">
      <c r="A278">
        <v>276</v>
      </c>
      <c r="B278">
        <v>1</v>
      </c>
      <c r="C278" t="inlineStr">
        <is>
          <t>1.1</t>
        </is>
      </c>
      <c r="D278" t="inlineStr">
        <is>
          <t>A23</t>
        </is>
      </c>
      <c r="E278" t="inlineStr">
        <is>
          <t>LE/LD</t>
        </is>
      </c>
      <c r="F278" t="inlineStr">
        <is>
          <t>EMPA</t>
        </is>
      </c>
      <c r="G278" t="inlineStr">
        <is>
          <t>CLP-009</t>
        </is>
      </c>
      <c r="H278" t="inlineStr">
        <is>
          <t>Protocolo</t>
        </is>
      </c>
      <c r="I278">
        <v>6</v>
      </c>
      <c r="J278" t="inlineStr">
        <is>
          <t>Drenagem Superficial</t>
        </is>
      </c>
      <c r="K278" t="inlineStr">
        <is>
          <t>6.7</t>
        </is>
      </c>
      <c r="L278" t="inlineStr">
        <is>
          <t>SZA 02</t>
        </is>
      </c>
      <c r="M278" t="inlineStr">
        <is>
          <t>Tratamento de junta</t>
        </is>
      </c>
      <c r="N278" t="inlineStr">
        <is>
          <t xml:space="preserve"> Pendente tratamento de junta a cada 12m conforme especificação em todo dispositivo de drenagem superficial. Trincas e fissuras na SZA.</t>
        </is>
      </c>
      <c r="O278" t="inlineStr">
        <is>
          <t>Tipo A</t>
        </is>
      </c>
      <c r="P278" t="inlineStr">
        <is>
          <t>9+100</t>
        </is>
      </c>
      <c r="Q278" t="inlineStr">
        <is>
          <t>9+230</t>
        </is>
      </c>
      <c r="R278" t="inlineStr">
        <is>
          <t>Aberta</t>
        </is>
      </c>
      <c r="T278" t="inlineStr">
        <is>
          <t>Aline Batista</t>
        </is>
      </c>
      <c r="U278" t="inlineStr">
        <is>
          <t>24/02/2026</t>
        </is>
      </c>
      <c r="V278" t="inlineStr">
        <is>
          <t>03/03/2026</t>
        </is>
      </c>
      <c r="W278">
        <v>99</v>
      </c>
      <c r="AA278" t="inlineStr">
        <is>
          <t>Aberta 90-120 dias</t>
        </is>
      </c>
      <c r="AB278" t="inlineStr">
        <is>
          <t>EMPA</t>
        </is>
      </c>
      <c r="AC278" t="inlineStr">
        <is>
          <t>Aline</t>
        </is>
      </c>
      <c r="AD278" t="inlineStr">
        <is>
          <t>09/06/2026</t>
        </is>
      </c>
      <c r="AE278" t="inlineStr">
        <is>
          <t>14/06/2026</t>
        </is>
      </c>
      <c r="AF278" t="inlineStr">
        <is>
          <t>Cronograma de Pendências EMPA</t>
        </is>
      </c>
    </row>
    <row r="279">
      <c r="A279">
        <v>277</v>
      </c>
      <c r="B279">
        <v>1</v>
      </c>
      <c r="C279" t="inlineStr">
        <is>
          <t>1.1</t>
        </is>
      </c>
      <c r="D279" t="inlineStr">
        <is>
          <t>A29</t>
        </is>
      </c>
      <c r="E279" t="inlineStr">
        <is>
          <t>LE Banqueta</t>
        </is>
      </c>
      <c r="F279" t="inlineStr">
        <is>
          <t>EMPA</t>
        </is>
      </c>
      <c r="G279" t="inlineStr">
        <is>
          <t>CLP-009</t>
        </is>
      </c>
      <c r="H279" t="inlineStr">
        <is>
          <t>Protocolo</t>
        </is>
      </c>
      <c r="I279">
        <v>6</v>
      </c>
      <c r="J279" t="inlineStr">
        <is>
          <t>Drenagem Superficial</t>
        </is>
      </c>
      <c r="K279" t="inlineStr">
        <is>
          <t>6.7</t>
        </is>
      </c>
      <c r="L279" t="inlineStr">
        <is>
          <t>VPC de crista</t>
        </is>
      </c>
      <c r="M279" t="inlineStr">
        <is>
          <t>Obstrução do dispositivo</t>
        </is>
      </c>
      <c r="N279" t="inlineStr">
        <is>
          <t>Evidenciado trincas, pendencia de tratamento de junta, erosão na lateral da VPC, Canaleta de banqueta CZB 01 obstruída, berma 1.</t>
        </is>
      </c>
      <c r="O279" t="inlineStr">
        <is>
          <t>Tipo A</t>
        </is>
      </c>
      <c r="P279" t="inlineStr">
        <is>
          <t>10+000</t>
        </is>
      </c>
      <c r="Q279" t="inlineStr">
        <is>
          <t>10+200</t>
        </is>
      </c>
      <c r="R279" t="inlineStr">
        <is>
          <t>Aberta</t>
        </is>
      </c>
      <c r="T279" t="inlineStr">
        <is>
          <t>Aline Batista</t>
        </is>
      </c>
      <c r="U279" t="inlineStr">
        <is>
          <t>24/02/2026</t>
        </is>
      </c>
      <c r="V279" t="inlineStr">
        <is>
          <t>03/03/2026</t>
        </is>
      </c>
      <c r="W279">
        <v>99</v>
      </c>
      <c r="AA279" t="inlineStr">
        <is>
          <t>Aberta 90-120 dias</t>
        </is>
      </c>
      <c r="AB279" t="inlineStr">
        <is>
          <t>EMPA</t>
        </is>
      </c>
      <c r="AC279" t="inlineStr">
        <is>
          <t>Aline</t>
        </is>
      </c>
      <c r="AD279" t="inlineStr">
        <is>
          <t>23/06/2026</t>
        </is>
      </c>
      <c r="AE279" t="inlineStr">
        <is>
          <t>28/06/2026</t>
        </is>
      </c>
      <c r="AF279" t="inlineStr">
        <is>
          <t>Prazo Premissa VALE</t>
        </is>
      </c>
    </row>
    <row r="280">
      <c r="A280">
        <v>278</v>
      </c>
      <c r="B280">
        <v>1</v>
      </c>
      <c r="C280" t="inlineStr">
        <is>
          <t>1.1</t>
        </is>
      </c>
      <c r="D280" t="inlineStr">
        <is>
          <t>C26</t>
        </is>
      </c>
      <c r="E280" t="inlineStr">
        <is>
          <t>LD Berma 1</t>
        </is>
      </c>
      <c r="F280" t="inlineStr">
        <is>
          <t>EMPA</t>
        </is>
      </c>
      <c r="G280" t="inlineStr">
        <is>
          <t>CLP-009</t>
        </is>
      </c>
      <c r="H280" t="inlineStr">
        <is>
          <t>Protocolo</t>
        </is>
      </c>
      <c r="I280">
        <v>6</v>
      </c>
      <c r="J280" t="inlineStr">
        <is>
          <t>Drenagem Superficial</t>
        </is>
      </c>
      <c r="K280" t="inlineStr">
        <is>
          <t>6.7</t>
        </is>
      </c>
      <c r="L280" t="inlineStr">
        <is>
          <t>CZB</t>
        </is>
      </c>
      <c r="M280" t="inlineStr">
        <is>
          <t>Tratamento de junta</t>
        </is>
      </c>
      <c r="N280" t="inlineStr">
        <is>
          <t>Pendente tratamento de juntas, evidenciado trincas, limpeza da CZB.</t>
        </is>
      </c>
      <c r="O280" t="inlineStr">
        <is>
          <t>Tipo A</t>
        </is>
      </c>
      <c r="P280" t="inlineStr">
        <is>
          <t>10+350</t>
        </is>
      </c>
      <c r="Q280" t="inlineStr">
        <is>
          <t xml:space="preserve"> 10+600</t>
        </is>
      </c>
      <c r="R280" t="inlineStr">
        <is>
          <t>Aberta</t>
        </is>
      </c>
      <c r="T280" t="inlineStr">
        <is>
          <t>Aline Batista</t>
        </is>
      </c>
      <c r="U280" t="inlineStr">
        <is>
          <t>24/02/2026</t>
        </is>
      </c>
      <c r="V280" t="inlineStr">
        <is>
          <t>03/03/2026</t>
        </is>
      </c>
      <c r="W280">
        <v>99</v>
      </c>
      <c r="AA280" t="inlineStr">
        <is>
          <t>Aberta 90-120 dias</t>
        </is>
      </c>
      <c r="AB280" t="inlineStr">
        <is>
          <t>EMPA</t>
        </is>
      </c>
      <c r="AC280" t="inlineStr">
        <is>
          <t>Aline</t>
        </is>
      </c>
      <c r="AD280" t="inlineStr">
        <is>
          <t>23/06/2026</t>
        </is>
      </c>
      <c r="AE280" t="inlineStr">
        <is>
          <t>28/06/2026</t>
        </is>
      </c>
      <c r="AF280" t="inlineStr">
        <is>
          <t>Prazo Premissa VALE</t>
        </is>
      </c>
    </row>
    <row r="281">
      <c r="A281">
        <v>279</v>
      </c>
      <c r="B281">
        <v>1</v>
      </c>
      <c r="C281" t="inlineStr">
        <is>
          <t>1.1</t>
        </is>
      </c>
      <c r="D281" t="inlineStr">
        <is>
          <t>A30</t>
        </is>
      </c>
      <c r="E281" t="inlineStr">
        <is>
          <t>LE/LD</t>
        </is>
      </c>
      <c r="F281" t="inlineStr">
        <is>
          <t>EMPA</t>
        </is>
      </c>
      <c r="G281" t="inlineStr">
        <is>
          <t>CLP-009</t>
        </is>
      </c>
      <c r="H281" t="inlineStr">
        <is>
          <t>Fiscalização</t>
        </is>
      </c>
      <c r="I281">
        <v>6</v>
      </c>
      <c r="J281" t="inlineStr">
        <is>
          <t>Drenagem Superficial</t>
        </is>
      </c>
      <c r="K281" t="inlineStr">
        <is>
          <t>6.7</t>
        </is>
      </c>
      <c r="L281" t="inlineStr">
        <is>
          <t>SZC</t>
        </is>
      </c>
      <c r="M281" t="inlineStr">
        <is>
          <t>Patologias no Concreto</t>
        </is>
      </c>
      <c r="N281" t="inlineStr">
        <is>
          <t>Danos na SZC por equipamento, trincas na SZA.</t>
        </is>
      </c>
      <c r="O281" t="inlineStr">
        <is>
          <t>Tipo A</t>
        </is>
      </c>
      <c r="P281" t="inlineStr">
        <is>
          <t xml:space="preserve"> 10+600</t>
        </is>
      </c>
      <c r="Q281" t="inlineStr">
        <is>
          <t>10+700</t>
        </is>
      </c>
      <c r="R281" t="inlineStr">
        <is>
          <t>Aberta</t>
        </is>
      </c>
      <c r="T281" t="inlineStr">
        <is>
          <t>Aline Batista</t>
        </is>
      </c>
      <c r="U281" t="inlineStr">
        <is>
          <t>24/02/2026</t>
        </is>
      </c>
      <c r="V281" t="inlineStr">
        <is>
          <t>03/03/2026</t>
        </is>
      </c>
      <c r="W281">
        <v>99</v>
      </c>
      <c r="AA281" t="inlineStr">
        <is>
          <t>Aberta 90-120 dias</t>
        </is>
      </c>
      <c r="AB281" t="inlineStr">
        <is>
          <t>EMPA</t>
        </is>
      </c>
      <c r="AC281" t="inlineStr">
        <is>
          <t>Aline</t>
        </is>
      </c>
      <c r="AD281" t="inlineStr">
        <is>
          <t>23/06/2026</t>
        </is>
      </c>
      <c r="AE281" t="inlineStr">
        <is>
          <t>28/06/2026</t>
        </is>
      </c>
      <c r="AF281" t="inlineStr">
        <is>
          <t>Prazo Premissa VALE</t>
        </is>
      </c>
    </row>
    <row r="282">
      <c r="A282">
        <v>280</v>
      </c>
      <c r="B282">
        <v>1</v>
      </c>
      <c r="C282" t="inlineStr">
        <is>
          <t>1.1</t>
        </is>
      </c>
      <c r="D282" t="inlineStr">
        <is>
          <t>C27</t>
        </is>
      </c>
      <c r="E282" t="inlineStr">
        <is>
          <t>LE/LD</t>
        </is>
      </c>
      <c r="F282" t="inlineStr">
        <is>
          <t>EMPA</t>
        </is>
      </c>
      <c r="G282" t="inlineStr">
        <is>
          <t>CLP-009</t>
        </is>
      </c>
      <c r="H282" t="inlineStr">
        <is>
          <t>Protocolo</t>
        </is>
      </c>
      <c r="I282">
        <v>6</v>
      </c>
      <c r="J282" t="inlineStr">
        <is>
          <t>Drenagem Superficial</t>
        </is>
      </c>
      <c r="K282" t="inlineStr">
        <is>
          <t>6.7</t>
        </is>
      </c>
      <c r="L282" t="inlineStr">
        <is>
          <t xml:space="preserve">SRC 03 </t>
        </is>
      </c>
      <c r="M282" t="inlineStr">
        <is>
          <t>Patologias no Concreto</t>
        </is>
      </c>
      <c r="N282" t="inlineStr">
        <is>
          <t xml:space="preserve"> Pendente acabamento da SZC O3, remoção das alças de içamento da SCR. </t>
        </is>
      </c>
      <c r="O282" t="inlineStr">
        <is>
          <t>Tipo A</t>
        </is>
      </c>
      <c r="P282" t="inlineStr">
        <is>
          <t>10+850</t>
        </is>
      </c>
      <c r="Q282" t="inlineStr">
        <is>
          <t>10+850</t>
        </is>
      </c>
      <c r="R282" t="inlineStr">
        <is>
          <t>Aberta</t>
        </is>
      </c>
      <c r="T282" t="inlineStr">
        <is>
          <t>Aline Batista</t>
        </is>
      </c>
      <c r="U282" t="inlineStr">
        <is>
          <t>24/02/2026</t>
        </is>
      </c>
      <c r="V282" t="inlineStr">
        <is>
          <t>03/03/2026</t>
        </is>
      </c>
      <c r="W282">
        <v>99</v>
      </c>
      <c r="AA282" t="inlineStr">
        <is>
          <t>Aberta 90-120 dias</t>
        </is>
      </c>
      <c r="AB282" t="inlineStr">
        <is>
          <t>EMPA</t>
        </is>
      </c>
      <c r="AC282" t="inlineStr">
        <is>
          <t>Aline</t>
        </is>
      </c>
      <c r="AD282" t="inlineStr">
        <is>
          <t>23/06/2026</t>
        </is>
      </c>
      <c r="AE282" t="inlineStr">
        <is>
          <t>28/06/2026</t>
        </is>
      </c>
      <c r="AF282" t="inlineStr">
        <is>
          <t>Cronograma de Pendências EMPA</t>
        </is>
      </c>
    </row>
    <row r="283">
      <c r="A283">
        <v>281</v>
      </c>
      <c r="B283">
        <v>1</v>
      </c>
      <c r="C283" t="inlineStr">
        <is>
          <t>1.1</t>
        </is>
      </c>
      <c r="D283" t="inlineStr">
        <is>
          <t>C27</t>
        </is>
      </c>
      <c r="E283" t="inlineStr">
        <is>
          <t>LE/LD</t>
        </is>
      </c>
      <c r="F283" t="inlineStr">
        <is>
          <t>EMPA</t>
        </is>
      </c>
      <c r="G283" t="inlineStr">
        <is>
          <t>CLP-009</t>
        </is>
      </c>
      <c r="H283" t="inlineStr">
        <is>
          <t>Protocolo</t>
        </is>
      </c>
      <c r="I283">
        <v>6</v>
      </c>
      <c r="J283" t="inlineStr">
        <is>
          <t>Drenagem Superficial</t>
        </is>
      </c>
      <c r="K283" t="inlineStr">
        <is>
          <t>6.7</t>
        </is>
      </c>
      <c r="L283" t="inlineStr">
        <is>
          <t>Talude</t>
        </is>
      </c>
      <c r="M283" t="inlineStr">
        <is>
          <t>Erosões</t>
        </is>
      </c>
      <c r="N283" t="inlineStr">
        <is>
          <t>Tratamento dos pontos de pega da SZC 03 - Ravinamentos no pe do talude</t>
        </is>
      </c>
      <c r="O283" t="inlineStr">
        <is>
          <t>Tipo A</t>
        </is>
      </c>
      <c r="P283" t="inlineStr">
        <is>
          <t>10+940</t>
        </is>
      </c>
      <c r="Q283" t="inlineStr">
        <is>
          <t>10+940</t>
        </is>
      </c>
      <c r="R283" t="inlineStr">
        <is>
          <t>Aberta</t>
        </is>
      </c>
      <c r="T283" t="inlineStr">
        <is>
          <t>Aline Batista</t>
        </is>
      </c>
      <c r="U283" t="inlineStr">
        <is>
          <t>24/02/2026</t>
        </is>
      </c>
      <c r="V283" t="inlineStr">
        <is>
          <t>03/03/2026</t>
        </is>
      </c>
      <c r="W283">
        <v>99</v>
      </c>
      <c r="AA283" t="inlineStr">
        <is>
          <t>Aberta 90-120 dias</t>
        </is>
      </c>
      <c r="AB283" t="inlineStr">
        <is>
          <t>EMPA</t>
        </is>
      </c>
      <c r="AC283" t="inlineStr">
        <is>
          <t>Aline</t>
        </is>
      </c>
      <c r="AD283" t="inlineStr">
        <is>
          <t>23/06/2026</t>
        </is>
      </c>
      <c r="AE283" t="inlineStr">
        <is>
          <t>28/06/2026</t>
        </is>
      </c>
      <c r="AF283" t="inlineStr">
        <is>
          <t>Cronograma de Pendências EMPA</t>
        </is>
      </c>
    </row>
    <row r="284">
      <c r="A284">
        <v>282</v>
      </c>
      <c r="B284">
        <v>1</v>
      </c>
      <c r="C284" t="inlineStr">
        <is>
          <t>1.1</t>
        </is>
      </c>
      <c r="D284" t="inlineStr">
        <is>
          <t>C27</t>
        </is>
      </c>
      <c r="E284" t="inlineStr">
        <is>
          <t>LE/EX/LD</t>
        </is>
      </c>
      <c r="F284" t="inlineStr">
        <is>
          <t>EMPA</t>
        </is>
      </c>
      <c r="G284" t="inlineStr">
        <is>
          <t>CLP-009</t>
        </is>
      </c>
      <c r="H284" t="inlineStr">
        <is>
          <t>Protocolo</t>
        </is>
      </c>
      <c r="I284">
        <v>6</v>
      </c>
      <c r="J284" t="inlineStr">
        <is>
          <t>Drenagem Superficial</t>
        </is>
      </c>
      <c r="K284" t="inlineStr">
        <is>
          <t>6.7</t>
        </is>
      </c>
      <c r="L284" t="inlineStr">
        <is>
          <t>SRC-05</t>
        </is>
      </c>
      <c r="M284" t="inlineStr">
        <is>
          <t>Dispositivo não executado</t>
        </is>
      </c>
      <c r="N284" t="inlineStr">
        <is>
          <t>Pendente finalização da SRC-03 e dispositivo de deságue.</t>
        </is>
      </c>
      <c r="O284" t="inlineStr">
        <is>
          <t>Tipo A</t>
        </is>
      </c>
      <c r="P284" t="inlineStr">
        <is>
          <t>11+000</t>
        </is>
      </c>
      <c r="Q284" t="inlineStr">
        <is>
          <t>11+000</t>
        </is>
      </c>
      <c r="R284" t="inlineStr">
        <is>
          <t>Aberta</t>
        </is>
      </c>
      <c r="T284" t="inlineStr">
        <is>
          <t>Aline Batista</t>
        </is>
      </c>
      <c r="U284" t="inlineStr">
        <is>
          <t>24/02/2026</t>
        </is>
      </c>
      <c r="V284" t="inlineStr">
        <is>
          <t>03/03/2026</t>
        </is>
      </c>
      <c r="W284">
        <v>99</v>
      </c>
      <c r="AA284" t="inlineStr">
        <is>
          <t>Aberta 90-120 dias</t>
        </is>
      </c>
      <c r="AB284" t="inlineStr">
        <is>
          <t>EMPA</t>
        </is>
      </c>
      <c r="AC284" t="inlineStr">
        <is>
          <t>Aline</t>
        </is>
      </c>
      <c r="AD284" t="inlineStr">
        <is>
          <t>23/06/2026</t>
        </is>
      </c>
      <c r="AE284" t="inlineStr">
        <is>
          <t>28/06/2026</t>
        </is>
      </c>
      <c r="AF284" t="inlineStr">
        <is>
          <t>Cronograma de Pendências EMPA</t>
        </is>
      </c>
    </row>
    <row r="285">
      <c r="A285">
        <v>283</v>
      </c>
      <c r="B285">
        <v>1</v>
      </c>
      <c r="C285" t="inlineStr">
        <is>
          <t>1.1</t>
        </is>
      </c>
      <c r="D285" t="inlineStr">
        <is>
          <t>C27</t>
        </is>
      </c>
      <c r="E285" t="inlineStr">
        <is>
          <t>LE/EX/LD</t>
        </is>
      </c>
      <c r="F285" t="inlineStr">
        <is>
          <t>EMPA</t>
        </is>
      </c>
      <c r="G285" t="inlineStr">
        <is>
          <t>CLP-009</t>
        </is>
      </c>
      <c r="H285" t="inlineStr">
        <is>
          <t>Protocolo</t>
        </is>
      </c>
      <c r="I285">
        <v>6</v>
      </c>
      <c r="J285" t="inlineStr">
        <is>
          <t>Drenagem Superficial</t>
        </is>
      </c>
      <c r="K285" t="inlineStr">
        <is>
          <t>6.7</t>
        </is>
      </c>
      <c r="L285" t="inlineStr">
        <is>
          <t>DDA 01</t>
        </is>
      </c>
      <c r="M285" t="inlineStr">
        <is>
          <t>Revegetação/ Hidrossemeadura</t>
        </is>
      </c>
      <c r="N285" t="inlineStr">
        <is>
          <t>Reaterro nas laterais da DDA 01, aplicar hidrossemeadura -  SRC-05, DRA</t>
        </is>
      </c>
      <c r="O285" t="inlineStr">
        <is>
          <t>Tipo A</t>
        </is>
      </c>
      <c r="P285" t="inlineStr">
        <is>
          <t>11+000</t>
        </is>
      </c>
      <c r="Q285" t="inlineStr">
        <is>
          <t>11+000</t>
        </is>
      </c>
      <c r="R285" t="inlineStr">
        <is>
          <t>Aberta</t>
        </is>
      </c>
      <c r="T285" t="inlineStr">
        <is>
          <t>Aline Batista</t>
        </is>
      </c>
      <c r="U285" t="inlineStr">
        <is>
          <t>24/02/2026</t>
        </is>
      </c>
      <c r="V285" t="inlineStr">
        <is>
          <t>03/03/2026</t>
        </is>
      </c>
      <c r="W285">
        <v>99</v>
      </c>
      <c r="AA285" t="inlineStr">
        <is>
          <t>Aberta 90-120 dias</t>
        </is>
      </c>
      <c r="AB285" t="inlineStr">
        <is>
          <t>EMPA</t>
        </is>
      </c>
      <c r="AC285" t="inlineStr">
        <is>
          <t>Aline</t>
        </is>
      </c>
      <c r="AD285" t="inlineStr">
        <is>
          <t>23/06/2026</t>
        </is>
      </c>
      <c r="AE285" t="inlineStr">
        <is>
          <t>28/06/2026</t>
        </is>
      </c>
      <c r="AF285" t="inlineStr">
        <is>
          <t>Cronograma de Pendências EMPA</t>
        </is>
      </c>
    </row>
    <row r="286">
      <c r="A286">
        <v>284</v>
      </c>
      <c r="B286">
        <v>1</v>
      </c>
      <c r="C286" t="inlineStr">
        <is>
          <t>1.1</t>
        </is>
      </c>
      <c r="D286" t="inlineStr">
        <is>
          <t>C27</t>
        </is>
      </c>
      <c r="E286" t="inlineStr">
        <is>
          <t>LE/EX/LD</t>
        </is>
      </c>
      <c r="F286" t="inlineStr">
        <is>
          <t>EMPA</t>
        </is>
      </c>
      <c r="G286" t="inlineStr">
        <is>
          <t>CLP-009</t>
        </is>
      </c>
      <c r="H286" t="inlineStr">
        <is>
          <t>Protocolo</t>
        </is>
      </c>
      <c r="I286">
        <v>6</v>
      </c>
      <c r="J286" t="inlineStr">
        <is>
          <t>Drenagem Superficial</t>
        </is>
      </c>
      <c r="K286" t="inlineStr">
        <is>
          <t>6.7</t>
        </is>
      </c>
      <c r="L286" t="inlineStr">
        <is>
          <t>SRC-05</t>
        </is>
      </c>
      <c r="M286" t="inlineStr">
        <is>
          <t>Conformação</t>
        </is>
      </c>
      <c r="N286" t="inlineStr">
        <is>
          <t>Tratamento de pontos de pega da SRC-05.</t>
        </is>
      </c>
      <c r="O286" t="inlineStr">
        <is>
          <t>Tipo A</t>
        </is>
      </c>
      <c r="P286" t="inlineStr">
        <is>
          <t>11+000</t>
        </is>
      </c>
      <c r="Q286" t="inlineStr">
        <is>
          <t>11+000</t>
        </is>
      </c>
      <c r="R286" t="inlineStr">
        <is>
          <t>Aberta</t>
        </is>
      </c>
      <c r="T286" t="inlineStr">
        <is>
          <t>Aline Batista</t>
        </is>
      </c>
      <c r="U286" t="inlineStr">
        <is>
          <t>24/02/2026</t>
        </is>
      </c>
      <c r="V286" t="inlineStr">
        <is>
          <t>03/03/2026</t>
        </is>
      </c>
      <c r="W286">
        <v>99</v>
      </c>
      <c r="AA286" t="inlineStr">
        <is>
          <t>Aberta 90-120 dias</t>
        </is>
      </c>
      <c r="AB286" t="inlineStr">
        <is>
          <t>EMPA</t>
        </is>
      </c>
      <c r="AC286" t="inlineStr">
        <is>
          <t>Aline</t>
        </is>
      </c>
      <c r="AD286" t="inlineStr">
        <is>
          <t>16/06/2026</t>
        </is>
      </c>
      <c r="AE286" t="inlineStr">
        <is>
          <t>21/06/2026</t>
        </is>
      </c>
      <c r="AF286" t="inlineStr">
        <is>
          <t>Cronograma de Pendências EMPA</t>
        </is>
      </c>
    </row>
    <row r="287">
      <c r="A287">
        <v>285</v>
      </c>
      <c r="B287">
        <v>1</v>
      </c>
      <c r="C287" t="inlineStr">
        <is>
          <t>1.1</t>
        </is>
      </c>
      <c r="D287" t="inlineStr">
        <is>
          <t>C29</t>
        </is>
      </c>
      <c r="F287" t="inlineStr">
        <is>
          <t>EMPA</t>
        </is>
      </c>
      <c r="G287" t="inlineStr">
        <is>
          <t>CLP-009</t>
        </is>
      </c>
      <c r="H287" t="inlineStr">
        <is>
          <t>Protocolo</t>
        </is>
      </c>
      <c r="I287">
        <v>6</v>
      </c>
      <c r="J287" t="inlineStr">
        <is>
          <t>Drenagem Superficial</t>
        </is>
      </c>
      <c r="K287" t="inlineStr">
        <is>
          <t>6.7</t>
        </is>
      </c>
      <c r="L287" t="inlineStr">
        <is>
          <t>SRC-01</t>
        </is>
      </c>
      <c r="M287" t="inlineStr">
        <is>
          <t>Acabamento do concreto</t>
        </is>
      </c>
      <c r="N287" t="inlineStr">
        <is>
          <t>Evidenciado danos nas paredes da SRC-01 com armadura exposta.</t>
        </is>
      </c>
      <c r="O287" t="inlineStr">
        <is>
          <t>Tipo A</t>
        </is>
      </c>
      <c r="P287" t="inlineStr">
        <is>
          <t>11+480</t>
        </is>
      </c>
      <c r="Q287" t="inlineStr">
        <is>
          <t>11+480</t>
        </is>
      </c>
      <c r="R287" t="inlineStr">
        <is>
          <t>Aberta</t>
        </is>
      </c>
      <c r="T287" t="inlineStr">
        <is>
          <t>Aline Batista</t>
        </is>
      </c>
      <c r="U287" t="inlineStr">
        <is>
          <t>24/02/2026</t>
        </is>
      </c>
      <c r="V287" t="inlineStr">
        <is>
          <t>03/03/2026</t>
        </is>
      </c>
      <c r="W287">
        <v>99</v>
      </c>
      <c r="AA287" t="inlineStr">
        <is>
          <t>Aberta 90-120 dias</t>
        </is>
      </c>
      <c r="AB287" t="inlineStr">
        <is>
          <t>EMPA</t>
        </is>
      </c>
      <c r="AC287" t="inlineStr">
        <is>
          <t>Aline</t>
        </is>
      </c>
      <c r="AD287" t="inlineStr">
        <is>
          <t>23/06/2026</t>
        </is>
      </c>
      <c r="AE287" t="inlineStr">
        <is>
          <t>28/06/2026</t>
        </is>
      </c>
      <c r="AF287" t="inlineStr">
        <is>
          <t>Cronograma de Pendências EMPA</t>
        </is>
      </c>
    </row>
    <row r="288">
      <c r="A288">
        <v>286</v>
      </c>
      <c r="B288">
        <v>1</v>
      </c>
      <c r="C288" t="inlineStr">
        <is>
          <t>1.1</t>
        </is>
      </c>
      <c r="D288" t="inlineStr">
        <is>
          <t>A20</t>
        </is>
      </c>
      <c r="F288" t="inlineStr">
        <is>
          <t>EMPA</t>
        </is>
      </c>
      <c r="G288" t="inlineStr">
        <is>
          <t>CLP-009</t>
        </is>
      </c>
      <c r="H288" t="inlineStr">
        <is>
          <t>Protocolo</t>
        </is>
      </c>
      <c r="I288">
        <v>6</v>
      </c>
      <c r="J288" t="inlineStr">
        <is>
          <t>Drenagem Superficial</t>
        </is>
      </c>
      <c r="K288" t="inlineStr">
        <is>
          <t>6.8</t>
        </is>
      </c>
      <c r="L288" t="inlineStr">
        <is>
          <t>PN</t>
        </is>
      </c>
      <c r="M288" t="inlineStr">
        <is>
          <t>Regularização e recuperação de área</t>
        </is>
      </c>
      <c r="N288" t="inlineStr">
        <is>
          <t xml:space="preserve">Finalização das alças da PN. Sarjeta obstruída de modo geral, leira na plataforma. </t>
        </is>
      </c>
      <c r="O288" t="inlineStr">
        <is>
          <t>Tipo A</t>
        </is>
      </c>
      <c r="P288" t="inlineStr">
        <is>
          <t>11+480</t>
        </is>
      </c>
      <c r="Q288" t="inlineStr">
        <is>
          <t>11+480</t>
        </is>
      </c>
      <c r="R288" t="inlineStr">
        <is>
          <t>Aberta</t>
        </is>
      </c>
      <c r="T288" t="inlineStr">
        <is>
          <t>Aline Batista</t>
        </is>
      </c>
      <c r="U288" t="inlineStr">
        <is>
          <t>24/02/2026</t>
        </is>
      </c>
      <c r="V288" t="inlineStr">
        <is>
          <t>03/03/2026</t>
        </is>
      </c>
      <c r="W288">
        <v>99</v>
      </c>
      <c r="AA288" t="inlineStr">
        <is>
          <t>Aberta 90-120 dias</t>
        </is>
      </c>
      <c r="AB288" t="inlineStr">
        <is>
          <t>EMPA</t>
        </is>
      </c>
      <c r="AC288" t="inlineStr">
        <is>
          <t>Aline</t>
        </is>
      </c>
      <c r="AD288" t="inlineStr">
        <is>
          <t>27/05/2026</t>
        </is>
      </c>
      <c r="AE288" t="inlineStr">
        <is>
          <t>31/05/2026</t>
        </is>
      </c>
      <c r="AF288" t="inlineStr">
        <is>
          <t>Cronograma de Pendências EMPA</t>
        </is>
      </c>
    </row>
    <row r="289">
      <c r="A289">
        <v>287</v>
      </c>
      <c r="B289">
        <v>1</v>
      </c>
      <c r="C289" t="inlineStr">
        <is>
          <t>1.1</t>
        </is>
      </c>
      <c r="D289" t="inlineStr">
        <is>
          <t>C19</t>
        </is>
      </c>
      <c r="E289" t="inlineStr">
        <is>
          <t>LE/LD</t>
        </is>
      </c>
      <c r="F289" t="inlineStr">
        <is>
          <t>EMPA</t>
        </is>
      </c>
      <c r="G289" t="inlineStr">
        <is>
          <t>CLP-009</t>
        </is>
      </c>
      <c r="H289" t="inlineStr">
        <is>
          <t>Fiscalização</t>
        </is>
      </c>
      <c r="I289">
        <v>6</v>
      </c>
      <c r="J289" t="inlineStr">
        <is>
          <t>Drenagem Superficial</t>
        </is>
      </c>
      <c r="K289" t="inlineStr">
        <is>
          <t>6.10</t>
        </is>
      </c>
      <c r="L289" t="inlineStr">
        <is>
          <t>DHP</t>
        </is>
      </c>
      <c r="M289" t="inlineStr">
        <is>
          <t>Dispositivo não executado</t>
        </is>
      </c>
      <c r="N289" t="inlineStr">
        <is>
          <t>Evidenciado recalque do solo e piso nos postos de DHP por falta de dispositivo de desague, trincas nos dispositivos de drenagem.</t>
        </is>
      </c>
      <c r="O289" t="inlineStr">
        <is>
          <t>Tipo A</t>
        </is>
      </c>
      <c r="P289" t="inlineStr">
        <is>
          <t>8+000</t>
        </is>
      </c>
      <c r="Q289" t="inlineStr">
        <is>
          <t xml:space="preserve"> 8+100</t>
        </is>
      </c>
      <c r="R289" t="inlineStr">
        <is>
          <t>Aberta</t>
        </is>
      </c>
      <c r="T289" t="inlineStr">
        <is>
          <t>Aline Batista</t>
        </is>
      </c>
      <c r="U289" t="inlineStr">
        <is>
          <t>24/02/2026</t>
        </is>
      </c>
      <c r="V289" t="inlineStr">
        <is>
          <t>03/03/2026</t>
        </is>
      </c>
      <c r="W289">
        <v>99</v>
      </c>
      <c r="AA289" t="inlineStr">
        <is>
          <t>Aberta 90-120 dias</t>
        </is>
      </c>
      <c r="AB289" t="inlineStr">
        <is>
          <t>EMPA</t>
        </is>
      </c>
      <c r="AC289" t="inlineStr">
        <is>
          <t>Aline</t>
        </is>
      </c>
      <c r="AD289" t="inlineStr">
        <is>
          <t>02/06/2026</t>
        </is>
      </c>
      <c r="AE289" t="inlineStr">
        <is>
          <t>07/06/2026</t>
        </is>
      </c>
      <c r="AF289" t="inlineStr">
        <is>
          <t>Cronograma de Pendências EMPA</t>
        </is>
      </c>
    </row>
    <row r="290">
      <c r="A290">
        <v>288</v>
      </c>
      <c r="B290">
        <v>1</v>
      </c>
      <c r="C290" t="inlineStr">
        <is>
          <t>1.1</t>
        </is>
      </c>
      <c r="D290" t="inlineStr">
        <is>
          <t>C19</t>
        </is>
      </c>
      <c r="E290" t="inlineStr">
        <is>
          <t>LE/LD</t>
        </is>
      </c>
      <c r="F290" t="inlineStr">
        <is>
          <t>EMPA</t>
        </is>
      </c>
      <c r="G290" t="inlineStr">
        <is>
          <t>CLP-009</t>
        </is>
      </c>
      <c r="H290" t="inlineStr">
        <is>
          <t>Protocolo</t>
        </is>
      </c>
      <c r="I290">
        <v>6</v>
      </c>
      <c r="J290" t="inlineStr">
        <is>
          <t>Drenagem Superficial</t>
        </is>
      </c>
      <c r="K290" t="inlineStr">
        <is>
          <t>6.10</t>
        </is>
      </c>
      <c r="L290" t="inlineStr">
        <is>
          <t>Bueiro</t>
        </is>
      </c>
      <c r="M290" t="inlineStr">
        <is>
          <t>Limpeza/ remoção de material</t>
        </is>
      </c>
      <c r="N290" t="inlineStr">
        <is>
          <t xml:space="preserve">Limpeza geral de todo dispositivo de drenagem. </t>
        </is>
      </c>
      <c r="O290" t="inlineStr">
        <is>
          <t>Tipo A</t>
        </is>
      </c>
      <c r="P290" t="inlineStr">
        <is>
          <t xml:space="preserve">8+380 </t>
        </is>
      </c>
      <c r="Q290" t="inlineStr">
        <is>
          <t xml:space="preserve"> 8+390</t>
        </is>
      </c>
      <c r="R290" t="inlineStr">
        <is>
          <t>Aberta</t>
        </is>
      </c>
      <c r="T290" t="inlineStr">
        <is>
          <t>Aline Batista</t>
        </is>
      </c>
      <c r="U290" t="inlineStr">
        <is>
          <t>24/02/2026</t>
        </is>
      </c>
      <c r="V290" t="inlineStr">
        <is>
          <t>03/03/2026</t>
        </is>
      </c>
      <c r="W290">
        <v>99</v>
      </c>
      <c r="AA290" t="inlineStr">
        <is>
          <t>Aberta 90-120 dias</t>
        </is>
      </c>
      <c r="AB290" t="inlineStr">
        <is>
          <t>EMPA</t>
        </is>
      </c>
      <c r="AC290" t="inlineStr">
        <is>
          <t>Aline</t>
        </is>
      </c>
      <c r="AD290" t="inlineStr">
        <is>
          <t>27/05/2026</t>
        </is>
      </c>
      <c r="AE290" t="inlineStr">
        <is>
          <t>31/05/2026</t>
        </is>
      </c>
      <c r="AF290" t="inlineStr">
        <is>
          <t>Cronograma de Pendências EMPA</t>
        </is>
      </c>
    </row>
    <row r="291">
      <c r="A291">
        <v>289</v>
      </c>
      <c r="B291">
        <v>1</v>
      </c>
      <c r="C291" t="inlineStr">
        <is>
          <t>1.1</t>
        </is>
      </c>
      <c r="D291" t="inlineStr">
        <is>
          <t>C19</t>
        </is>
      </c>
      <c r="E291" t="inlineStr">
        <is>
          <t>LE/LD/Banqueta</t>
        </is>
      </c>
      <c r="F291" t="inlineStr">
        <is>
          <t>EMPA</t>
        </is>
      </c>
      <c r="G291" t="inlineStr">
        <is>
          <t>CLP-009</t>
        </is>
      </c>
      <c r="H291" t="inlineStr">
        <is>
          <t>Protocolo</t>
        </is>
      </c>
      <c r="I291">
        <v>6</v>
      </c>
      <c r="J291" t="inlineStr">
        <is>
          <t>Drenagem Superficial</t>
        </is>
      </c>
      <c r="K291" t="inlineStr">
        <is>
          <t>6.10</t>
        </is>
      </c>
      <c r="L291" t="inlineStr">
        <is>
          <t>CZB-02 banqueta</t>
        </is>
      </c>
      <c r="M291" t="inlineStr">
        <is>
          <t>Limpeza/ remoção de material</t>
        </is>
      </c>
      <c r="N291" t="inlineStr">
        <is>
          <t>limpeza da CZB-02 banqueta.</t>
        </is>
      </c>
      <c r="O291" t="inlineStr">
        <is>
          <t>Tipo A</t>
        </is>
      </c>
      <c r="P291" t="inlineStr">
        <is>
          <t xml:space="preserve"> 8+680</t>
        </is>
      </c>
      <c r="Q291" t="inlineStr">
        <is>
          <t xml:space="preserve"> 8+680</t>
        </is>
      </c>
      <c r="R291" t="inlineStr">
        <is>
          <t>Aberta</t>
        </is>
      </c>
      <c r="T291" t="inlineStr">
        <is>
          <t>Aline Batista</t>
        </is>
      </c>
      <c r="U291" t="inlineStr">
        <is>
          <t>24/02/2026</t>
        </is>
      </c>
      <c r="V291" t="inlineStr">
        <is>
          <t>03/03/2026</t>
        </is>
      </c>
      <c r="W291">
        <v>99</v>
      </c>
      <c r="AA291" t="inlineStr">
        <is>
          <t>Aberta 90-120 dias</t>
        </is>
      </c>
      <c r="AB291" t="inlineStr">
        <is>
          <t>EMPA</t>
        </is>
      </c>
      <c r="AC291" t="inlineStr">
        <is>
          <t>Aline</t>
        </is>
      </c>
      <c r="AD291" t="inlineStr">
        <is>
          <t>02/06/2026</t>
        </is>
      </c>
      <c r="AE291" t="inlineStr">
        <is>
          <t>07/06/2026</t>
        </is>
      </c>
      <c r="AF291" t="inlineStr">
        <is>
          <t>Cronograma de Pendências EMPA</t>
        </is>
      </c>
    </row>
    <row r="292">
      <c r="A292">
        <v>290</v>
      </c>
      <c r="B292">
        <v>1</v>
      </c>
      <c r="C292" t="inlineStr">
        <is>
          <t>1.1</t>
        </is>
      </c>
      <c r="D292" t="inlineStr">
        <is>
          <t>C19</t>
        </is>
      </c>
      <c r="E292" t="inlineStr">
        <is>
          <t>LE/LD</t>
        </is>
      </c>
      <c r="F292" t="inlineStr">
        <is>
          <t>EMPA</t>
        </is>
      </c>
      <c r="G292" t="inlineStr">
        <is>
          <t>CLP-009</t>
        </is>
      </c>
      <c r="H292" t="inlineStr">
        <is>
          <t>Protocolo</t>
        </is>
      </c>
      <c r="I292">
        <v>6</v>
      </c>
      <c r="J292" t="inlineStr">
        <is>
          <t>Drenagem Superficial</t>
        </is>
      </c>
      <c r="K292" t="inlineStr">
        <is>
          <t>6.10</t>
        </is>
      </c>
      <c r="L292" t="inlineStr">
        <is>
          <t>SZC 04</t>
        </is>
      </c>
      <c r="M292" t="inlineStr">
        <is>
          <t>Obstrução do dispositivo</t>
        </is>
      </c>
      <c r="N292" t="inlineStr">
        <is>
          <t>Limpeza do dispositivo de drenagem SZC 04 e dissipador</t>
        </is>
      </c>
      <c r="O292" t="inlineStr">
        <is>
          <t>Tipo A</t>
        </is>
      </c>
      <c r="P292" t="inlineStr">
        <is>
          <t xml:space="preserve"> 8+680</t>
        </is>
      </c>
      <c r="Q292" t="inlineStr">
        <is>
          <t xml:space="preserve"> 8+680</t>
        </is>
      </c>
      <c r="R292" t="inlineStr">
        <is>
          <t>Aberta</t>
        </is>
      </c>
      <c r="T292" t="inlineStr">
        <is>
          <t>Aline Batista</t>
        </is>
      </c>
      <c r="U292" t="inlineStr">
        <is>
          <t>24/02/2026</t>
        </is>
      </c>
      <c r="V292" t="inlineStr">
        <is>
          <t>03/03/2026</t>
        </is>
      </c>
      <c r="W292">
        <v>99</v>
      </c>
      <c r="AA292" t="inlineStr">
        <is>
          <t>Aberta 90-120 dias</t>
        </is>
      </c>
      <c r="AB292" t="inlineStr">
        <is>
          <t>EMPA</t>
        </is>
      </c>
      <c r="AC292" t="inlineStr">
        <is>
          <t>Aline</t>
        </is>
      </c>
      <c r="AD292" t="inlineStr">
        <is>
          <t>09/06/2026</t>
        </is>
      </c>
      <c r="AE292" t="inlineStr">
        <is>
          <t>14/06/2026</t>
        </is>
      </c>
      <c r="AF292" t="inlineStr">
        <is>
          <t>Cronograma de Pendências EMPA</t>
        </is>
      </c>
    </row>
    <row r="293">
      <c r="A293">
        <v>291</v>
      </c>
      <c r="B293">
        <v>1</v>
      </c>
      <c r="C293" t="inlineStr">
        <is>
          <t>1.1</t>
        </is>
      </c>
      <c r="D293" t="inlineStr">
        <is>
          <t>C19</t>
        </is>
      </c>
      <c r="E293" t="inlineStr">
        <is>
          <t>LE/LD/Banqueta</t>
        </is>
      </c>
      <c r="F293" t="inlineStr">
        <is>
          <t>EMPA</t>
        </is>
      </c>
      <c r="G293" t="inlineStr">
        <is>
          <t>CLP-009</t>
        </is>
      </c>
      <c r="H293" t="inlineStr">
        <is>
          <t>Protocolo</t>
        </is>
      </c>
      <c r="I293">
        <v>6</v>
      </c>
      <c r="J293" t="inlineStr">
        <is>
          <t>Drenagem Superficial</t>
        </is>
      </c>
      <c r="K293" t="inlineStr">
        <is>
          <t>6.10</t>
        </is>
      </c>
      <c r="L293" t="inlineStr">
        <is>
          <t>VPC-01 LD</t>
        </is>
      </c>
      <c r="M293" t="inlineStr">
        <is>
          <t>Erosões</t>
        </is>
      </c>
      <c r="N293" t="inlineStr">
        <is>
          <t xml:space="preserve"> Limpeza na sarjeta SZA, tratamento de junta, trincas e fissuras, / limpeza,  trincas e erosão lateral na VPC-01 LD.</t>
        </is>
      </c>
      <c r="O293" t="inlineStr">
        <is>
          <t>Tipo A</t>
        </is>
      </c>
      <c r="P293" t="inlineStr">
        <is>
          <t xml:space="preserve"> 8+760</t>
        </is>
      </c>
      <c r="Q293" t="inlineStr">
        <is>
          <t xml:space="preserve"> 8+760</t>
        </is>
      </c>
      <c r="R293" t="inlineStr">
        <is>
          <t>Aberta</t>
        </is>
      </c>
      <c r="T293" t="inlineStr">
        <is>
          <t>Aline Batista</t>
        </is>
      </c>
      <c r="U293" t="inlineStr">
        <is>
          <t>24/02/2026</t>
        </is>
      </c>
      <c r="V293" t="inlineStr">
        <is>
          <t>03/03/2026</t>
        </is>
      </c>
      <c r="W293">
        <v>99</v>
      </c>
      <c r="AA293" t="inlineStr">
        <is>
          <t>Aberta 90-120 dias</t>
        </is>
      </c>
      <c r="AB293" t="inlineStr">
        <is>
          <t>EMPA</t>
        </is>
      </c>
      <c r="AC293" t="inlineStr">
        <is>
          <t>Aline</t>
        </is>
      </c>
      <c r="AD293" t="inlineStr">
        <is>
          <t>09/06/2026</t>
        </is>
      </c>
      <c r="AE293" t="inlineStr">
        <is>
          <t>14/06/2026</t>
        </is>
      </c>
      <c r="AF293" t="inlineStr">
        <is>
          <t>Cronograma de Pendências EMPA</t>
        </is>
      </c>
    </row>
    <row r="294">
      <c r="A294">
        <v>292</v>
      </c>
      <c r="B294">
        <v>1</v>
      </c>
      <c r="C294" t="inlineStr">
        <is>
          <t>1.1</t>
        </is>
      </c>
      <c r="D294" t="inlineStr">
        <is>
          <t>A22</t>
        </is>
      </c>
      <c r="E294" t="inlineStr">
        <is>
          <t>LE/LD</t>
        </is>
      </c>
      <c r="F294" t="inlineStr">
        <is>
          <t>EMPA</t>
        </is>
      </c>
      <c r="G294" t="inlineStr">
        <is>
          <t>CLP-009</t>
        </is>
      </c>
      <c r="H294" t="inlineStr">
        <is>
          <t>Protocolo</t>
        </is>
      </c>
      <c r="I294">
        <v>6</v>
      </c>
      <c r="J294" t="inlineStr">
        <is>
          <t>Drenagem Superficial</t>
        </is>
      </c>
      <c r="K294" t="inlineStr">
        <is>
          <t>6.10</t>
        </is>
      </c>
      <c r="L294" t="inlineStr">
        <is>
          <t xml:space="preserve"> SZA</t>
        </is>
      </c>
      <c r="M294" t="inlineStr">
        <is>
          <t>Obstrução do dispositivo</t>
        </is>
      </c>
      <c r="N294" t="inlineStr">
        <is>
          <t>Desobstrução de SZA  acesso provisório, remoção de canteiro.</t>
        </is>
      </c>
      <c r="O294" t="inlineStr">
        <is>
          <t>Tipo A</t>
        </is>
      </c>
      <c r="P294" t="inlineStr">
        <is>
          <t>8+980</t>
        </is>
      </c>
      <c r="Q294" t="inlineStr">
        <is>
          <t>8+980</t>
        </is>
      </c>
      <c r="R294" t="inlineStr">
        <is>
          <t>Aberta</t>
        </is>
      </c>
      <c r="T294" t="inlineStr">
        <is>
          <t>Aline Batista</t>
        </is>
      </c>
      <c r="U294" t="inlineStr">
        <is>
          <t>24/02/2026</t>
        </is>
      </c>
      <c r="V294" t="inlineStr">
        <is>
          <t>03/03/2026</t>
        </is>
      </c>
      <c r="W294">
        <v>99</v>
      </c>
      <c r="AA294" t="inlineStr">
        <is>
          <t>Aberta 90-120 dias</t>
        </is>
      </c>
      <c r="AB294" t="inlineStr">
        <is>
          <t>EMPA</t>
        </is>
      </c>
      <c r="AC294" t="inlineStr">
        <is>
          <t>Aline</t>
        </is>
      </c>
      <c r="AD294" t="inlineStr">
        <is>
          <t>09/06/2026</t>
        </is>
      </c>
      <c r="AE294" t="inlineStr">
        <is>
          <t>14/06/2026</t>
        </is>
      </c>
      <c r="AF294" t="inlineStr">
        <is>
          <t>Cronograma de Pendências EMPA</t>
        </is>
      </c>
    </row>
    <row r="295">
      <c r="A295">
        <v>293</v>
      </c>
      <c r="B295">
        <v>1</v>
      </c>
      <c r="C295" t="inlineStr">
        <is>
          <t>1.1</t>
        </is>
      </c>
      <c r="D295" t="inlineStr">
        <is>
          <t>A26</t>
        </is>
      </c>
      <c r="E295" t="inlineStr">
        <is>
          <t>LD</t>
        </is>
      </c>
      <c r="F295" t="inlineStr">
        <is>
          <t>EMPA</t>
        </is>
      </c>
      <c r="G295" t="inlineStr">
        <is>
          <t>CLP-009</t>
        </is>
      </c>
      <c r="H295" t="inlineStr">
        <is>
          <t>Protocolo</t>
        </is>
      </c>
      <c r="I295">
        <v>6</v>
      </c>
      <c r="J295" t="inlineStr">
        <is>
          <t>Drenagem Superficial</t>
        </is>
      </c>
      <c r="K295" t="inlineStr">
        <is>
          <t>6.10</t>
        </is>
      </c>
      <c r="L295" t="inlineStr">
        <is>
          <t>SZC</t>
        </is>
      </c>
      <c r="M295" t="inlineStr">
        <is>
          <t>Dispositivo não executado</t>
        </is>
      </c>
      <c r="N295" t="inlineStr">
        <is>
          <t>Pendente finalização da sarjeta com seu dispositivo de deságue.</t>
        </is>
      </c>
      <c r="O295" t="inlineStr">
        <is>
          <t>Tipo A</t>
        </is>
      </c>
      <c r="P295" t="inlineStr">
        <is>
          <t>9+750</t>
        </is>
      </c>
      <c r="Q295" t="inlineStr">
        <is>
          <t>9+750</t>
        </is>
      </c>
      <c r="R295" t="inlineStr">
        <is>
          <t>Aberta</t>
        </is>
      </c>
      <c r="T295" t="inlineStr">
        <is>
          <t>Aline Batista</t>
        </is>
      </c>
      <c r="U295" t="inlineStr">
        <is>
          <t>24/02/2026</t>
        </is>
      </c>
      <c r="V295" t="inlineStr">
        <is>
          <t>03/03/2026</t>
        </is>
      </c>
      <c r="W295">
        <v>99</v>
      </c>
      <c r="AA295" t="inlineStr">
        <is>
          <t>Aberta 90-120 dias</t>
        </is>
      </c>
      <c r="AB295" t="inlineStr">
        <is>
          <t>EMPA</t>
        </is>
      </c>
      <c r="AC295" t="inlineStr">
        <is>
          <t>Aline</t>
        </is>
      </c>
      <c r="AD295" t="inlineStr">
        <is>
          <t>09/06/2026</t>
        </is>
      </c>
      <c r="AE295" t="inlineStr">
        <is>
          <t>14/06/2026</t>
        </is>
      </c>
      <c r="AF295" t="inlineStr">
        <is>
          <t>Prazo Premissa Vale</t>
        </is>
      </c>
    </row>
    <row r="296">
      <c r="A296">
        <v>294</v>
      </c>
      <c r="B296">
        <v>1</v>
      </c>
      <c r="C296" t="inlineStr">
        <is>
          <t>1.1</t>
        </is>
      </c>
      <c r="D296" t="inlineStr">
        <is>
          <t>C25</t>
        </is>
      </c>
      <c r="E296" t="inlineStr">
        <is>
          <t>LE/LD</t>
        </is>
      </c>
      <c r="F296" t="inlineStr">
        <is>
          <t>EMPA</t>
        </is>
      </c>
      <c r="G296" t="inlineStr">
        <is>
          <t>CLP-009</t>
        </is>
      </c>
      <c r="H296" t="inlineStr">
        <is>
          <t>Protocolo</t>
        </is>
      </c>
      <c r="I296">
        <v>6</v>
      </c>
      <c r="J296" t="inlineStr">
        <is>
          <t>Drenagem Superficial</t>
        </is>
      </c>
      <c r="K296" t="inlineStr">
        <is>
          <t>6.10</t>
        </is>
      </c>
      <c r="L296" t="inlineStr">
        <is>
          <t xml:space="preserve">DDA 01 </t>
        </is>
      </c>
      <c r="M296" t="inlineStr">
        <is>
          <t>Obstrução do dispositivo</t>
        </is>
      </c>
      <c r="N296" t="inlineStr">
        <is>
          <t>Finalização da DDA 01 com deságue.</t>
        </is>
      </c>
      <c r="O296" t="inlineStr">
        <is>
          <t>Tipo A</t>
        </is>
      </c>
      <c r="P296" t="inlineStr">
        <is>
          <t xml:space="preserve"> 9+800</t>
        </is>
      </c>
      <c r="Q296" t="inlineStr">
        <is>
          <t>9+890</t>
        </is>
      </c>
      <c r="R296" t="inlineStr">
        <is>
          <t>Aberta</t>
        </is>
      </c>
      <c r="T296" t="inlineStr">
        <is>
          <t>Aline Batista</t>
        </is>
      </c>
      <c r="U296" t="inlineStr">
        <is>
          <t>24/02/2026</t>
        </is>
      </c>
      <c r="V296" t="inlineStr">
        <is>
          <t>03/03/2026</t>
        </is>
      </c>
      <c r="W296">
        <v>99</v>
      </c>
      <c r="AA296" t="inlineStr">
        <is>
          <t>Aberta 90-120 dias</t>
        </is>
      </c>
      <c r="AB296" t="inlineStr">
        <is>
          <t>EMPA</t>
        </is>
      </c>
      <c r="AC296" t="inlineStr">
        <is>
          <t>Aline</t>
        </is>
      </c>
      <c r="AD296" t="inlineStr">
        <is>
          <t>09/06/2026</t>
        </is>
      </c>
      <c r="AE296" t="inlineStr">
        <is>
          <t>14/06/2026</t>
        </is>
      </c>
      <c r="AF296" t="inlineStr">
        <is>
          <t>Prazo Premissa Vale</t>
        </is>
      </c>
    </row>
    <row r="297">
      <c r="A297">
        <v>295</v>
      </c>
      <c r="B297">
        <v>1</v>
      </c>
      <c r="C297" t="inlineStr">
        <is>
          <t>1.1</t>
        </is>
      </c>
      <c r="D297" t="inlineStr">
        <is>
          <t>C19</t>
        </is>
      </c>
      <c r="E297" t="inlineStr">
        <is>
          <t>LD</t>
        </is>
      </c>
      <c r="F297" t="inlineStr">
        <is>
          <t>EMPA</t>
        </is>
      </c>
      <c r="G297" t="inlineStr">
        <is>
          <t>CLP-009</t>
        </is>
      </c>
      <c r="H297" t="inlineStr">
        <is>
          <t>Protocolo</t>
        </is>
      </c>
      <c r="I297">
        <v>6</v>
      </c>
      <c r="J297" t="inlineStr">
        <is>
          <t>Drenagem Superficial</t>
        </is>
      </c>
      <c r="K297" t="inlineStr">
        <is>
          <t>6.11</t>
        </is>
      </c>
      <c r="L297" t="inlineStr">
        <is>
          <t>DDA</t>
        </is>
      </c>
      <c r="M297" t="inlineStr">
        <is>
          <t>Conformação</t>
        </is>
      </c>
      <c r="N297" t="inlineStr">
        <is>
          <t>Pendente reaterro da DDA.</t>
        </is>
      </c>
      <c r="O297" t="inlineStr">
        <is>
          <t>Tipo A</t>
        </is>
      </c>
      <c r="P297" t="inlineStr">
        <is>
          <t>7+840</t>
        </is>
      </c>
      <c r="Q297" t="inlineStr">
        <is>
          <t>7+840</t>
        </is>
      </c>
      <c r="R297" t="inlineStr">
        <is>
          <t>Aberta</t>
        </is>
      </c>
      <c r="T297" t="inlineStr">
        <is>
          <t>Aline Batista</t>
        </is>
      </c>
      <c r="U297" t="inlineStr">
        <is>
          <t>24/02/2026</t>
        </is>
      </c>
      <c r="V297" t="inlineStr">
        <is>
          <t>03/03/2026</t>
        </is>
      </c>
      <c r="W297">
        <v>99</v>
      </c>
      <c r="AA297" t="inlineStr">
        <is>
          <t>Aberta 90-120 dias</t>
        </is>
      </c>
      <c r="AB297" t="inlineStr">
        <is>
          <t>EMPA</t>
        </is>
      </c>
      <c r="AC297" t="inlineStr">
        <is>
          <t>Aline</t>
        </is>
      </c>
      <c r="AD297" t="inlineStr">
        <is>
          <t>02/06/2026</t>
        </is>
      </c>
      <c r="AE297" t="inlineStr">
        <is>
          <t>07/06/2026</t>
        </is>
      </c>
      <c r="AF297" t="inlineStr">
        <is>
          <t>Prazo Premissa Vale</t>
        </is>
      </c>
    </row>
    <row r="298">
      <c r="A298">
        <v>296</v>
      </c>
      <c r="B298">
        <v>1</v>
      </c>
      <c r="C298" t="inlineStr">
        <is>
          <t>1.1</t>
        </is>
      </c>
      <c r="D298" t="inlineStr">
        <is>
          <t>C19</t>
        </is>
      </c>
      <c r="E298" t="inlineStr">
        <is>
          <t>LE/LD</t>
        </is>
      </c>
      <c r="F298" t="inlineStr">
        <is>
          <t>EMPA</t>
        </is>
      </c>
      <c r="G298" t="inlineStr">
        <is>
          <t>CLP-009</t>
        </is>
      </c>
      <c r="H298" t="inlineStr">
        <is>
          <t>Fiscalização</t>
        </is>
      </c>
      <c r="I298">
        <v>6</v>
      </c>
      <c r="J298" t="inlineStr">
        <is>
          <t>Drenagem Superficial</t>
        </is>
      </c>
      <c r="K298" t="inlineStr">
        <is>
          <t>6.11</t>
        </is>
      </c>
      <c r="L298" t="inlineStr">
        <is>
          <t>Dissipador</t>
        </is>
      </c>
      <c r="M298" t="inlineStr">
        <is>
          <t>Erosões</t>
        </is>
      </c>
      <c r="N298" t="inlineStr">
        <is>
          <t>Recuperação de erosão pós dissipador.</t>
        </is>
      </c>
      <c r="O298" t="inlineStr">
        <is>
          <t>Tipo A</t>
        </is>
      </c>
      <c r="P298" t="inlineStr">
        <is>
          <t>8+680</t>
        </is>
      </c>
      <c r="Q298" t="inlineStr">
        <is>
          <t>8+680</t>
        </is>
      </c>
      <c r="R298" t="inlineStr">
        <is>
          <t>Aberta</t>
        </is>
      </c>
      <c r="T298" t="inlineStr">
        <is>
          <t>Aline Batista</t>
        </is>
      </c>
      <c r="U298" t="inlineStr">
        <is>
          <t>24/02/2026</t>
        </is>
      </c>
      <c r="V298" t="inlineStr">
        <is>
          <t>03/03/2026</t>
        </is>
      </c>
      <c r="W298">
        <v>99</v>
      </c>
      <c r="AA298" t="inlineStr">
        <is>
          <t>Aberta 90-120 dias</t>
        </is>
      </c>
      <c r="AB298" t="inlineStr">
        <is>
          <t>EMPA</t>
        </is>
      </c>
      <c r="AC298" t="inlineStr">
        <is>
          <t>Aline</t>
        </is>
      </c>
      <c r="AD298" t="inlineStr">
        <is>
          <t>09/06/2026</t>
        </is>
      </c>
      <c r="AE298" t="inlineStr">
        <is>
          <t>14/06/2026</t>
        </is>
      </c>
      <c r="AF298" t="inlineStr">
        <is>
          <t>Cronograma de Pendências EMPA</t>
        </is>
      </c>
    </row>
    <row r="299">
      <c r="A299">
        <v>297</v>
      </c>
      <c r="B299">
        <v>1</v>
      </c>
      <c r="C299" t="inlineStr">
        <is>
          <t>1.1</t>
        </is>
      </c>
      <c r="D299" t="inlineStr">
        <is>
          <t>A22</t>
        </is>
      </c>
      <c r="E299" t="inlineStr">
        <is>
          <t>LE/LD</t>
        </is>
      </c>
      <c r="F299" t="inlineStr">
        <is>
          <t>EMPA</t>
        </is>
      </c>
      <c r="G299" t="inlineStr">
        <is>
          <t>CLP-009</t>
        </is>
      </c>
      <c r="H299" t="inlineStr">
        <is>
          <t>Protocolo</t>
        </is>
      </c>
      <c r="I299">
        <v>6</v>
      </c>
      <c r="J299" t="inlineStr">
        <is>
          <t>Drenagem Superficial</t>
        </is>
      </c>
      <c r="K299" t="inlineStr">
        <is>
          <t>6.11</t>
        </is>
      </c>
      <c r="L299" t="inlineStr">
        <is>
          <t>Dissipador</t>
        </is>
      </c>
      <c r="M299" t="inlineStr">
        <is>
          <t>Erosões</t>
        </is>
      </c>
      <c r="N299" t="inlineStr">
        <is>
          <t>Erosão pós dissipador de energia.</t>
        </is>
      </c>
      <c r="O299" t="inlineStr">
        <is>
          <t>Tipo A</t>
        </is>
      </c>
      <c r="P299" t="inlineStr">
        <is>
          <t>8+980</t>
        </is>
      </c>
      <c r="Q299" t="inlineStr">
        <is>
          <t>8+980</t>
        </is>
      </c>
      <c r="R299" t="inlineStr">
        <is>
          <t>Aberta</t>
        </is>
      </c>
      <c r="T299" t="inlineStr">
        <is>
          <t>Aline Batista</t>
        </is>
      </c>
      <c r="U299" t="inlineStr">
        <is>
          <t>24/02/2026</t>
        </is>
      </c>
      <c r="V299" t="inlineStr">
        <is>
          <t>03/03/2026</t>
        </is>
      </c>
      <c r="W299">
        <v>99</v>
      </c>
      <c r="AA299" t="inlineStr">
        <is>
          <t>Aberta 90-120 dias</t>
        </is>
      </c>
      <c r="AB299" t="inlineStr">
        <is>
          <t>EMPA</t>
        </is>
      </c>
      <c r="AC299" t="inlineStr">
        <is>
          <t>Aline</t>
        </is>
      </c>
      <c r="AD299" t="inlineStr">
        <is>
          <t>09/06/2026</t>
        </is>
      </c>
      <c r="AE299" t="inlineStr">
        <is>
          <t>14/06/2026</t>
        </is>
      </c>
      <c r="AF299" t="inlineStr">
        <is>
          <t>Cronograma de Pendências EMPA</t>
        </is>
      </c>
    </row>
    <row r="300">
      <c r="A300">
        <v>298</v>
      </c>
      <c r="B300">
        <v>3</v>
      </c>
      <c r="C300" t="inlineStr">
        <is>
          <t>1.7</t>
        </is>
      </c>
      <c r="D300" t="inlineStr">
        <is>
          <t>A01</t>
        </is>
      </c>
      <c r="E300" t="inlineStr">
        <is>
          <t>LE</t>
        </is>
      </c>
      <c r="F300" t="inlineStr">
        <is>
          <t>APIA</t>
        </is>
      </c>
      <c r="G300" t="inlineStr">
        <is>
          <t>CLP-010</t>
        </is>
      </c>
      <c r="H300" t="inlineStr">
        <is>
          <t>Protocolo</t>
        </is>
      </c>
      <c r="I300">
        <v>1</v>
      </c>
      <c r="J300" t="inlineStr">
        <is>
          <t>Obras Complementares</t>
        </is>
      </c>
      <c r="K300" t="inlineStr">
        <is>
          <t>1.2</t>
        </is>
      </c>
      <c r="L300" t="inlineStr">
        <is>
          <t>Cerca</t>
        </is>
      </c>
      <c r="M300" t="inlineStr">
        <is>
          <t>Cercamento pendente</t>
        </is>
      </c>
      <c r="N300" t="inlineStr">
        <is>
          <t>Em inspeção visual foi identificado que não foram aplicado cerca no trecho inspecionado</t>
        </is>
      </c>
      <c r="O300" t="inlineStr">
        <is>
          <t>Tipo A</t>
        </is>
      </c>
      <c r="P300" t="inlineStr">
        <is>
          <t>71+300</t>
        </is>
      </c>
      <c r="Q300" t="inlineStr">
        <is>
          <t>72+000</t>
        </is>
      </c>
      <c r="R300" t="inlineStr">
        <is>
          <t>Aberta</t>
        </is>
      </c>
      <c r="T300" t="inlineStr">
        <is>
          <t>Fernanda Soave</t>
        </is>
      </c>
      <c r="U300" t="inlineStr">
        <is>
          <t>09/02/2026</t>
        </is>
      </c>
      <c r="V300" t="inlineStr">
        <is>
          <t>16/02/2026</t>
        </is>
      </c>
      <c r="W300">
        <v>114</v>
      </c>
      <c r="X300" t="inlineStr">
        <is>
          <t>01/05/2026</t>
        </is>
      </c>
      <c r="AA300" t="inlineStr">
        <is>
          <t>Aberta +120 dias</t>
        </is>
      </c>
    </row>
    <row r="301">
      <c r="A301">
        <v>299</v>
      </c>
      <c r="B301">
        <v>3</v>
      </c>
      <c r="C301" t="inlineStr">
        <is>
          <t>1.7</t>
        </is>
      </c>
      <c r="D301" t="inlineStr">
        <is>
          <t>A01</t>
        </is>
      </c>
      <c r="E301" t="inlineStr">
        <is>
          <t>LD</t>
        </is>
      </c>
      <c r="F301" t="inlineStr">
        <is>
          <t>APIA</t>
        </is>
      </c>
      <c r="G301" t="inlineStr">
        <is>
          <t>CLP-010</t>
        </is>
      </c>
      <c r="H301" t="inlineStr">
        <is>
          <t>Protocolo</t>
        </is>
      </c>
      <c r="I301">
        <v>1</v>
      </c>
      <c r="J301" t="inlineStr">
        <is>
          <t>Obras Complementares</t>
        </is>
      </c>
      <c r="K301" t="inlineStr">
        <is>
          <t>1.17</t>
        </is>
      </c>
      <c r="L301" t="inlineStr">
        <is>
          <t>Porteira / Mata-burro</t>
        </is>
      </c>
      <c r="M301" t="inlineStr">
        <is>
          <t>Cercamento danificado</t>
        </is>
      </c>
      <c r="N301" t="inlineStr">
        <is>
          <t>Mata-burro e porteira inacessíveis por alta vegetação no local.</t>
        </is>
      </c>
      <c r="O301" t="inlineStr">
        <is>
          <t>Tipo C</t>
        </is>
      </c>
      <c r="P301" t="inlineStr">
        <is>
          <t>71+900</t>
        </is>
      </c>
      <c r="Q301" t="inlineStr">
        <is>
          <t>71+900</t>
        </is>
      </c>
      <c r="R301" t="inlineStr">
        <is>
          <t>Aberta</t>
        </is>
      </c>
      <c r="T301" t="inlineStr">
        <is>
          <t>Fernanda Soave</t>
        </is>
      </c>
      <c r="U301" t="inlineStr">
        <is>
          <t>09/02/2026</t>
        </is>
      </c>
      <c r="V301" t="inlineStr">
        <is>
          <t>11/03/2026</t>
        </is>
      </c>
      <c r="W301">
        <v>91</v>
      </c>
      <c r="AA301" t="inlineStr">
        <is>
          <t>Aberta +120 dias</t>
        </is>
      </c>
    </row>
    <row r="302">
      <c r="A302">
        <v>300</v>
      </c>
      <c r="B302">
        <v>3</v>
      </c>
      <c r="C302" t="inlineStr">
        <is>
          <t>1.7</t>
        </is>
      </c>
      <c r="D302" t="inlineStr">
        <is>
          <t>A01</t>
        </is>
      </c>
      <c r="E302" t="inlineStr">
        <is>
          <t>LE</t>
        </is>
      </c>
      <c r="F302" t="inlineStr">
        <is>
          <t>APIA</t>
        </is>
      </c>
      <c r="G302" t="inlineStr">
        <is>
          <t>CLP-010</t>
        </is>
      </c>
      <c r="H302" t="inlineStr">
        <is>
          <t>Protocolo</t>
        </is>
      </c>
      <c r="I302">
        <v>1</v>
      </c>
      <c r="J302" t="inlineStr">
        <is>
          <t>Obras Complementares</t>
        </is>
      </c>
      <c r="K302" t="inlineStr">
        <is>
          <t>2.4</t>
        </is>
      </c>
      <c r="L302" t="inlineStr">
        <is>
          <t>OAC</t>
        </is>
      </c>
      <c r="M302" t="inlineStr">
        <is>
          <t>Acabamento do concreto</t>
        </is>
      </c>
      <c r="N302" t="inlineStr">
        <is>
          <t>Parte superior da alas com EPS exposto.</t>
        </is>
      </c>
      <c r="O302" t="inlineStr">
        <is>
          <t>Tipo A</t>
        </is>
      </c>
      <c r="P302" t="inlineStr">
        <is>
          <t xml:space="preserve">71+300 </t>
        </is>
      </c>
      <c r="Q302" t="inlineStr">
        <is>
          <t xml:space="preserve">71+980 </t>
        </is>
      </c>
      <c r="R302" t="inlineStr">
        <is>
          <t>Aberta</t>
        </is>
      </c>
      <c r="T302" t="inlineStr">
        <is>
          <t>Fernanda Soave</t>
        </is>
      </c>
      <c r="U302" t="inlineStr">
        <is>
          <t>09/02/2026</t>
        </is>
      </c>
      <c r="V302" t="inlineStr">
        <is>
          <t>16/02/2026</t>
        </is>
      </c>
      <c r="W302">
        <v>114</v>
      </c>
      <c r="X302" t="inlineStr">
        <is>
          <t>01/05/2026</t>
        </is>
      </c>
      <c r="AA302" t="inlineStr">
        <is>
          <t>Aberta +120 dias</t>
        </is>
      </c>
    </row>
    <row r="303">
      <c r="A303">
        <v>301</v>
      </c>
      <c r="B303">
        <v>3</v>
      </c>
      <c r="C303" t="inlineStr">
        <is>
          <t>1.7</t>
        </is>
      </c>
      <c r="D303" t="inlineStr">
        <is>
          <t>A01</t>
        </is>
      </c>
      <c r="E303" t="inlineStr">
        <is>
          <t>LE</t>
        </is>
      </c>
      <c r="F303" t="inlineStr">
        <is>
          <t>APIA</t>
        </is>
      </c>
      <c r="G303" t="inlineStr">
        <is>
          <t>CLP-010</t>
        </is>
      </c>
      <c r="H303" t="inlineStr">
        <is>
          <t>Protocolo</t>
        </is>
      </c>
      <c r="I303">
        <v>1</v>
      </c>
      <c r="J303" t="inlineStr">
        <is>
          <t>Obras Complementares</t>
        </is>
      </c>
      <c r="K303" t="inlineStr">
        <is>
          <t>2.11</t>
        </is>
      </c>
      <c r="L303" t="inlineStr">
        <is>
          <t>OAC</t>
        </is>
      </c>
      <c r="M303" t="inlineStr">
        <is>
          <t>Obstrução do dispositivo</t>
        </is>
      </c>
      <c r="N303" t="inlineStr">
        <is>
          <t>Limpeza do bueiro.</t>
        </is>
      </c>
      <c r="O303" t="inlineStr">
        <is>
          <t>Tipo C</t>
        </is>
      </c>
      <c r="P303" t="inlineStr">
        <is>
          <t xml:space="preserve"> 71+551</t>
        </is>
      </c>
      <c r="Q303" t="inlineStr">
        <is>
          <t xml:space="preserve"> 71+551</t>
        </is>
      </c>
      <c r="R303" t="inlineStr">
        <is>
          <t>Aberta</t>
        </is>
      </c>
      <c r="T303" t="inlineStr">
        <is>
          <t>Fernanda Soave</t>
        </is>
      </c>
      <c r="U303" t="inlineStr">
        <is>
          <t>09/02/2026</t>
        </is>
      </c>
      <c r="V303" t="inlineStr">
        <is>
          <t>11/03/2026</t>
        </is>
      </c>
      <c r="W303">
        <v>91</v>
      </c>
      <c r="AA303" t="inlineStr">
        <is>
          <t>Aberta +120 dias</t>
        </is>
      </c>
    </row>
    <row r="304">
      <c r="A304">
        <v>302</v>
      </c>
      <c r="B304">
        <v>3</v>
      </c>
      <c r="C304" t="inlineStr">
        <is>
          <t>1.7</t>
        </is>
      </c>
      <c r="D304" t="inlineStr">
        <is>
          <t>A01</t>
        </is>
      </c>
      <c r="E304" t="inlineStr">
        <is>
          <t>LE</t>
        </is>
      </c>
      <c r="F304" t="inlineStr">
        <is>
          <t>APIA</t>
        </is>
      </c>
      <c r="G304" t="inlineStr">
        <is>
          <t>CLP-010</t>
        </is>
      </c>
      <c r="H304" t="inlineStr">
        <is>
          <t>Protocolo</t>
        </is>
      </c>
      <c r="I304">
        <v>1</v>
      </c>
      <c r="J304" t="inlineStr">
        <is>
          <t>Obras Complementares</t>
        </is>
      </c>
      <c r="K304" t="inlineStr">
        <is>
          <t>2.11</t>
        </is>
      </c>
      <c r="L304" t="inlineStr">
        <is>
          <t>OAC</t>
        </is>
      </c>
      <c r="M304" t="inlineStr">
        <is>
          <t>Obstrução do dispositivo</t>
        </is>
      </c>
      <c r="N304" t="inlineStr">
        <is>
          <t>Limpeza do bueiro.</t>
        </is>
      </c>
      <c r="O304" t="inlineStr">
        <is>
          <t>Tipo C</t>
        </is>
      </c>
      <c r="P304" t="inlineStr">
        <is>
          <t>71+300</t>
        </is>
      </c>
      <c r="Q304" t="inlineStr">
        <is>
          <t xml:space="preserve">71+980 </t>
        </is>
      </c>
      <c r="R304" t="inlineStr">
        <is>
          <t>Aberta</t>
        </is>
      </c>
      <c r="T304" t="inlineStr">
        <is>
          <t>Fernanda Soave</t>
        </is>
      </c>
      <c r="U304" t="inlineStr">
        <is>
          <t>09/02/2026</t>
        </is>
      </c>
      <c r="V304" t="inlineStr">
        <is>
          <t>11/03/2026</t>
        </is>
      </c>
      <c r="W304">
        <v>91</v>
      </c>
      <c r="AA304" t="inlineStr">
        <is>
          <t>Aberta +120 dias</t>
        </is>
      </c>
    </row>
    <row r="305">
      <c r="A305">
        <v>303</v>
      </c>
      <c r="B305">
        <v>3</v>
      </c>
      <c r="C305" t="inlineStr">
        <is>
          <t>1.7</t>
        </is>
      </c>
      <c r="D305" t="inlineStr">
        <is>
          <t>A01</t>
        </is>
      </c>
      <c r="E305" t="inlineStr">
        <is>
          <t>LE</t>
        </is>
      </c>
      <c r="F305" t="inlineStr">
        <is>
          <t>APIA</t>
        </is>
      </c>
      <c r="G305" t="inlineStr">
        <is>
          <t>CLP-010</t>
        </is>
      </c>
      <c r="H305" t="inlineStr">
        <is>
          <t>Protocolo</t>
        </is>
      </c>
      <c r="I305">
        <v>1</v>
      </c>
      <c r="J305" t="inlineStr">
        <is>
          <t>Obras Complementares</t>
        </is>
      </c>
      <c r="K305" t="inlineStr">
        <is>
          <t>2.11</t>
        </is>
      </c>
      <c r="L305" t="inlineStr">
        <is>
          <t>OAC</t>
        </is>
      </c>
      <c r="M305" t="inlineStr">
        <is>
          <t>Obstrução do dispositivo</t>
        </is>
      </c>
      <c r="N305" t="inlineStr">
        <is>
          <t>Limpeza do bueiro.</t>
        </is>
      </c>
      <c r="O305" t="inlineStr">
        <is>
          <t>Tipo C</t>
        </is>
      </c>
      <c r="P305" t="inlineStr">
        <is>
          <t>71+300</t>
        </is>
      </c>
      <c r="Q305" t="inlineStr">
        <is>
          <t xml:space="preserve">71+980 </t>
        </is>
      </c>
      <c r="R305" t="inlineStr">
        <is>
          <t>Aberta</t>
        </is>
      </c>
      <c r="T305" t="inlineStr">
        <is>
          <t>Fernanda Soave</t>
        </is>
      </c>
      <c r="U305" t="inlineStr">
        <is>
          <t>09/02/2026</t>
        </is>
      </c>
      <c r="V305" t="inlineStr">
        <is>
          <t>11/03/2026</t>
        </is>
      </c>
      <c r="W305">
        <v>91</v>
      </c>
      <c r="AA305" t="inlineStr">
        <is>
          <t>Aberta +120 dias</t>
        </is>
      </c>
    </row>
    <row r="306">
      <c r="A306">
        <v>304</v>
      </c>
      <c r="B306">
        <v>3</v>
      </c>
      <c r="C306" t="inlineStr">
        <is>
          <t>1.7</t>
        </is>
      </c>
      <c r="D306" t="inlineStr">
        <is>
          <t>C01</t>
        </is>
      </c>
      <c r="E306" t="inlineStr">
        <is>
          <t>LE/LD</t>
        </is>
      </c>
      <c r="F306" t="inlineStr">
        <is>
          <t>APIA</t>
        </is>
      </c>
      <c r="G306" t="inlineStr">
        <is>
          <t>CLP-010</t>
        </is>
      </c>
      <c r="H306" t="inlineStr">
        <is>
          <t>Protocolo</t>
        </is>
      </c>
      <c r="I306">
        <v>1</v>
      </c>
      <c r="J306" t="inlineStr">
        <is>
          <t>Obras Complementares</t>
        </is>
      </c>
      <c r="K306" t="inlineStr">
        <is>
          <t>2.11</t>
        </is>
      </c>
      <c r="L306" t="inlineStr">
        <is>
          <t>OAC</t>
        </is>
      </c>
      <c r="M306" t="inlineStr">
        <is>
          <t>Obstrução do dispositivo</t>
        </is>
      </c>
      <c r="N306" t="inlineStr">
        <is>
          <t>Limpeza do bueiro.</t>
        </is>
      </c>
      <c r="O306" t="inlineStr">
        <is>
          <t>Tipo C</t>
        </is>
      </c>
      <c r="P306" t="inlineStr">
        <is>
          <t>72+420</t>
        </is>
      </c>
      <c r="Q306" t="inlineStr">
        <is>
          <t>72+420</t>
        </is>
      </c>
      <c r="R306" t="inlineStr">
        <is>
          <t>Aberta</t>
        </is>
      </c>
      <c r="T306" t="inlineStr">
        <is>
          <t>Fernanda Soave</t>
        </is>
      </c>
      <c r="U306" t="inlineStr">
        <is>
          <t>09/02/2026</t>
        </is>
      </c>
      <c r="V306" t="inlineStr">
        <is>
          <t>11/03/2026</t>
        </is>
      </c>
      <c r="W306">
        <v>91</v>
      </c>
      <c r="X306" t="inlineStr">
        <is>
          <t>01/05/2026</t>
        </is>
      </c>
      <c r="AA306" t="inlineStr">
        <is>
          <t>Aberta +120 dias</t>
        </is>
      </c>
    </row>
    <row r="307">
      <c r="A307">
        <v>305</v>
      </c>
      <c r="B307">
        <v>3</v>
      </c>
      <c r="C307" t="inlineStr">
        <is>
          <t>1.7</t>
        </is>
      </c>
      <c r="D307" t="inlineStr">
        <is>
          <t>A01</t>
        </is>
      </c>
      <c r="E307" t="inlineStr">
        <is>
          <t>LE</t>
        </is>
      </c>
      <c r="F307" t="inlineStr">
        <is>
          <t>APIA</t>
        </is>
      </c>
      <c r="G307" t="inlineStr">
        <is>
          <t>CLP-010</t>
        </is>
      </c>
      <c r="H307" t="inlineStr">
        <is>
          <t>Protocolo</t>
        </is>
      </c>
      <c r="I307">
        <v>1</v>
      </c>
      <c r="J307" t="inlineStr">
        <is>
          <t>Obras Complementares</t>
        </is>
      </c>
      <c r="K307" t="inlineStr">
        <is>
          <t>2.13</t>
        </is>
      </c>
      <c r="L307" t="inlineStr">
        <is>
          <t>OAC</t>
        </is>
      </c>
      <c r="M307" t="inlineStr">
        <is>
          <t>Obstrução do dispositivo</t>
        </is>
      </c>
      <c r="N307" t="inlineStr">
        <is>
          <t>Obstrução de PG.</t>
        </is>
      </c>
      <c r="O307" t="inlineStr">
        <is>
          <t>Tipo A</t>
        </is>
      </c>
      <c r="P307" t="inlineStr">
        <is>
          <t>71+801</t>
        </is>
      </c>
      <c r="Q307" t="inlineStr">
        <is>
          <t>71+801</t>
        </is>
      </c>
      <c r="R307" t="inlineStr">
        <is>
          <t>Aberta</t>
        </is>
      </c>
      <c r="T307" t="inlineStr">
        <is>
          <t>Fernanda Soave</t>
        </is>
      </c>
      <c r="U307" t="inlineStr">
        <is>
          <t>09/02/2026</t>
        </is>
      </c>
      <c r="V307" t="inlineStr">
        <is>
          <t>16/02/2026</t>
        </is>
      </c>
      <c r="W307">
        <v>114</v>
      </c>
      <c r="X307" t="inlineStr">
        <is>
          <t>01/05/2026</t>
        </is>
      </c>
      <c r="AA307" t="inlineStr">
        <is>
          <t>Aberta +120 dias</t>
        </is>
      </c>
    </row>
    <row r="308">
      <c r="A308">
        <v>306</v>
      </c>
      <c r="B308">
        <v>3</v>
      </c>
      <c r="C308" t="inlineStr">
        <is>
          <t>1.7</t>
        </is>
      </c>
      <c r="D308" t="inlineStr">
        <is>
          <t>C01</t>
        </is>
      </c>
      <c r="E308" t="inlineStr">
        <is>
          <t>LE</t>
        </is>
      </c>
      <c r="F308" t="inlineStr">
        <is>
          <t>APIA</t>
        </is>
      </c>
      <c r="G308" t="inlineStr">
        <is>
          <t>CLP-010</t>
        </is>
      </c>
      <c r="H308" t="inlineStr">
        <is>
          <t>Protocolo</t>
        </is>
      </c>
      <c r="I308">
        <v>1</v>
      </c>
      <c r="J308" t="inlineStr">
        <is>
          <t>Obras Complementares</t>
        </is>
      </c>
      <c r="K308" t="inlineStr">
        <is>
          <t>2.13</t>
        </is>
      </c>
      <c r="L308" t="inlineStr">
        <is>
          <t>Dreno</t>
        </is>
      </c>
      <c r="M308" t="inlineStr">
        <is>
          <t>Dispositivo não executado</t>
        </is>
      </c>
      <c r="N308" t="inlineStr">
        <is>
          <t xml:space="preserve">Não execuatdo terminal de dreno.
Nota: Aberta SIT_2026_6283 para consulta à engenharia sobre o ponto de deságue no dispositivo.</t>
        </is>
      </c>
      <c r="O308" t="inlineStr">
        <is>
          <t>Tipo A</t>
        </is>
      </c>
      <c r="P308" t="inlineStr">
        <is>
          <t xml:space="preserve"> 72+400</t>
        </is>
      </c>
      <c r="Q308" t="inlineStr">
        <is>
          <t xml:space="preserve"> 72+400</t>
        </is>
      </c>
      <c r="R308" t="inlineStr">
        <is>
          <t>Aberta</t>
        </is>
      </c>
      <c r="T308" t="inlineStr">
        <is>
          <t>Fernanda Soave</t>
        </is>
      </c>
      <c r="U308" t="inlineStr">
        <is>
          <t>09/02/2026</t>
        </is>
      </c>
      <c r="V308" t="inlineStr">
        <is>
          <t>16/02/2026</t>
        </is>
      </c>
      <c r="W308">
        <v>114</v>
      </c>
      <c r="X308" t="inlineStr">
        <is>
          <t>01/05/2026</t>
        </is>
      </c>
      <c r="AA308" t="inlineStr">
        <is>
          <t>Aberta +120 dias</t>
        </is>
      </c>
    </row>
    <row r="309">
      <c r="A309">
        <v>307</v>
      </c>
      <c r="B309">
        <v>3</v>
      </c>
      <c r="C309" t="inlineStr">
        <is>
          <t>1.7</t>
        </is>
      </c>
      <c r="D309" t="inlineStr">
        <is>
          <t>C01</t>
        </is>
      </c>
      <c r="E309" t="inlineStr">
        <is>
          <t>LD</t>
        </is>
      </c>
      <c r="F309" t="inlineStr">
        <is>
          <t>APIA</t>
        </is>
      </c>
      <c r="G309" t="inlineStr">
        <is>
          <t>CLP-010</t>
        </is>
      </c>
      <c r="H309" t="inlineStr">
        <is>
          <t>Protocolo</t>
        </is>
      </c>
      <c r="I309">
        <v>1</v>
      </c>
      <c r="J309" t="inlineStr">
        <is>
          <t>Obras Complementares</t>
        </is>
      </c>
      <c r="K309" t="inlineStr">
        <is>
          <t>2.13</t>
        </is>
      </c>
      <c r="L309" t="inlineStr">
        <is>
          <t>Dreno</t>
        </is>
      </c>
      <c r="M309" t="inlineStr">
        <is>
          <t>Dispositivo não executado</t>
        </is>
      </c>
      <c r="N309" t="inlineStr">
        <is>
          <t xml:space="preserve">Não execuatdo terminal de dreno.
Nota: Aberta SIT_2026_6283 para consulta à engenharia sobre o ponto de deságue no dispositivo.</t>
        </is>
      </c>
      <c r="O309" t="inlineStr">
        <is>
          <t>Tipo A</t>
        </is>
      </c>
      <c r="P309" t="inlineStr">
        <is>
          <t>72+420</t>
        </is>
      </c>
      <c r="Q309" t="inlineStr">
        <is>
          <t>72+420</t>
        </is>
      </c>
      <c r="R309" t="inlineStr">
        <is>
          <t>Aberta</t>
        </is>
      </c>
      <c r="T309" t="inlineStr">
        <is>
          <t>Fernanda Soave</t>
        </is>
      </c>
      <c r="U309" t="inlineStr">
        <is>
          <t>09/02/2026</t>
        </is>
      </c>
      <c r="V309" t="inlineStr">
        <is>
          <t>16/02/2026</t>
        </is>
      </c>
      <c r="W309">
        <v>114</v>
      </c>
      <c r="X309" t="inlineStr">
        <is>
          <t>01/05/2026</t>
        </is>
      </c>
      <c r="AA309" t="inlineStr">
        <is>
          <t>Aberta +120 dias</t>
        </is>
      </c>
    </row>
    <row r="310">
      <c r="A310">
        <v>308</v>
      </c>
      <c r="B310">
        <v>3</v>
      </c>
      <c r="C310" t="inlineStr">
        <is>
          <t>1.7</t>
        </is>
      </c>
      <c r="D310" t="inlineStr">
        <is>
          <t>C02</t>
        </is>
      </c>
      <c r="E310" t="inlineStr">
        <is>
          <t>LE</t>
        </is>
      </c>
      <c r="F310" t="inlineStr">
        <is>
          <t>APIA</t>
        </is>
      </c>
      <c r="G310" t="inlineStr">
        <is>
          <t>CLP-010</t>
        </is>
      </c>
      <c r="H310" t="inlineStr">
        <is>
          <t>Protocolo</t>
        </is>
      </c>
      <c r="I310">
        <v>1</v>
      </c>
      <c r="J310" t="inlineStr">
        <is>
          <t>Obras Complementares</t>
        </is>
      </c>
      <c r="K310" t="inlineStr">
        <is>
          <t>2.13</t>
        </is>
      </c>
      <c r="L310" t="inlineStr">
        <is>
          <t>Dreno</t>
        </is>
      </c>
      <c r="M310" t="inlineStr">
        <is>
          <t>Dispositivo não executado</t>
        </is>
      </c>
      <c r="N310" t="inlineStr">
        <is>
          <t xml:space="preserve">Não execuatdo terminal de dreno.
Nota: Aberta SIT_2026_6283 para consulta à engenharia sobre o ponto de deságue no dispositivo.</t>
        </is>
      </c>
      <c r="O310" t="inlineStr">
        <is>
          <t>Tipo A</t>
        </is>
      </c>
      <c r="P310" t="inlineStr">
        <is>
          <t>72+760</t>
        </is>
      </c>
      <c r="Q310" t="inlineStr">
        <is>
          <t>72+760</t>
        </is>
      </c>
      <c r="R310" t="inlineStr">
        <is>
          <t>Aberta</t>
        </is>
      </c>
      <c r="T310" t="inlineStr">
        <is>
          <t>Fernanda Soave</t>
        </is>
      </c>
      <c r="U310" t="inlineStr">
        <is>
          <t>09/02/2026</t>
        </is>
      </c>
      <c r="V310" t="inlineStr">
        <is>
          <t>16/02/2026</t>
        </is>
      </c>
      <c r="W310">
        <v>114</v>
      </c>
      <c r="AA310" t="inlineStr">
        <is>
          <t>Aberta +120 dias</t>
        </is>
      </c>
    </row>
    <row r="311">
      <c r="A311">
        <v>309</v>
      </c>
      <c r="B311">
        <v>3</v>
      </c>
      <c r="C311" t="inlineStr">
        <is>
          <t>1.7</t>
        </is>
      </c>
      <c r="D311" t="inlineStr">
        <is>
          <t>A01</t>
        </is>
      </c>
      <c r="E311" t="inlineStr">
        <is>
          <t>LE/LD</t>
        </is>
      </c>
      <c r="F311" t="inlineStr">
        <is>
          <t>APIA</t>
        </is>
      </c>
      <c r="G311" t="inlineStr">
        <is>
          <t>CLP-010</t>
        </is>
      </c>
      <c r="H311" t="inlineStr">
        <is>
          <t>Protocolo</t>
        </is>
      </c>
      <c r="I311">
        <v>4</v>
      </c>
      <c r="J311" t="inlineStr">
        <is>
          <t>Terraplenagem</t>
        </is>
      </c>
      <c r="K311" t="inlineStr">
        <is>
          <t>4.4</t>
        </is>
      </c>
      <c r="L311" t="inlineStr">
        <is>
          <t>Sublastro</t>
        </is>
      </c>
      <c r="M311" t="inlineStr">
        <is>
          <t>Material Solto</t>
        </is>
      </c>
      <c r="N311" t="inlineStr">
        <is>
          <t>Material solto na plataforma próximo as drenagens.</t>
        </is>
      </c>
      <c r="O311" t="inlineStr">
        <is>
          <t>Tipo A</t>
        </is>
      </c>
      <c r="P311" t="inlineStr">
        <is>
          <t xml:space="preserve"> 71+300</t>
        </is>
      </c>
      <c r="Q311" t="inlineStr">
        <is>
          <t>71+980</t>
        </is>
      </c>
      <c r="R311" t="inlineStr">
        <is>
          <t>Aberta</t>
        </is>
      </c>
      <c r="T311" t="inlineStr">
        <is>
          <t>Fernanda Soave</t>
        </is>
      </c>
      <c r="U311" t="inlineStr">
        <is>
          <t>09/02/2026</t>
        </is>
      </c>
      <c r="V311" t="inlineStr">
        <is>
          <t>16/02/2026</t>
        </is>
      </c>
      <c r="W311">
        <v>114</v>
      </c>
      <c r="AA311" t="inlineStr">
        <is>
          <t>Aberta +120 dias</t>
        </is>
      </c>
    </row>
    <row r="312">
      <c r="A312">
        <v>310</v>
      </c>
      <c r="B312">
        <v>3</v>
      </c>
      <c r="C312" t="inlineStr">
        <is>
          <t>1.7</t>
        </is>
      </c>
      <c r="D312" t="inlineStr">
        <is>
          <t>C01</t>
        </is>
      </c>
      <c r="E312" t="inlineStr">
        <is>
          <t>LE/LD</t>
        </is>
      </c>
      <c r="F312" t="inlineStr">
        <is>
          <t>APIA</t>
        </is>
      </c>
      <c r="G312" t="inlineStr">
        <is>
          <t>CLP-010</t>
        </is>
      </c>
      <c r="H312" t="inlineStr">
        <is>
          <t>Protocolo</t>
        </is>
      </c>
      <c r="I312">
        <v>4</v>
      </c>
      <c r="J312" t="inlineStr">
        <is>
          <t>Terraplenagem</t>
        </is>
      </c>
      <c r="K312" t="inlineStr">
        <is>
          <t>4.4</t>
        </is>
      </c>
      <c r="L312" t="inlineStr">
        <is>
          <t>Sublastro</t>
        </is>
      </c>
      <c r="M312" t="inlineStr">
        <is>
          <t>Material Solto</t>
        </is>
      </c>
      <c r="N312" t="inlineStr">
        <is>
          <t>Material acumulado na plataforma próximo as drenagens.</t>
        </is>
      </c>
      <c r="O312" t="inlineStr">
        <is>
          <t>Tipo A</t>
        </is>
      </c>
      <c r="P312" t="inlineStr">
        <is>
          <t xml:space="preserve"> 72+000</t>
        </is>
      </c>
      <c r="Q312" t="inlineStr">
        <is>
          <t>72+420</t>
        </is>
      </c>
      <c r="R312" t="inlineStr">
        <is>
          <t>Aberta</t>
        </is>
      </c>
      <c r="T312" t="inlineStr">
        <is>
          <t>Fernanda Soave</t>
        </is>
      </c>
      <c r="U312" t="inlineStr">
        <is>
          <t>09/02/2026</t>
        </is>
      </c>
      <c r="V312" t="inlineStr">
        <is>
          <t>16/02/2026</t>
        </is>
      </c>
      <c r="W312">
        <v>114</v>
      </c>
      <c r="AA312" t="inlineStr">
        <is>
          <t>Aberta +120 dias</t>
        </is>
      </c>
    </row>
    <row r="313">
      <c r="A313">
        <v>311</v>
      </c>
      <c r="B313">
        <v>3</v>
      </c>
      <c r="C313" t="inlineStr">
        <is>
          <t>1.7</t>
        </is>
      </c>
      <c r="D313" t="inlineStr">
        <is>
          <t>C01</t>
        </is>
      </c>
      <c r="E313" t="inlineStr">
        <is>
          <t>LD</t>
        </is>
      </c>
      <c r="F313" t="inlineStr">
        <is>
          <t>APIA</t>
        </is>
      </c>
      <c r="G313" t="inlineStr">
        <is>
          <t>CLP-010</t>
        </is>
      </c>
      <c r="H313" t="inlineStr">
        <is>
          <t>Protocolo</t>
        </is>
      </c>
      <c r="I313">
        <v>4</v>
      </c>
      <c r="J313" t="inlineStr">
        <is>
          <t>Terraplenagem</t>
        </is>
      </c>
      <c r="K313" t="inlineStr">
        <is>
          <t>4.4</t>
        </is>
      </c>
      <c r="L313" t="inlineStr">
        <is>
          <t>Sublastro</t>
        </is>
      </c>
      <c r="M313" t="inlineStr">
        <is>
          <t>Desnível</t>
        </is>
      </c>
      <c r="N313" t="inlineStr">
        <is>
          <t>Plataforma apresenta irregularidade próximo a drenagem.</t>
        </is>
      </c>
      <c r="O313" t="inlineStr">
        <is>
          <t>Tipo A</t>
        </is>
      </c>
      <c r="P313" t="inlineStr">
        <is>
          <t xml:space="preserve"> 72+000</t>
        </is>
      </c>
      <c r="Q313" t="inlineStr">
        <is>
          <t>72+420</t>
        </is>
      </c>
      <c r="R313" t="inlineStr">
        <is>
          <t>Aberta</t>
        </is>
      </c>
      <c r="T313" t="inlineStr">
        <is>
          <t>Fernanda Soave</t>
        </is>
      </c>
      <c r="U313" t="inlineStr">
        <is>
          <t>09/02/2026</t>
        </is>
      </c>
      <c r="V313" t="inlineStr">
        <is>
          <t>16/02/2026</t>
        </is>
      </c>
      <c r="W313">
        <v>114</v>
      </c>
      <c r="AA313" t="inlineStr">
        <is>
          <t>Aberta +120 dias</t>
        </is>
      </c>
    </row>
    <row r="314">
      <c r="A314">
        <v>312</v>
      </c>
      <c r="B314">
        <v>3</v>
      </c>
      <c r="C314" t="inlineStr">
        <is>
          <t>1.7</t>
        </is>
      </c>
      <c r="D314" t="inlineStr">
        <is>
          <t>A02</t>
        </is>
      </c>
      <c r="E314" t="inlineStr">
        <is>
          <t>LE/LD</t>
        </is>
      </c>
      <c r="F314" t="inlineStr">
        <is>
          <t>APIA</t>
        </is>
      </c>
      <c r="G314" t="inlineStr">
        <is>
          <t>CLP-010</t>
        </is>
      </c>
      <c r="H314" t="inlineStr">
        <is>
          <t>Protocolo</t>
        </is>
      </c>
      <c r="I314">
        <v>4</v>
      </c>
      <c r="J314" t="inlineStr">
        <is>
          <t>Terraplenagem</t>
        </is>
      </c>
      <c r="K314" t="inlineStr">
        <is>
          <t>4.4</t>
        </is>
      </c>
      <c r="L314" t="inlineStr">
        <is>
          <t>Sublastro</t>
        </is>
      </c>
      <c r="M314" t="inlineStr">
        <is>
          <t>Material Solto</t>
        </is>
      </c>
      <c r="N314" t="inlineStr">
        <is>
          <t>Material solto na plataforma próximo as drenagens.</t>
        </is>
      </c>
      <c r="O314" t="inlineStr">
        <is>
          <t>Tipo A</t>
        </is>
      </c>
      <c r="P314" t="inlineStr">
        <is>
          <t>72+440</t>
        </is>
      </c>
      <c r="Q314" t="inlineStr">
        <is>
          <t>72+740</t>
        </is>
      </c>
      <c r="R314" t="inlineStr">
        <is>
          <t>Aberta</t>
        </is>
      </c>
      <c r="T314" t="inlineStr">
        <is>
          <t>Fernanda Soave</t>
        </is>
      </c>
      <c r="U314" t="inlineStr">
        <is>
          <t>09/02/2026</t>
        </is>
      </c>
      <c r="V314" t="inlineStr">
        <is>
          <t>16/02/2026</t>
        </is>
      </c>
      <c r="W314">
        <v>114</v>
      </c>
      <c r="X314" t="inlineStr">
        <is>
          <t>01/05/2026</t>
        </is>
      </c>
      <c r="AA314" t="inlineStr">
        <is>
          <t>Aberta +120 dias</t>
        </is>
      </c>
    </row>
    <row r="315">
      <c r="A315">
        <v>313</v>
      </c>
      <c r="B315">
        <v>3</v>
      </c>
      <c r="C315" t="inlineStr">
        <is>
          <t>1.7</t>
        </is>
      </c>
      <c r="D315" t="inlineStr">
        <is>
          <t>A01</t>
        </is>
      </c>
      <c r="E315" t="inlineStr">
        <is>
          <t>LE</t>
        </is>
      </c>
      <c r="F315" t="inlineStr">
        <is>
          <t>APIA</t>
        </is>
      </c>
      <c r="G315" t="inlineStr">
        <is>
          <t>CLP-010</t>
        </is>
      </c>
      <c r="H315" t="inlineStr">
        <is>
          <t>Protocolo</t>
        </is>
      </c>
      <c r="I315">
        <v>4</v>
      </c>
      <c r="J315" t="inlineStr">
        <is>
          <t>Terraplenagem</t>
        </is>
      </c>
      <c r="K315" t="inlineStr">
        <is>
          <t>4.9</t>
        </is>
      </c>
      <c r="L315" t="inlineStr">
        <is>
          <t>ADME</t>
        </is>
      </c>
      <c r="M315" t="inlineStr">
        <is>
          <t>Erosões</t>
        </is>
      </c>
      <c r="N315" t="inlineStr">
        <is>
          <t>Erosão em ADME.</t>
        </is>
      </c>
      <c r="O315" t="inlineStr">
        <is>
          <t>Tipo A</t>
        </is>
      </c>
      <c r="P315" t="inlineStr">
        <is>
          <t>71+960</t>
        </is>
      </c>
      <c r="Q315" t="inlineStr">
        <is>
          <t>72+080</t>
        </is>
      </c>
      <c r="R315" t="inlineStr">
        <is>
          <t>Aberta</t>
        </is>
      </c>
      <c r="T315" t="inlineStr">
        <is>
          <t>Fernanda Soave</t>
        </is>
      </c>
      <c r="U315" t="inlineStr">
        <is>
          <t>09/02/2026</t>
        </is>
      </c>
      <c r="V315" t="inlineStr">
        <is>
          <t>16/02/2026</t>
        </is>
      </c>
      <c r="W315">
        <v>114</v>
      </c>
      <c r="X315" t="inlineStr">
        <is>
          <t>15/05/2026</t>
        </is>
      </c>
      <c r="AA315" t="inlineStr">
        <is>
          <t>Aberta +120 dias</t>
        </is>
      </c>
    </row>
    <row r="316">
      <c r="A316">
        <v>314</v>
      </c>
      <c r="B316">
        <v>3</v>
      </c>
      <c r="C316" t="inlineStr">
        <is>
          <t>1.7</t>
        </is>
      </c>
      <c r="D316" t="inlineStr">
        <is>
          <t>C01</t>
        </is>
      </c>
      <c r="E316" t="inlineStr">
        <is>
          <t>LE</t>
        </is>
      </c>
      <c r="F316" t="inlineStr">
        <is>
          <t>APIA</t>
        </is>
      </c>
      <c r="G316" t="inlineStr">
        <is>
          <t>CLP-010</t>
        </is>
      </c>
      <c r="H316" t="inlineStr">
        <is>
          <t>Implantação</t>
        </is>
      </c>
      <c r="I316">
        <v>4</v>
      </c>
      <c r="J316" t="inlineStr">
        <is>
          <t>Terraplenagem</t>
        </is>
      </c>
      <c r="K316" t="inlineStr">
        <is>
          <t>4.9</t>
        </is>
      </c>
      <c r="L316" t="inlineStr">
        <is>
          <t>ADME</t>
        </is>
      </c>
      <c r="M316" t="inlineStr">
        <is>
          <t>Erosões</t>
        </is>
      </c>
      <c r="N316" t="inlineStr">
        <is>
          <t>Erosão em ADME.</t>
        </is>
      </c>
      <c r="O316" t="inlineStr">
        <is>
          <t>Tipo A</t>
        </is>
      </c>
      <c r="P316" t="inlineStr">
        <is>
          <t xml:space="preserve"> 72+000 </t>
        </is>
      </c>
      <c r="Q316" t="inlineStr">
        <is>
          <t>72+420</t>
        </is>
      </c>
      <c r="R316" t="inlineStr">
        <is>
          <t>Aberta</t>
        </is>
      </c>
      <c r="T316" t="inlineStr">
        <is>
          <t>Fernanda Soave</t>
        </is>
      </c>
      <c r="U316" t="inlineStr">
        <is>
          <t>09/02/2026</t>
        </is>
      </c>
      <c r="V316" t="inlineStr">
        <is>
          <t>16/02/2026</t>
        </is>
      </c>
      <c r="W316">
        <v>114</v>
      </c>
      <c r="AA316" t="inlineStr">
        <is>
          <t>Aberta +120 dias</t>
        </is>
      </c>
    </row>
    <row r="317">
      <c r="A317">
        <v>315</v>
      </c>
      <c r="B317">
        <v>3</v>
      </c>
      <c r="C317" t="inlineStr">
        <is>
          <t>1.7</t>
        </is>
      </c>
      <c r="D317" t="inlineStr">
        <is>
          <t>Geral</t>
        </is>
      </c>
      <c r="F317" t="inlineStr">
        <is>
          <t>APIA</t>
        </is>
      </c>
      <c r="G317" t="inlineStr">
        <is>
          <t>CLP-010</t>
        </is>
      </c>
      <c r="H317" t="inlineStr">
        <is>
          <t>Protocolo</t>
        </is>
      </c>
      <c r="I317">
        <v>4</v>
      </c>
      <c r="J317" t="inlineStr">
        <is>
          <t>Terraplenagem</t>
        </is>
      </c>
      <c r="K317" t="inlineStr">
        <is>
          <t>4.12/4.13</t>
        </is>
      </c>
      <c r="L317" t="inlineStr">
        <is>
          <t>Ensaios</t>
        </is>
      </c>
      <c r="M317" t="inlineStr">
        <is>
          <t>Documental</t>
        </is>
      </c>
      <c r="N317" t="inlineStr">
        <is>
          <t xml:space="preserve">1- Erros de digitação na planilha de rastreabilidade/estatístico.
2 - Já para os itens 1.1, 1.5, 1.6, 1.7, 1.11 e 1.16, são referentes a desvios da Especificação de serviço 80-ES-028A-20-8003 item 8.1.1(a), para esses desvios a contratada deve elaborar um Parecer Técnico, evidenciado com dados reais estratificados dos controles, pautando assim que tal desvio em uma análise sistêmica das informações não impactam na qualidade do produto e na segurança do(s) ativo(s).</t>
        </is>
      </c>
      <c r="O317" t="inlineStr">
        <is>
          <t>Tipo B</t>
        </is>
      </c>
      <c r="P317" t="inlineStr">
        <is>
          <t xml:space="preserve"> 72+000 </t>
        </is>
      </c>
      <c r="Q317" t="inlineStr">
        <is>
          <t>72+420</t>
        </is>
      </c>
      <c r="R317" t="inlineStr">
        <is>
          <t>Aberta</t>
        </is>
      </c>
      <c r="T317" t="inlineStr">
        <is>
          <t>Fernanda Soave</t>
        </is>
      </c>
      <c r="U317" t="inlineStr">
        <is>
          <t>09/02/2026</t>
        </is>
      </c>
      <c r="V317" t="inlineStr">
        <is>
          <t>24/02/2026</t>
        </is>
      </c>
      <c r="W317">
        <v>106</v>
      </c>
      <c r="X317" t="inlineStr">
        <is>
          <t>30/05/2026</t>
        </is>
      </c>
      <c r="AA317" t="inlineStr">
        <is>
          <t>Aberta +120 dias</t>
        </is>
      </c>
    </row>
    <row r="318">
      <c r="A318">
        <v>316</v>
      </c>
      <c r="B318">
        <v>3</v>
      </c>
      <c r="C318" t="inlineStr">
        <is>
          <t>1.7</t>
        </is>
      </c>
      <c r="D318" t="inlineStr">
        <is>
          <t>A01</t>
        </is>
      </c>
      <c r="E318" t="inlineStr">
        <is>
          <t>LE</t>
        </is>
      </c>
      <c r="F318" t="inlineStr">
        <is>
          <t>APIA</t>
        </is>
      </c>
      <c r="G318" t="inlineStr">
        <is>
          <t>CLP-010</t>
        </is>
      </c>
      <c r="H318" t="inlineStr">
        <is>
          <t>Implantação</t>
        </is>
      </c>
      <c r="I318">
        <v>4</v>
      </c>
      <c r="J318" t="inlineStr">
        <is>
          <t>Terraplenagem</t>
        </is>
      </c>
      <c r="K318" t="inlineStr">
        <is>
          <t>4.24</t>
        </is>
      </c>
      <c r="L318" t="inlineStr">
        <is>
          <t>(PG)Passagem de Gado</t>
        </is>
      </c>
      <c r="M318" t="inlineStr">
        <is>
          <t>Erosões</t>
        </is>
      </c>
      <c r="N318" t="inlineStr">
        <is>
          <t>Presença de erosão na rampa de acesso até a PG.</t>
        </is>
      </c>
      <c r="O318" t="inlineStr">
        <is>
          <t>Tipo A</t>
        </is>
      </c>
      <c r="P318" t="inlineStr">
        <is>
          <t>71+801</t>
        </is>
      </c>
      <c r="Q318" t="inlineStr">
        <is>
          <t>71+801</t>
        </is>
      </c>
      <c r="R318" t="inlineStr">
        <is>
          <t>Aberta</t>
        </is>
      </c>
      <c r="T318" t="inlineStr">
        <is>
          <t>Fernanda Soave</t>
        </is>
      </c>
      <c r="U318" t="inlineStr">
        <is>
          <t>09/02/2026</t>
        </is>
      </c>
      <c r="V318" t="inlineStr">
        <is>
          <t>16/02/2026</t>
        </is>
      </c>
      <c r="W318">
        <v>114</v>
      </c>
      <c r="X318" t="inlineStr">
        <is>
          <t>01/05/2026</t>
        </is>
      </c>
      <c r="AA318" t="inlineStr">
        <is>
          <t>Aberta +120 dias</t>
        </is>
      </c>
    </row>
    <row r="319">
      <c r="A319">
        <v>317</v>
      </c>
      <c r="B319">
        <v>3</v>
      </c>
      <c r="C319" t="inlineStr">
        <is>
          <t>1.7</t>
        </is>
      </c>
      <c r="D319" t="inlineStr">
        <is>
          <t>A01</t>
        </is>
      </c>
      <c r="E319" t="inlineStr">
        <is>
          <t>LE</t>
        </is>
      </c>
      <c r="F319" t="inlineStr">
        <is>
          <t>APIA</t>
        </is>
      </c>
      <c r="G319" t="inlineStr">
        <is>
          <t>CLP-010</t>
        </is>
      </c>
      <c r="H319" t="inlineStr">
        <is>
          <t>Protocolo</t>
        </is>
      </c>
      <c r="I319">
        <v>4</v>
      </c>
      <c r="J319" t="inlineStr">
        <is>
          <t>Terraplenagem</t>
        </is>
      </c>
      <c r="K319" t="inlineStr">
        <is>
          <t>4.24</t>
        </is>
      </c>
      <c r="L319" t="inlineStr">
        <is>
          <t>Acesso</t>
        </is>
      </c>
      <c r="M319" t="inlineStr">
        <is>
          <t>Revegetação/ Hidrossemeadura</t>
        </is>
      </c>
      <c r="N319" t="inlineStr">
        <is>
          <t>Ausência de vegetação entre plataforma e acesso.</t>
        </is>
      </c>
      <c r="O319" t="inlineStr">
        <is>
          <t>Tipo A</t>
        </is>
      </c>
      <c r="P319" t="inlineStr">
        <is>
          <t>71+300</t>
        </is>
      </c>
      <c r="Q319" t="inlineStr">
        <is>
          <t>72+000</t>
        </is>
      </c>
      <c r="R319" t="inlineStr">
        <is>
          <t>Aberta</t>
        </is>
      </c>
      <c r="T319" t="inlineStr">
        <is>
          <t>Fernanda Soave</t>
        </is>
      </c>
      <c r="U319" t="inlineStr">
        <is>
          <t>09/02/2026</t>
        </is>
      </c>
      <c r="V319" t="inlineStr">
        <is>
          <t>16/02/2026</t>
        </is>
      </c>
      <c r="W319">
        <v>114</v>
      </c>
      <c r="AA319" t="inlineStr">
        <is>
          <t>Aberta +120 dias</t>
        </is>
      </c>
    </row>
    <row r="320">
      <c r="A320">
        <v>318</v>
      </c>
      <c r="B320">
        <v>3</v>
      </c>
      <c r="C320" t="inlineStr">
        <is>
          <t>1.7</t>
        </is>
      </c>
      <c r="D320" t="inlineStr">
        <is>
          <t>C02</t>
        </is>
      </c>
      <c r="E320" t="inlineStr">
        <is>
          <t>LE</t>
        </is>
      </c>
      <c r="F320" t="inlineStr">
        <is>
          <t>APIA</t>
        </is>
      </c>
      <c r="G320" t="inlineStr">
        <is>
          <t>CLP-010</t>
        </is>
      </c>
      <c r="H320" t="inlineStr">
        <is>
          <t>Protocolo</t>
        </is>
      </c>
      <c r="I320">
        <v>4</v>
      </c>
      <c r="J320" t="inlineStr">
        <is>
          <t>Terraplenagem</t>
        </is>
      </c>
      <c r="K320" t="inlineStr">
        <is>
          <t>4.25</t>
        </is>
      </c>
      <c r="L320" t="inlineStr">
        <is>
          <t>Sublastro</t>
        </is>
      </c>
      <c r="M320" t="inlineStr">
        <is>
          <t>Limpeza/ remoção de material</t>
        </is>
      </c>
      <c r="N320" t="inlineStr">
        <is>
          <t>Limpeza.</t>
        </is>
      </c>
      <c r="O320" t="inlineStr">
        <is>
          <t>Tipo C</t>
        </is>
      </c>
      <c r="P320" t="inlineStr">
        <is>
          <t>72+720</t>
        </is>
      </c>
      <c r="Q320" t="inlineStr">
        <is>
          <t>72+720</t>
        </is>
      </c>
      <c r="R320" t="inlineStr">
        <is>
          <t>Aberta</t>
        </is>
      </c>
      <c r="T320" t="inlineStr">
        <is>
          <t>Fernanda Soave</t>
        </is>
      </c>
      <c r="U320" t="inlineStr">
        <is>
          <t>09/02/2026</t>
        </is>
      </c>
      <c r="V320" t="inlineStr">
        <is>
          <t>11/03/2026</t>
        </is>
      </c>
      <c r="W320">
        <v>91</v>
      </c>
      <c r="AA320" t="inlineStr">
        <is>
          <t>Aberta +120 dias</t>
        </is>
      </c>
    </row>
    <row r="321">
      <c r="A321">
        <v>319</v>
      </c>
      <c r="B321">
        <v>3</v>
      </c>
      <c r="C321" t="inlineStr">
        <is>
          <t>1.7</t>
        </is>
      </c>
      <c r="D321" t="inlineStr">
        <is>
          <t>Geral</t>
        </is>
      </c>
      <c r="F321" t="inlineStr">
        <is>
          <t>APIA</t>
        </is>
      </c>
      <c r="G321" t="inlineStr">
        <is>
          <t>CLP-010</t>
        </is>
      </c>
      <c r="H321" t="inlineStr">
        <is>
          <t>Protocolo</t>
        </is>
      </c>
      <c r="I321">
        <v>4</v>
      </c>
      <c r="J321" t="inlineStr">
        <is>
          <t>Terraplenagem</t>
        </is>
      </c>
      <c r="K321" t="inlineStr">
        <is>
          <t>4.26</t>
        </is>
      </c>
      <c r="L321" t="inlineStr">
        <is>
          <t>As Built</t>
        </is>
      </c>
      <c r="M321" t="inlineStr">
        <is>
          <t>Documental</t>
        </is>
      </c>
      <c r="N321" t="inlineStr">
        <is>
          <t>As Built - pendente de envio e validação da engenharia.</t>
        </is>
      </c>
      <c r="O321" t="inlineStr">
        <is>
          <t>Tipo B</t>
        </is>
      </c>
      <c r="P321" t="inlineStr">
        <is>
          <t xml:space="preserve">71+300 </t>
        </is>
      </c>
      <c r="Q321" t="inlineStr">
        <is>
          <t>73+780</t>
        </is>
      </c>
      <c r="R321" t="inlineStr">
        <is>
          <t>Aberta</t>
        </is>
      </c>
      <c r="T321" t="inlineStr">
        <is>
          <t>Fernanda Soave</t>
        </is>
      </c>
      <c r="U321" t="inlineStr">
        <is>
          <t>09/02/2026</t>
        </is>
      </c>
      <c r="V321" t="inlineStr">
        <is>
          <t>24/02/2026</t>
        </is>
      </c>
      <c r="W321">
        <v>106</v>
      </c>
      <c r="X321" t="inlineStr">
        <is>
          <t>01/05/2026</t>
        </is>
      </c>
      <c r="AA321" t="inlineStr">
        <is>
          <t>Aberta +120 dias</t>
        </is>
      </c>
    </row>
    <row r="322">
      <c r="A322">
        <v>320</v>
      </c>
      <c r="B322">
        <v>3</v>
      </c>
      <c r="C322" t="inlineStr">
        <is>
          <t>1.7</t>
        </is>
      </c>
      <c r="D322" t="inlineStr">
        <is>
          <t>Geral</t>
        </is>
      </c>
      <c r="F322" t="inlineStr">
        <is>
          <t>APIA</t>
        </is>
      </c>
      <c r="G322" t="inlineStr">
        <is>
          <t>CLP-010</t>
        </is>
      </c>
      <c r="H322" t="inlineStr">
        <is>
          <t>Protocolo</t>
        </is>
      </c>
      <c r="I322">
        <v>4</v>
      </c>
      <c r="J322" t="inlineStr">
        <is>
          <t>Terraplenagem</t>
        </is>
      </c>
      <c r="K322" t="inlineStr">
        <is>
          <t>4.36</t>
        </is>
      </c>
      <c r="L322" t="inlineStr">
        <is>
          <t>Sublastro</t>
        </is>
      </c>
      <c r="M322" t="inlineStr">
        <is>
          <t>Plano cotado não aprovado</t>
        </is>
      </c>
      <c r="N322" t="inlineStr">
        <is>
          <t>Pendente revisão do plano seguimento 1.7 , conforme SITI_2026_6102</t>
        </is>
      </c>
      <c r="O322" t="inlineStr">
        <is>
          <t>Tipo B</t>
        </is>
      </c>
      <c r="P322" t="inlineStr">
        <is>
          <t xml:space="preserve">71+300 </t>
        </is>
      </c>
      <c r="Q322" t="inlineStr">
        <is>
          <t>73+780</t>
        </is>
      </c>
      <c r="R322" t="inlineStr">
        <is>
          <t>Aberta</t>
        </is>
      </c>
      <c r="T322" t="inlineStr">
        <is>
          <t>Fernanda Soave</t>
        </is>
      </c>
      <c r="U322" t="inlineStr">
        <is>
          <t>09/02/2026</t>
        </is>
      </c>
      <c r="V322" t="inlineStr">
        <is>
          <t>24/02/2026</t>
        </is>
      </c>
      <c r="W322">
        <v>106</v>
      </c>
      <c r="AA322" t="inlineStr">
        <is>
          <t>Aberta +120 dias</t>
        </is>
      </c>
    </row>
    <row r="323">
      <c r="A323">
        <v>321</v>
      </c>
      <c r="B323">
        <v>3</v>
      </c>
      <c r="C323" t="inlineStr">
        <is>
          <t>1.7</t>
        </is>
      </c>
      <c r="D323" t="inlineStr">
        <is>
          <t>C01</t>
        </is>
      </c>
      <c r="E323" t="inlineStr">
        <is>
          <t>LE/LD</t>
        </is>
      </c>
      <c r="F323" t="inlineStr">
        <is>
          <t>APIA</t>
        </is>
      </c>
      <c r="G323" t="inlineStr">
        <is>
          <t>CLP-010</t>
        </is>
      </c>
      <c r="H323" t="inlineStr">
        <is>
          <t>Protocolo</t>
        </is>
      </c>
      <c r="I323">
        <v>6</v>
      </c>
      <c r="J323" t="inlineStr">
        <is>
          <t>Drenagem Superficial</t>
        </is>
      </c>
      <c r="K323" t="inlineStr">
        <is>
          <t>6.1</t>
        </is>
      </c>
      <c r="L323" t="inlineStr">
        <is>
          <t>Drenagem</t>
        </is>
      </c>
      <c r="M323" t="inlineStr">
        <is>
          <t>Acúmulo de água</t>
        </is>
      </c>
      <c r="N323" t="inlineStr">
        <is>
          <t>Acúmulo de água em vários pontos ao longo do corte 1.</t>
        </is>
      </c>
      <c r="O323" t="inlineStr">
        <is>
          <t>Tipo A</t>
        </is>
      </c>
      <c r="P323" t="inlineStr">
        <is>
          <t>72+000</t>
        </is>
      </c>
      <c r="Q323" t="inlineStr">
        <is>
          <t>72+420</t>
        </is>
      </c>
      <c r="R323" t="inlineStr">
        <is>
          <t>Aberta</t>
        </is>
      </c>
      <c r="T323" t="inlineStr">
        <is>
          <t>Fernanda Soave</t>
        </is>
      </c>
      <c r="U323" t="inlineStr">
        <is>
          <t>09/02/2026</t>
        </is>
      </c>
      <c r="V323" t="inlineStr">
        <is>
          <t>16/02/2026</t>
        </is>
      </c>
      <c r="W323">
        <v>114</v>
      </c>
      <c r="X323" t="inlineStr">
        <is>
          <t>01/05/2026</t>
        </is>
      </c>
      <c r="AA323" t="inlineStr">
        <is>
          <t>Aberta +120 dias</t>
        </is>
      </c>
    </row>
    <row r="324">
      <c r="A324">
        <v>322</v>
      </c>
      <c r="B324">
        <v>3</v>
      </c>
      <c r="C324" t="inlineStr">
        <is>
          <t>1.7</t>
        </is>
      </c>
      <c r="D324" t="inlineStr">
        <is>
          <t>A02</t>
        </is>
      </c>
      <c r="E324" t="inlineStr">
        <is>
          <t>LE/LD</t>
        </is>
      </c>
      <c r="F324" t="inlineStr">
        <is>
          <t>APIA</t>
        </is>
      </c>
      <c r="G324" t="inlineStr">
        <is>
          <t>CLP-010</t>
        </is>
      </c>
      <c r="H324" t="inlineStr">
        <is>
          <t>Protocolo</t>
        </is>
      </c>
      <c r="I324">
        <v>6</v>
      </c>
      <c r="J324" t="inlineStr">
        <is>
          <t>Drenagem Superficial</t>
        </is>
      </c>
      <c r="K324" t="inlineStr">
        <is>
          <t>6.1</t>
        </is>
      </c>
      <c r="L324" t="inlineStr">
        <is>
          <t>Drenagem</t>
        </is>
      </c>
      <c r="M324" t="inlineStr">
        <is>
          <t>Acúmulo de água</t>
        </is>
      </c>
      <c r="N324" t="inlineStr">
        <is>
          <t>Acúmulo de água em vários pontos ao longo do ATERRO 02</t>
        </is>
      </c>
      <c r="O324" t="inlineStr">
        <is>
          <t>Tipo A</t>
        </is>
      </c>
      <c r="P324" t="inlineStr">
        <is>
          <t>72+000</t>
        </is>
      </c>
      <c r="Q324" t="inlineStr">
        <is>
          <t>72+420</t>
        </is>
      </c>
      <c r="R324" t="inlineStr">
        <is>
          <t>Aberta</t>
        </is>
      </c>
      <c r="T324" t="inlineStr">
        <is>
          <t>Fernanda Soave</t>
        </is>
      </c>
      <c r="U324" t="inlineStr">
        <is>
          <t>09/02/2026</t>
        </is>
      </c>
      <c r="V324" t="inlineStr">
        <is>
          <t>16/02/2026</t>
        </is>
      </c>
      <c r="W324">
        <v>114</v>
      </c>
      <c r="X324" t="inlineStr">
        <is>
          <t>01/05/2026</t>
        </is>
      </c>
      <c r="AA324" t="inlineStr">
        <is>
          <t>Aberta +120 dias</t>
        </is>
      </c>
    </row>
    <row r="325">
      <c r="A325">
        <v>323</v>
      </c>
      <c r="B325">
        <v>3</v>
      </c>
      <c r="C325" t="inlineStr">
        <is>
          <t>1.7</t>
        </is>
      </c>
      <c r="D325" t="inlineStr">
        <is>
          <t>A01</t>
        </is>
      </c>
      <c r="E325" t="inlineStr">
        <is>
          <t>LE</t>
        </is>
      </c>
      <c r="F325" t="inlineStr">
        <is>
          <t>APIA</t>
        </is>
      </c>
      <c r="G325" t="inlineStr">
        <is>
          <t>CLP-010</t>
        </is>
      </c>
      <c r="H325" t="inlineStr">
        <is>
          <t>Protocolo</t>
        </is>
      </c>
      <c r="I325">
        <v>6</v>
      </c>
      <c r="J325" t="inlineStr">
        <is>
          <t>Drenagem Superficial</t>
        </is>
      </c>
      <c r="K325" t="inlineStr">
        <is>
          <t>6.1</t>
        </is>
      </c>
      <c r="L325" t="inlineStr">
        <is>
          <t>Drenagem</t>
        </is>
      </c>
      <c r="M325" t="inlineStr">
        <is>
          <t>Drenagem danificadas</t>
        </is>
      </c>
      <c r="N325" t="inlineStr">
        <is>
          <t>Drenagem danificada.</t>
        </is>
      </c>
      <c r="O325" t="inlineStr">
        <is>
          <t>Tipo A</t>
        </is>
      </c>
      <c r="P325" t="inlineStr">
        <is>
          <t>71+900</t>
        </is>
      </c>
      <c r="Q325" t="inlineStr">
        <is>
          <t>71+900</t>
        </is>
      </c>
      <c r="R325" t="inlineStr">
        <is>
          <t>Aberta</t>
        </is>
      </c>
      <c r="T325" t="inlineStr">
        <is>
          <t>Fernanda Soave</t>
        </is>
      </c>
      <c r="U325" t="inlineStr">
        <is>
          <t>09/02/2026</t>
        </is>
      </c>
      <c r="V325" t="inlineStr">
        <is>
          <t>16/02/2026</t>
        </is>
      </c>
      <c r="W325">
        <v>114</v>
      </c>
      <c r="AA325" t="inlineStr">
        <is>
          <t>Aberta +120 dias</t>
        </is>
      </c>
    </row>
    <row r="326">
      <c r="A326">
        <v>324</v>
      </c>
      <c r="B326">
        <v>3</v>
      </c>
      <c r="C326" t="inlineStr">
        <is>
          <t>1.7</t>
        </is>
      </c>
      <c r="D326" t="inlineStr">
        <is>
          <t>A01</t>
        </is>
      </c>
      <c r="E326" t="inlineStr">
        <is>
          <t>LE</t>
        </is>
      </c>
      <c r="F326" t="inlineStr">
        <is>
          <t>APIA</t>
        </is>
      </c>
      <c r="G326" t="inlineStr">
        <is>
          <t>CLP-010</t>
        </is>
      </c>
      <c r="H326" t="inlineStr">
        <is>
          <t>Protocolo</t>
        </is>
      </c>
      <c r="I326">
        <v>6</v>
      </c>
      <c r="J326" t="inlineStr">
        <is>
          <t>Drenagem Superficial</t>
        </is>
      </c>
      <c r="K326" t="inlineStr">
        <is>
          <t>6.1</t>
        </is>
      </c>
      <c r="L326" t="inlineStr">
        <is>
          <t>Drenagem</t>
        </is>
      </c>
      <c r="M326" t="inlineStr">
        <is>
          <t>Drenagem danificadas</t>
        </is>
      </c>
      <c r="N326" t="inlineStr">
        <is>
          <t>Verificado que a drenagem superficial foi danificada por completo e há presença de descarte de material incorreto.</t>
        </is>
      </c>
      <c r="O326" t="inlineStr">
        <is>
          <t>Tipo A</t>
        </is>
      </c>
      <c r="P326" t="inlineStr">
        <is>
          <t>71+900</t>
        </is>
      </c>
      <c r="Q326" t="inlineStr">
        <is>
          <t>71+900</t>
        </is>
      </c>
      <c r="R326" t="inlineStr">
        <is>
          <t>Aberta</t>
        </is>
      </c>
      <c r="T326" t="inlineStr">
        <is>
          <t>Fernanda Soave</t>
        </is>
      </c>
      <c r="U326" t="inlineStr">
        <is>
          <t>09/02/2026</t>
        </is>
      </c>
      <c r="V326" t="inlineStr">
        <is>
          <t>16/02/2026</t>
        </is>
      </c>
      <c r="W326">
        <v>114</v>
      </c>
      <c r="X326" t="inlineStr">
        <is>
          <t>01/05/2026</t>
        </is>
      </c>
      <c r="AA326" t="inlineStr">
        <is>
          <t>Aberta +120 dias</t>
        </is>
      </c>
    </row>
    <row r="327">
      <c r="A327">
        <v>325</v>
      </c>
      <c r="B327">
        <v>3</v>
      </c>
      <c r="C327" t="inlineStr">
        <is>
          <t>1.7</t>
        </is>
      </c>
      <c r="D327" t="inlineStr">
        <is>
          <t>C01</t>
        </is>
      </c>
      <c r="E327" t="inlineStr">
        <is>
          <t>LE</t>
        </is>
      </c>
      <c r="F327" t="inlineStr">
        <is>
          <t>APIA</t>
        </is>
      </c>
      <c r="G327" t="inlineStr">
        <is>
          <t>CLP-010</t>
        </is>
      </c>
      <c r="H327" t="inlineStr">
        <is>
          <t>Fiscalização</t>
        </is>
      </c>
      <c r="I327">
        <v>6</v>
      </c>
      <c r="J327" t="inlineStr">
        <is>
          <t>Drenagem Superficial</t>
        </is>
      </c>
      <c r="K327" t="inlineStr">
        <is>
          <t>6.1</t>
        </is>
      </c>
      <c r="L327" t="inlineStr">
        <is>
          <t>Drenagem</t>
        </is>
      </c>
      <c r="M327" t="inlineStr">
        <is>
          <t>Erosões</t>
        </is>
      </c>
      <c r="N327" t="inlineStr">
        <is>
          <t>Erosão lateral de drenagem.</t>
        </is>
      </c>
      <c r="O327" t="inlineStr">
        <is>
          <t>Tipo A</t>
        </is>
      </c>
      <c r="P327" t="inlineStr">
        <is>
          <t>72+600</t>
        </is>
      </c>
      <c r="Q327" t="inlineStr">
        <is>
          <t>72+600</t>
        </is>
      </c>
      <c r="R327" t="inlineStr">
        <is>
          <t>Aberta</t>
        </is>
      </c>
      <c r="T327" t="inlineStr">
        <is>
          <t>Fernanda Soave</t>
        </is>
      </c>
      <c r="U327" t="inlineStr">
        <is>
          <t>09/02/2026</t>
        </is>
      </c>
      <c r="V327" t="inlineStr">
        <is>
          <t>16/02/2026</t>
        </is>
      </c>
      <c r="W327">
        <v>114</v>
      </c>
      <c r="X327" t="inlineStr">
        <is>
          <t>01/05/2026</t>
        </is>
      </c>
      <c r="AA327" t="inlineStr">
        <is>
          <t>Aberta +120 dias</t>
        </is>
      </c>
    </row>
    <row r="328">
      <c r="A328">
        <v>326</v>
      </c>
      <c r="B328">
        <v>3</v>
      </c>
      <c r="C328" t="inlineStr">
        <is>
          <t>1.7</t>
        </is>
      </c>
      <c r="D328" t="inlineStr">
        <is>
          <t>C02</t>
        </is>
      </c>
      <c r="E328" t="inlineStr">
        <is>
          <t>LE</t>
        </is>
      </c>
      <c r="F328" t="inlineStr">
        <is>
          <t>APIA</t>
        </is>
      </c>
      <c r="G328" t="inlineStr">
        <is>
          <t>CLP-010</t>
        </is>
      </c>
      <c r="H328" t="inlineStr">
        <is>
          <t>Implantação</t>
        </is>
      </c>
      <c r="I328">
        <v>6</v>
      </c>
      <c r="J328" t="inlineStr">
        <is>
          <t>Drenagem Superficial</t>
        </is>
      </c>
      <c r="K328" t="inlineStr">
        <is>
          <t>6.6</t>
        </is>
      </c>
      <c r="L328" t="inlineStr">
        <is>
          <t>Drenagem</t>
        </is>
      </c>
      <c r="M328" t="inlineStr">
        <is>
          <t>Erosões</t>
        </is>
      </c>
      <c r="N328" t="inlineStr">
        <is>
          <t>Erosão próximo a canaleta</t>
        </is>
      </c>
      <c r="O328" t="inlineStr">
        <is>
          <t>Tipo A</t>
        </is>
      </c>
      <c r="P328" t="inlineStr">
        <is>
          <t>72+700</t>
        </is>
      </c>
      <c r="Q328" t="inlineStr">
        <is>
          <t>72+700</t>
        </is>
      </c>
      <c r="R328" t="inlineStr">
        <is>
          <t>Aberta</t>
        </is>
      </c>
      <c r="T328" t="inlineStr">
        <is>
          <t>Fernanda Soave</t>
        </is>
      </c>
      <c r="U328" t="inlineStr">
        <is>
          <t>09/02/2026</t>
        </is>
      </c>
      <c r="V328" t="inlineStr">
        <is>
          <t>16/02/2026</t>
        </is>
      </c>
      <c r="W328">
        <v>114</v>
      </c>
      <c r="X328" t="inlineStr">
        <is>
          <t>01/05/2026</t>
        </is>
      </c>
      <c r="AA328" t="inlineStr">
        <is>
          <t>Aberta +120 dias</t>
        </is>
      </c>
    </row>
    <row r="329">
      <c r="A329">
        <v>327</v>
      </c>
      <c r="B329">
        <v>3</v>
      </c>
      <c r="C329" t="inlineStr">
        <is>
          <t>1.7</t>
        </is>
      </c>
      <c r="D329" t="inlineStr">
        <is>
          <t>C02</t>
        </is>
      </c>
      <c r="E329" t="inlineStr">
        <is>
          <t>LE</t>
        </is>
      </c>
      <c r="F329" t="inlineStr">
        <is>
          <t>APIA</t>
        </is>
      </c>
      <c r="G329" t="inlineStr">
        <is>
          <t>CLP-010</t>
        </is>
      </c>
      <c r="H329" t="inlineStr">
        <is>
          <t>Implantação</t>
        </is>
      </c>
      <c r="I329">
        <v>6</v>
      </c>
      <c r="J329" t="inlineStr">
        <is>
          <t>Drenagem Superficial</t>
        </is>
      </c>
      <c r="K329" t="inlineStr">
        <is>
          <t>6.6</t>
        </is>
      </c>
      <c r="L329" t="inlineStr">
        <is>
          <t>Drenagem</t>
        </is>
      </c>
      <c r="M329" t="inlineStr">
        <is>
          <t>Erosões</t>
        </is>
      </c>
      <c r="N329" t="inlineStr">
        <is>
          <t>Erosão próximo abaixo do dispositivo.</t>
        </is>
      </c>
      <c r="O329" t="inlineStr">
        <is>
          <t>Tipo A</t>
        </is>
      </c>
      <c r="P329" t="inlineStr">
        <is>
          <t>72+700</t>
        </is>
      </c>
      <c r="Q329" t="inlineStr">
        <is>
          <t>72+700</t>
        </is>
      </c>
      <c r="R329" t="inlineStr">
        <is>
          <t>Aberta</t>
        </is>
      </c>
      <c r="T329" t="inlineStr">
        <is>
          <t>Fernanda Soave</t>
        </is>
      </c>
      <c r="U329" t="inlineStr">
        <is>
          <t>09/02/2026</t>
        </is>
      </c>
      <c r="V329" t="inlineStr">
        <is>
          <t>16/02/2026</t>
        </is>
      </c>
      <c r="W329">
        <v>114</v>
      </c>
      <c r="AA329" t="inlineStr">
        <is>
          <t>Aberta +120 dias</t>
        </is>
      </c>
    </row>
    <row r="330">
      <c r="A330">
        <v>328</v>
      </c>
      <c r="B330">
        <v>3</v>
      </c>
      <c r="C330" t="inlineStr">
        <is>
          <t>1.7</t>
        </is>
      </c>
      <c r="D330" t="inlineStr">
        <is>
          <t>C02</t>
        </is>
      </c>
      <c r="E330" t="inlineStr">
        <is>
          <t>LE</t>
        </is>
      </c>
      <c r="F330" t="inlineStr">
        <is>
          <t>APIA</t>
        </is>
      </c>
      <c r="G330" t="inlineStr">
        <is>
          <t>CLP-010</t>
        </is>
      </c>
      <c r="H330" t="inlineStr">
        <is>
          <t>Protocolo</t>
        </is>
      </c>
      <c r="I330">
        <v>6</v>
      </c>
      <c r="J330" t="inlineStr">
        <is>
          <t>Drenagem Superficial</t>
        </is>
      </c>
      <c r="K330" t="inlineStr">
        <is>
          <t>6.7</t>
        </is>
      </c>
      <c r="L330" t="inlineStr">
        <is>
          <t>Drenagem</t>
        </is>
      </c>
      <c r="M330" t="inlineStr">
        <is>
          <t>Erosões</t>
        </is>
      </c>
      <c r="N330" t="inlineStr">
        <is>
          <t xml:space="preserve">Erosão ocasionou colapso da drenagem superficial.
Nota: Aberta SIT_2026_6284 e SIT_2026_6478 para avaliação da engenharia quanto à situação atual.</t>
        </is>
      </c>
      <c r="O330" t="inlineStr">
        <is>
          <t>Tipo A</t>
        </is>
      </c>
      <c r="P330" t="inlineStr">
        <is>
          <t>72+700</t>
        </is>
      </c>
      <c r="Q330" t="inlineStr">
        <is>
          <t>72+700</t>
        </is>
      </c>
      <c r="R330" t="inlineStr">
        <is>
          <t>Aberta</t>
        </is>
      </c>
      <c r="T330" t="inlineStr">
        <is>
          <t>Fernanda Soave</t>
        </is>
      </c>
      <c r="U330" t="inlineStr">
        <is>
          <t>09/02/2026</t>
        </is>
      </c>
      <c r="V330" t="inlineStr">
        <is>
          <t>16/02/2026</t>
        </is>
      </c>
      <c r="W330">
        <v>114</v>
      </c>
      <c r="AA330" t="inlineStr">
        <is>
          <t>Aberta +120 dias</t>
        </is>
      </c>
    </row>
    <row r="331">
      <c r="A331">
        <v>329</v>
      </c>
      <c r="B331">
        <v>3</v>
      </c>
      <c r="C331" t="inlineStr">
        <is>
          <t>1.7</t>
        </is>
      </c>
      <c r="D331" t="inlineStr">
        <is>
          <t>C02</t>
        </is>
      </c>
      <c r="E331" t="inlineStr">
        <is>
          <t>LE</t>
        </is>
      </c>
      <c r="F331" t="inlineStr">
        <is>
          <t>APIA</t>
        </is>
      </c>
      <c r="G331" t="inlineStr">
        <is>
          <t>CLP-010</t>
        </is>
      </c>
      <c r="H331" t="inlineStr">
        <is>
          <t>Fiscalização</t>
        </is>
      </c>
      <c r="I331">
        <v>6</v>
      </c>
      <c r="J331" t="inlineStr">
        <is>
          <t>Drenagem Superficial</t>
        </is>
      </c>
      <c r="K331" t="inlineStr">
        <is>
          <t>6.7</t>
        </is>
      </c>
      <c r="L331" t="inlineStr">
        <is>
          <t>Drenagem</t>
        </is>
      </c>
      <c r="M331" t="inlineStr">
        <is>
          <t>Erosões</t>
        </is>
      </c>
      <c r="N331" t="inlineStr">
        <is>
          <t xml:space="preserve">Erosão após dispositivo.
Nota: Aberta SIT_2026_6284 e SIT_2026_6477 para avaliação da engenharia quanto à situação atual.</t>
        </is>
      </c>
      <c r="O331" t="inlineStr">
        <is>
          <t>Tipo A</t>
        </is>
      </c>
      <c r="P331" t="inlineStr">
        <is>
          <t>72+760</t>
        </is>
      </c>
      <c r="Q331" t="inlineStr">
        <is>
          <t>72+760</t>
        </is>
      </c>
      <c r="R331" t="inlineStr">
        <is>
          <t>Aberta</t>
        </is>
      </c>
      <c r="T331" t="inlineStr">
        <is>
          <t>Fernanda Soave</t>
        </is>
      </c>
      <c r="U331" t="inlineStr">
        <is>
          <t>09/02/2026</t>
        </is>
      </c>
      <c r="V331" t="inlineStr">
        <is>
          <t>16/02/2026</t>
        </is>
      </c>
      <c r="W331">
        <v>114</v>
      </c>
      <c r="AA331" t="inlineStr">
        <is>
          <t>Aberta +120 dias</t>
        </is>
      </c>
    </row>
    <row r="332">
      <c r="A332">
        <v>330</v>
      </c>
      <c r="B332">
        <v>3</v>
      </c>
      <c r="C332" t="inlineStr">
        <is>
          <t>1.7</t>
        </is>
      </c>
      <c r="D332" t="inlineStr">
        <is>
          <t>A01</t>
        </is>
      </c>
      <c r="E332" t="inlineStr">
        <is>
          <t>LE/LD</t>
        </is>
      </c>
      <c r="F332" t="inlineStr">
        <is>
          <t>APIA</t>
        </is>
      </c>
      <c r="G332" t="inlineStr">
        <is>
          <t>CLP-010</t>
        </is>
      </c>
      <c r="H332" t="inlineStr">
        <is>
          <t>Protocolo</t>
        </is>
      </c>
      <c r="I332">
        <v>6</v>
      </c>
      <c r="J332" t="inlineStr">
        <is>
          <t>Drenagem Superficial</t>
        </is>
      </c>
      <c r="K332" t="inlineStr">
        <is>
          <t>6.7</t>
        </is>
      </c>
      <c r="L332" t="inlineStr">
        <is>
          <t>Drenagem</t>
        </is>
      </c>
      <c r="M332" t="inlineStr">
        <is>
          <t>Patologias no Concreto</t>
        </is>
      </c>
      <c r="N332" t="inlineStr">
        <is>
          <t>Fissuras em drengagem superficial ao longo do aterro 01, sem tratamento de juntas.</t>
        </is>
      </c>
      <c r="O332" t="inlineStr">
        <is>
          <t>Tipo A</t>
        </is>
      </c>
      <c r="P332" t="inlineStr">
        <is>
          <t xml:space="preserve"> 71+300</t>
        </is>
      </c>
      <c r="Q332" t="inlineStr">
        <is>
          <t>71+980</t>
        </is>
      </c>
      <c r="R332" t="inlineStr">
        <is>
          <t>Aberta</t>
        </is>
      </c>
      <c r="T332" t="inlineStr">
        <is>
          <t>Fernanda Soave</t>
        </is>
      </c>
      <c r="U332" t="inlineStr">
        <is>
          <t>09/02/2026</t>
        </is>
      </c>
      <c r="V332" t="inlineStr">
        <is>
          <t>16/02/2026</t>
        </is>
      </c>
      <c r="W332">
        <v>114</v>
      </c>
      <c r="X332" t="inlineStr">
        <is>
          <t>01/05/2026</t>
        </is>
      </c>
      <c r="AA332" t="inlineStr">
        <is>
          <t>Aberta +120 dias</t>
        </is>
      </c>
    </row>
    <row r="333">
      <c r="A333">
        <v>331</v>
      </c>
      <c r="B333">
        <v>3</v>
      </c>
      <c r="C333" t="inlineStr">
        <is>
          <t>1.7</t>
        </is>
      </c>
      <c r="D333" t="inlineStr">
        <is>
          <t>C02</t>
        </is>
      </c>
      <c r="E333" t="inlineStr">
        <is>
          <t>LE/LD</t>
        </is>
      </c>
      <c r="F333" t="inlineStr">
        <is>
          <t>APIA</t>
        </is>
      </c>
      <c r="G333" t="inlineStr">
        <is>
          <t>CLP-010</t>
        </is>
      </c>
      <c r="H333" t="inlineStr">
        <is>
          <t>Protocolo</t>
        </is>
      </c>
      <c r="I333">
        <v>6</v>
      </c>
      <c r="J333" t="inlineStr">
        <is>
          <t>Drenagem Superficial</t>
        </is>
      </c>
      <c r="K333" t="inlineStr">
        <is>
          <t>6.7</t>
        </is>
      </c>
      <c r="L333" t="inlineStr">
        <is>
          <t>Drenagem</t>
        </is>
      </c>
      <c r="M333" t="inlineStr">
        <is>
          <t>Patologias no Concreto</t>
        </is>
      </c>
      <c r="N333" t="inlineStr">
        <is>
          <t>Trincas em vários pontos ao longo do corte 02.</t>
        </is>
      </c>
      <c r="O333" t="inlineStr">
        <is>
          <t>Tipo A</t>
        </is>
      </c>
      <c r="P333" t="inlineStr">
        <is>
          <t xml:space="preserve"> 72+720</t>
        </is>
      </c>
      <c r="Q333" t="inlineStr">
        <is>
          <t xml:space="preserve"> 72+720</t>
        </is>
      </c>
      <c r="R333" t="inlineStr">
        <is>
          <t>Aberta</t>
        </is>
      </c>
      <c r="T333" t="inlineStr">
        <is>
          <t>Fernanda Soave</t>
        </is>
      </c>
      <c r="U333" t="inlineStr">
        <is>
          <t>09/02/2026</t>
        </is>
      </c>
      <c r="V333" t="inlineStr">
        <is>
          <t>16/02/2026</t>
        </is>
      </c>
      <c r="W333">
        <v>114</v>
      </c>
      <c r="X333" t="inlineStr">
        <is>
          <t>01/05/2026</t>
        </is>
      </c>
      <c r="AA333" t="inlineStr">
        <is>
          <t>Aberta +120 dias</t>
        </is>
      </c>
    </row>
    <row r="334">
      <c r="A334">
        <v>332</v>
      </c>
      <c r="B334">
        <v>3</v>
      </c>
      <c r="C334" t="inlineStr">
        <is>
          <t>1.7</t>
        </is>
      </c>
      <c r="D334" t="inlineStr">
        <is>
          <t>A01</t>
        </is>
      </c>
      <c r="E334" t="inlineStr">
        <is>
          <t>LE/LD</t>
        </is>
      </c>
      <c r="F334" t="inlineStr">
        <is>
          <t>APIA</t>
        </is>
      </c>
      <c r="G334" t="inlineStr">
        <is>
          <t>CLP-010</t>
        </is>
      </c>
      <c r="H334" t="inlineStr">
        <is>
          <t>Protocolo</t>
        </is>
      </c>
      <c r="I334">
        <v>6</v>
      </c>
      <c r="J334" t="inlineStr">
        <is>
          <t>Drenagem Superficial</t>
        </is>
      </c>
      <c r="K334" t="inlineStr">
        <is>
          <t>6.10</t>
        </is>
      </c>
      <c r="L334" t="inlineStr">
        <is>
          <t>Drenagem</t>
        </is>
      </c>
      <c r="M334" t="inlineStr">
        <is>
          <t>Assoreamento</t>
        </is>
      </c>
      <c r="N334" t="inlineStr">
        <is>
          <t>Assoreamento em drenagem superficial ao longo do aterro 01.</t>
        </is>
      </c>
      <c r="O334" t="inlineStr">
        <is>
          <t>Tipo A</t>
        </is>
      </c>
      <c r="P334" t="inlineStr">
        <is>
          <t>71+300</t>
        </is>
      </c>
      <c r="Q334" t="inlineStr">
        <is>
          <t>71+980</t>
        </is>
      </c>
      <c r="R334" t="inlineStr">
        <is>
          <t>Aberta</t>
        </is>
      </c>
      <c r="T334" t="inlineStr">
        <is>
          <t>Fernanda Soave</t>
        </is>
      </c>
      <c r="U334" t="inlineStr">
        <is>
          <t>09/02/2026</t>
        </is>
      </c>
      <c r="V334" t="inlineStr">
        <is>
          <t>16/02/2026</t>
        </is>
      </c>
      <c r="W334">
        <v>114</v>
      </c>
      <c r="X334" t="inlineStr">
        <is>
          <t>01/05/2026</t>
        </is>
      </c>
      <c r="AA334" t="inlineStr">
        <is>
          <t>Aberta +120 dias</t>
        </is>
      </c>
    </row>
    <row r="335">
      <c r="A335">
        <v>333</v>
      </c>
      <c r="B335">
        <v>3</v>
      </c>
      <c r="C335" t="inlineStr">
        <is>
          <t>1.7</t>
        </is>
      </c>
      <c r="D335" t="inlineStr">
        <is>
          <t>C01</t>
        </is>
      </c>
      <c r="E335" t="inlineStr">
        <is>
          <t>LE/LD</t>
        </is>
      </c>
      <c r="F335" t="inlineStr">
        <is>
          <t>APIA</t>
        </is>
      </c>
      <c r="G335" t="inlineStr">
        <is>
          <t>CLP-010</t>
        </is>
      </c>
      <c r="H335" t="inlineStr">
        <is>
          <t>Protocolo</t>
        </is>
      </c>
      <c r="I335">
        <v>6</v>
      </c>
      <c r="J335" t="inlineStr">
        <is>
          <t>Drenagem Superficial</t>
        </is>
      </c>
      <c r="K335" t="inlineStr">
        <is>
          <t>6.10</t>
        </is>
      </c>
      <c r="L335" t="inlineStr">
        <is>
          <t>Drenagem</t>
        </is>
      </c>
      <c r="M335" t="inlineStr">
        <is>
          <t>Assoreamento</t>
        </is>
      </c>
      <c r="N335" t="inlineStr">
        <is>
          <t>Assoreamento em drenagem superficial ao longo do corte 01.</t>
        </is>
      </c>
      <c r="O335" t="inlineStr">
        <is>
          <t>Tipo A</t>
        </is>
      </c>
      <c r="P335" t="inlineStr">
        <is>
          <t xml:space="preserve"> 72+000</t>
        </is>
      </c>
      <c r="Q335" t="inlineStr">
        <is>
          <t>72+420</t>
        </is>
      </c>
      <c r="R335" t="inlineStr">
        <is>
          <t>Aberta</t>
        </is>
      </c>
      <c r="T335" t="inlineStr">
        <is>
          <t>Fernanda Soave</t>
        </is>
      </c>
      <c r="U335" t="inlineStr">
        <is>
          <t>09/02/2026</t>
        </is>
      </c>
      <c r="V335" t="inlineStr">
        <is>
          <t>16/02/2026</t>
        </is>
      </c>
      <c r="W335">
        <v>114</v>
      </c>
      <c r="X335" t="inlineStr">
        <is>
          <t>01/05/2026</t>
        </is>
      </c>
      <c r="AA335" t="inlineStr">
        <is>
          <t>Aberta +120 dias</t>
        </is>
      </c>
    </row>
    <row r="336">
      <c r="A336">
        <v>334</v>
      </c>
      <c r="B336">
        <v>3</v>
      </c>
      <c r="C336" t="inlineStr">
        <is>
          <t>1.7</t>
        </is>
      </c>
      <c r="D336" t="inlineStr">
        <is>
          <t>C01</t>
        </is>
      </c>
      <c r="E336" t="inlineStr">
        <is>
          <t>LD</t>
        </is>
      </c>
      <c r="F336" t="inlineStr">
        <is>
          <t>APIA</t>
        </is>
      </c>
      <c r="G336" t="inlineStr">
        <is>
          <t>CLP-010</t>
        </is>
      </c>
      <c r="H336" t="inlineStr">
        <is>
          <t>Protocolo</t>
        </is>
      </c>
      <c r="I336">
        <v>6</v>
      </c>
      <c r="J336" t="inlineStr">
        <is>
          <t>Drenagem Superficial</t>
        </is>
      </c>
      <c r="K336" t="inlineStr">
        <is>
          <t>6.10</t>
        </is>
      </c>
      <c r="L336" t="inlineStr">
        <is>
          <t>Drenagem</t>
        </is>
      </c>
      <c r="M336" t="inlineStr">
        <is>
          <t>Obstrução do dispositivo</t>
        </is>
      </c>
      <c r="N336" t="inlineStr">
        <is>
          <t>Drenagem obstruída para acesso a plataforma</t>
        </is>
      </c>
      <c r="O336" t="inlineStr">
        <is>
          <t>Tipo A</t>
        </is>
      </c>
      <c r="P336" t="inlineStr">
        <is>
          <t xml:space="preserve"> 72+000</t>
        </is>
      </c>
      <c r="Q336" t="inlineStr">
        <is>
          <t>72+420</t>
        </is>
      </c>
      <c r="R336" t="inlineStr">
        <is>
          <t>Aberta</t>
        </is>
      </c>
      <c r="T336" t="inlineStr">
        <is>
          <t>Fernanda Soave</t>
        </is>
      </c>
      <c r="U336" t="inlineStr">
        <is>
          <t>09/02/2026</t>
        </is>
      </c>
      <c r="V336" t="inlineStr">
        <is>
          <t>16/02/2026</t>
        </is>
      </c>
      <c r="W336">
        <v>114</v>
      </c>
      <c r="X336" t="inlineStr">
        <is>
          <t>01/05/2026</t>
        </is>
      </c>
      <c r="AA336" t="inlineStr">
        <is>
          <t>Aberta +120 dias</t>
        </is>
      </c>
    </row>
    <row r="337">
      <c r="A337">
        <v>335</v>
      </c>
      <c r="B337">
        <v>3</v>
      </c>
      <c r="C337" t="inlineStr">
        <is>
          <t>1.7</t>
        </is>
      </c>
      <c r="D337" t="inlineStr">
        <is>
          <t>C01</t>
        </is>
      </c>
      <c r="E337" t="inlineStr">
        <is>
          <t>LE</t>
        </is>
      </c>
      <c r="F337" t="inlineStr">
        <is>
          <t>APIA</t>
        </is>
      </c>
      <c r="G337" t="inlineStr">
        <is>
          <t>CLP-010</t>
        </is>
      </c>
      <c r="H337" t="inlineStr">
        <is>
          <t>Protocolo</t>
        </is>
      </c>
      <c r="I337">
        <v>6</v>
      </c>
      <c r="J337" t="inlineStr">
        <is>
          <t>Drenagem Superficial</t>
        </is>
      </c>
      <c r="K337" t="inlineStr">
        <is>
          <t>6.10</t>
        </is>
      </c>
      <c r="L337" t="inlineStr">
        <is>
          <t>Drenagem</t>
        </is>
      </c>
      <c r="M337" t="inlineStr">
        <is>
          <t>Limpeza/ remoção de material</t>
        </is>
      </c>
      <c r="N337" t="inlineStr">
        <is>
          <t>Resíduos de concreto e assoreamento.</t>
        </is>
      </c>
      <c r="O337" t="inlineStr">
        <is>
          <t>Tipo A</t>
        </is>
      </c>
      <c r="P337" t="inlineStr">
        <is>
          <t xml:space="preserve">72+420 </t>
        </is>
      </c>
      <c r="Q337" t="inlineStr">
        <is>
          <t xml:space="preserve">72+420 </t>
        </is>
      </c>
      <c r="R337" t="inlineStr">
        <is>
          <t>Aberta</t>
        </is>
      </c>
      <c r="T337" t="inlineStr">
        <is>
          <t>Fernanda Soave</t>
        </is>
      </c>
      <c r="U337" t="inlineStr">
        <is>
          <t>09/02/2026</t>
        </is>
      </c>
      <c r="V337" t="inlineStr">
        <is>
          <t>16/02/2026</t>
        </is>
      </c>
      <c r="W337">
        <v>114</v>
      </c>
      <c r="X337" t="inlineStr">
        <is>
          <t>01/05/2026</t>
        </is>
      </c>
      <c r="AA337" t="inlineStr">
        <is>
          <t>Aberta +120 dias</t>
        </is>
      </c>
    </row>
    <row r="338">
      <c r="A338">
        <v>336</v>
      </c>
      <c r="B338">
        <v>3</v>
      </c>
      <c r="C338" t="inlineStr">
        <is>
          <t>1.7</t>
        </is>
      </c>
      <c r="D338" t="inlineStr">
        <is>
          <t>A02</t>
        </is>
      </c>
      <c r="E338" t="inlineStr">
        <is>
          <t>LE/LD</t>
        </is>
      </c>
      <c r="F338" t="inlineStr">
        <is>
          <t>APIA</t>
        </is>
      </c>
      <c r="G338" t="inlineStr">
        <is>
          <t>CLP-010</t>
        </is>
      </c>
      <c r="H338" t="inlineStr">
        <is>
          <t>Protocolo</t>
        </is>
      </c>
      <c r="I338">
        <v>6</v>
      </c>
      <c r="J338" t="inlineStr">
        <is>
          <t>Drenagem Superficial</t>
        </is>
      </c>
      <c r="K338" t="inlineStr">
        <is>
          <t>6.10</t>
        </is>
      </c>
      <c r="L338" t="inlineStr">
        <is>
          <t>Drenagem</t>
        </is>
      </c>
      <c r="M338" t="inlineStr">
        <is>
          <t>Assoreamento</t>
        </is>
      </c>
      <c r="N338" t="inlineStr">
        <is>
          <t>Assoreamento em drenagem superficial ao longo do corte 01.</t>
        </is>
      </c>
      <c r="O338" t="inlineStr">
        <is>
          <t>Tipo A</t>
        </is>
      </c>
      <c r="P338" t="inlineStr">
        <is>
          <t xml:space="preserve">72+420 </t>
        </is>
      </c>
      <c r="Q338" t="inlineStr">
        <is>
          <t>72+740</t>
        </is>
      </c>
      <c r="R338" t="inlineStr">
        <is>
          <t>Aberta</t>
        </is>
      </c>
      <c r="T338" t="inlineStr">
        <is>
          <t>Fernanda Soave</t>
        </is>
      </c>
      <c r="U338" t="inlineStr">
        <is>
          <t>09/02/2026</t>
        </is>
      </c>
      <c r="V338" t="inlineStr">
        <is>
          <t>16/02/2026</t>
        </is>
      </c>
      <c r="W338">
        <v>114</v>
      </c>
      <c r="X338" t="inlineStr">
        <is>
          <t>01/05/2026</t>
        </is>
      </c>
      <c r="AA338" t="inlineStr">
        <is>
          <t>Aberta +120 dias</t>
        </is>
      </c>
    </row>
    <row r="339">
      <c r="A339">
        <v>337</v>
      </c>
      <c r="B339">
        <v>3</v>
      </c>
      <c r="C339" t="inlineStr">
        <is>
          <t>1.7</t>
        </is>
      </c>
      <c r="D339" t="inlineStr">
        <is>
          <t>A02</t>
        </is>
      </c>
      <c r="E339" t="inlineStr">
        <is>
          <t>LE/LD</t>
        </is>
      </c>
      <c r="F339" t="inlineStr">
        <is>
          <t>APIA</t>
        </is>
      </c>
      <c r="G339" t="inlineStr">
        <is>
          <t>CLP-010</t>
        </is>
      </c>
      <c r="H339" t="inlineStr">
        <is>
          <t>Protocolo</t>
        </is>
      </c>
      <c r="I339">
        <v>6</v>
      </c>
      <c r="J339" t="inlineStr">
        <is>
          <t>Drenagem Superficial</t>
        </is>
      </c>
      <c r="K339" t="inlineStr">
        <is>
          <t>6.10</t>
        </is>
      </c>
      <c r="L339" t="inlineStr">
        <is>
          <t>Drenagem</t>
        </is>
      </c>
      <c r="M339" t="inlineStr">
        <is>
          <t>Limpeza/ remoção de material</t>
        </is>
      </c>
      <c r="N339" t="inlineStr">
        <is>
          <t>Resíduos de concreto e assoreamento.</t>
        </is>
      </c>
      <c r="O339" t="inlineStr">
        <is>
          <t>Tipo A</t>
        </is>
      </c>
      <c r="P339" t="inlineStr">
        <is>
          <t>72+720</t>
        </is>
      </c>
      <c r="Q339" t="inlineStr">
        <is>
          <t>72+720</t>
        </is>
      </c>
      <c r="R339" t="inlineStr">
        <is>
          <t>Aberta</t>
        </is>
      </c>
      <c r="T339" t="inlineStr">
        <is>
          <t>Fernanda Soave</t>
        </is>
      </c>
      <c r="U339" t="inlineStr">
        <is>
          <t>09/02/2026</t>
        </is>
      </c>
      <c r="V339" t="inlineStr">
        <is>
          <t>16/02/2026</t>
        </is>
      </c>
      <c r="W339">
        <v>114</v>
      </c>
      <c r="X339" t="inlineStr">
        <is>
          <t>01/05/2026</t>
        </is>
      </c>
      <c r="AA339" t="inlineStr">
        <is>
          <t>Aberta +120 dias</t>
        </is>
      </c>
    </row>
    <row r="340">
      <c r="A340">
        <v>338</v>
      </c>
      <c r="B340">
        <v>3</v>
      </c>
      <c r="C340" t="inlineStr">
        <is>
          <t>1.7</t>
        </is>
      </c>
      <c r="D340" t="inlineStr">
        <is>
          <t>Geral</t>
        </is>
      </c>
      <c r="E340" t="inlineStr">
        <is>
          <t>EX/LD</t>
        </is>
      </c>
      <c r="F340" t="inlineStr">
        <is>
          <t>APIA</t>
        </is>
      </c>
      <c r="G340" t="inlineStr">
        <is>
          <t>CLP-010</t>
        </is>
      </c>
      <c r="H340" t="inlineStr">
        <is>
          <t>Protocolo</t>
        </is>
      </c>
      <c r="I340">
        <v>6</v>
      </c>
      <c r="J340" t="inlineStr">
        <is>
          <t>Drenagem Superficial</t>
        </is>
      </c>
      <c r="K340" t="inlineStr">
        <is>
          <t>6.16</t>
        </is>
      </c>
      <c r="L340" t="inlineStr">
        <is>
          <t>RNC</t>
        </is>
      </c>
      <c r="M340" t="inlineStr">
        <is>
          <t>Documental</t>
        </is>
      </c>
      <c r="N340" t="inlineStr">
        <is>
          <t xml:space="preserve">Encontra-se regitros de não conformidade em tramitação.
RNC-09969/25
RNC-09921/25
RNC-09968/25</t>
        </is>
      </c>
      <c r="O340" t="inlineStr">
        <is>
          <t>Tipo B</t>
        </is>
      </c>
      <c r="P340" t="inlineStr">
        <is>
          <t>71+300</t>
        </is>
      </c>
      <c r="Q340" t="inlineStr">
        <is>
          <t>73+780</t>
        </is>
      </c>
      <c r="R340" t="inlineStr">
        <is>
          <t>Encerrado</t>
        </is>
      </c>
      <c r="T340" t="inlineStr">
        <is>
          <t>Fernanda Soave</t>
        </is>
      </c>
      <c r="U340" t="inlineStr">
        <is>
          <t>09/02/2026</t>
        </is>
      </c>
      <c r="V340" t="inlineStr">
        <is>
          <t>24/02/2026</t>
        </is>
      </c>
      <c r="W340">
        <v>106</v>
      </c>
      <c r="Y340" t="inlineStr">
        <is>
          <t>12/05/2026</t>
        </is>
      </c>
      <c r="Z340" t="inlineStr">
        <is>
          <t>Concluído</t>
        </is>
      </c>
      <c r="AA340" t="inlineStr">
        <is>
          <t>Fechada 90-120 dias</t>
        </is>
      </c>
    </row>
    <row r="341">
      <c r="A341">
        <v>339</v>
      </c>
      <c r="B341">
        <v>2</v>
      </c>
      <c r="C341" t="inlineStr">
        <is>
          <t>1.5</t>
        </is>
      </c>
      <c r="D341" t="inlineStr">
        <is>
          <t>A04/A12</t>
        </is>
      </c>
      <c r="E341" t="inlineStr">
        <is>
          <t>LE/LD</t>
        </is>
      </c>
      <c r="F341" t="inlineStr">
        <is>
          <t>ATERPA</t>
        </is>
      </c>
      <c r="G341" t="inlineStr">
        <is>
          <t>CLP-011</t>
        </is>
      </c>
      <c r="H341" t="inlineStr">
        <is>
          <t>Protocolo</t>
        </is>
      </c>
      <c r="I341">
        <v>1</v>
      </c>
      <c r="J341" t="inlineStr">
        <is>
          <t>Obras Complementares</t>
        </is>
      </c>
      <c r="K341" t="inlineStr">
        <is>
          <t>1.2</t>
        </is>
      </c>
      <c r="L341" t="inlineStr">
        <is>
          <t>Cerca</t>
        </is>
      </c>
      <c r="M341" t="inlineStr">
        <is>
          <t>Limpeza/ remoção de material</t>
        </is>
      </c>
      <c r="N341" t="inlineStr">
        <is>
          <t>Sobras Dos Mourões Da Cerca Deixados Dentro Da Passagem De Gado</t>
        </is>
      </c>
      <c r="O341" t="inlineStr">
        <is>
          <t>Tipo A</t>
        </is>
      </c>
      <c r="P341" t="inlineStr">
        <is>
          <t>48+600</t>
        </is>
      </c>
      <c r="Q341" t="inlineStr">
        <is>
          <t>55+00</t>
        </is>
      </c>
      <c r="R341" t="inlineStr">
        <is>
          <t>Aberta</t>
        </is>
      </c>
      <c r="T341" t="inlineStr">
        <is>
          <t>Aline Batista</t>
        </is>
      </c>
      <c r="U341" t="inlineStr">
        <is>
          <t>24/04/2026</t>
        </is>
      </c>
      <c r="V341" t="inlineStr">
        <is>
          <t>01/05/2026</t>
        </is>
      </c>
      <c r="W341">
        <v>40</v>
      </c>
      <c r="AA341" t="inlineStr">
        <is>
          <t>Aberta 30-60 dias</t>
        </is>
      </c>
    </row>
    <row r="342">
      <c r="A342">
        <v>340</v>
      </c>
      <c r="B342">
        <v>2</v>
      </c>
      <c r="C342" t="inlineStr">
        <is>
          <t>1.5</t>
        </is>
      </c>
      <c r="D342" t="inlineStr">
        <is>
          <t>A11</t>
        </is>
      </c>
      <c r="E342" t="inlineStr">
        <is>
          <t>LE/LD</t>
        </is>
      </c>
      <c r="F342" t="inlineStr">
        <is>
          <t>ATERPA</t>
        </is>
      </c>
      <c r="G342" t="inlineStr">
        <is>
          <t>CLP-011</t>
        </is>
      </c>
      <c r="H342" t="inlineStr">
        <is>
          <t>Protocolo</t>
        </is>
      </c>
      <c r="I342">
        <v>1</v>
      </c>
      <c r="J342" t="inlineStr">
        <is>
          <t>Obras Complementares</t>
        </is>
      </c>
      <c r="K342" t="inlineStr">
        <is>
          <t xml:space="preserve">1.3 </t>
        </is>
      </c>
      <c r="L342" t="inlineStr">
        <is>
          <t>Cerca</t>
        </is>
      </c>
      <c r="M342" t="inlineStr">
        <is>
          <t>Cercamento danificado</t>
        </is>
      </c>
      <c r="N342" t="inlineStr">
        <is>
          <t>Cerca Sem Tensionamento, Mourão Caido</t>
        </is>
      </c>
      <c r="O342" t="inlineStr">
        <is>
          <t>Tipo A</t>
        </is>
      </c>
      <c r="P342" t="inlineStr">
        <is>
          <t>52+420</t>
        </is>
      </c>
      <c r="Q342" t="inlineStr">
        <is>
          <t>52+420</t>
        </is>
      </c>
      <c r="R342" t="inlineStr">
        <is>
          <t>Aberta</t>
        </is>
      </c>
      <c r="T342" t="inlineStr">
        <is>
          <t>Aline Batista</t>
        </is>
      </c>
      <c r="U342" t="inlineStr">
        <is>
          <t>24/04/2026</t>
        </is>
      </c>
      <c r="V342" t="inlineStr">
        <is>
          <t>01/05/2026</t>
        </is>
      </c>
      <c r="W342">
        <v>40</v>
      </c>
      <c r="AA342" t="inlineStr">
        <is>
          <t>Aberta 30-60 dias</t>
        </is>
      </c>
    </row>
    <row r="343">
      <c r="A343">
        <v>341</v>
      </c>
      <c r="B343">
        <v>2</v>
      </c>
      <c r="C343" t="inlineStr">
        <is>
          <t>1.5</t>
        </is>
      </c>
      <c r="D343" t="inlineStr">
        <is>
          <t>A11</t>
        </is>
      </c>
      <c r="E343" t="inlineStr">
        <is>
          <t>LE/LD</t>
        </is>
      </c>
      <c r="F343" t="inlineStr">
        <is>
          <t>ATERPA</t>
        </is>
      </c>
      <c r="G343" t="inlineStr">
        <is>
          <t>CLP-011</t>
        </is>
      </c>
      <c r="H343" t="inlineStr">
        <is>
          <t>Protocolo</t>
        </is>
      </c>
      <c r="I343">
        <v>1</v>
      </c>
      <c r="J343" t="inlineStr">
        <is>
          <t>Obras Complementares</t>
        </is>
      </c>
      <c r="K343" t="inlineStr">
        <is>
          <t xml:space="preserve">1.3 </t>
        </is>
      </c>
      <c r="L343" t="inlineStr">
        <is>
          <t>Cerca</t>
        </is>
      </c>
      <c r="M343" t="inlineStr">
        <is>
          <t>Cercamento danificado</t>
        </is>
      </c>
      <c r="N343" t="inlineStr">
        <is>
          <t>Cerca Sem Tensionamento, Mourão Caido</t>
        </is>
      </c>
      <c r="O343" t="inlineStr">
        <is>
          <t>Tipo A</t>
        </is>
      </c>
      <c r="P343" t="inlineStr">
        <is>
          <t>53+040</t>
        </is>
      </c>
      <c r="Q343" t="inlineStr">
        <is>
          <t>53+040</t>
        </is>
      </c>
      <c r="R343" t="inlineStr">
        <is>
          <t>Aberta</t>
        </is>
      </c>
      <c r="T343" t="inlineStr">
        <is>
          <t>Aline Batista</t>
        </is>
      </c>
      <c r="U343" t="inlineStr">
        <is>
          <t>24/04/2026</t>
        </is>
      </c>
      <c r="V343" t="inlineStr">
        <is>
          <t>01/05/2026</t>
        </is>
      </c>
      <c r="W343">
        <v>40</v>
      </c>
      <c r="AA343" t="inlineStr">
        <is>
          <t>Aberta 30-60 dias</t>
        </is>
      </c>
    </row>
    <row r="344">
      <c r="A344">
        <v>342</v>
      </c>
      <c r="B344">
        <v>2</v>
      </c>
      <c r="C344" t="inlineStr">
        <is>
          <t>1.5</t>
        </is>
      </c>
      <c r="D344" t="inlineStr">
        <is>
          <t>A04</t>
        </is>
      </c>
      <c r="E344" t="inlineStr">
        <is>
          <t>LE/LD</t>
        </is>
      </c>
      <c r="F344" t="inlineStr">
        <is>
          <t>ATERPA</t>
        </is>
      </c>
      <c r="G344" t="inlineStr">
        <is>
          <t>CLP-011</t>
        </is>
      </c>
      <c r="H344" t="inlineStr">
        <is>
          <t>Protocolo</t>
        </is>
      </c>
      <c r="I344">
        <v>1</v>
      </c>
      <c r="J344" t="inlineStr">
        <is>
          <t>Obras Complementares</t>
        </is>
      </c>
      <c r="K344" t="inlineStr">
        <is>
          <t>1.6</t>
        </is>
      </c>
      <c r="L344" t="inlineStr">
        <is>
          <t>Cerca</t>
        </is>
      </c>
      <c r="M344" t="inlineStr">
        <is>
          <t>Cercamento pendente</t>
        </is>
      </c>
      <c r="N344" t="inlineStr">
        <is>
          <t xml:space="preserve">Desvio Cercamento, Trecho De Cercamento Pendente </t>
        </is>
      </c>
      <c r="O344" t="inlineStr">
        <is>
          <t>Tipo A</t>
        </is>
      </c>
      <c r="P344" t="inlineStr">
        <is>
          <t xml:space="preserve"> 49+100</t>
        </is>
      </c>
      <c r="Q344" t="inlineStr">
        <is>
          <t xml:space="preserve"> 49+100</t>
        </is>
      </c>
      <c r="R344" t="inlineStr">
        <is>
          <t>Aberta</t>
        </is>
      </c>
      <c r="T344" t="inlineStr">
        <is>
          <t>Aline Batista</t>
        </is>
      </c>
      <c r="U344" t="inlineStr">
        <is>
          <t>24/04/2026</t>
        </is>
      </c>
      <c r="V344" t="inlineStr">
        <is>
          <t>01/05/2026</t>
        </is>
      </c>
      <c r="W344">
        <v>40</v>
      </c>
      <c r="AA344" t="inlineStr">
        <is>
          <t>Aberta 30-60 dias</t>
        </is>
      </c>
    </row>
    <row r="345">
      <c r="A345">
        <v>343</v>
      </c>
      <c r="B345">
        <v>2</v>
      </c>
      <c r="C345" t="inlineStr">
        <is>
          <t>1.5</t>
        </is>
      </c>
      <c r="D345" t="inlineStr">
        <is>
          <t>C04</t>
        </is>
      </c>
      <c r="E345" t="inlineStr">
        <is>
          <t>LE/LD</t>
        </is>
      </c>
      <c r="F345" t="inlineStr">
        <is>
          <t>ATERPA</t>
        </is>
      </c>
      <c r="G345" t="inlineStr">
        <is>
          <t>CLP-011</t>
        </is>
      </c>
      <c r="H345" t="inlineStr">
        <is>
          <t>Protocolo</t>
        </is>
      </c>
      <c r="I345">
        <v>1</v>
      </c>
      <c r="J345" t="inlineStr">
        <is>
          <t>Obras Complementares</t>
        </is>
      </c>
      <c r="K345" t="inlineStr">
        <is>
          <t xml:space="preserve">1.6 </t>
        </is>
      </c>
      <c r="L345" t="inlineStr">
        <is>
          <t>Cerca</t>
        </is>
      </c>
      <c r="M345" t="inlineStr">
        <is>
          <t>Cercamento pendente</t>
        </is>
      </c>
      <c r="N345" t="inlineStr">
        <is>
          <t xml:space="preserve">Desvio Cercamento, Trecho De Cercamento Pendente </t>
        </is>
      </c>
      <c r="O345" t="inlineStr">
        <is>
          <t>Tipo A</t>
        </is>
      </c>
      <c r="P345" t="inlineStr">
        <is>
          <t>49+600</t>
        </is>
      </c>
      <c r="Q345" t="inlineStr">
        <is>
          <t>49+600</t>
        </is>
      </c>
      <c r="R345" t="inlineStr">
        <is>
          <t>Aberta</t>
        </is>
      </c>
      <c r="T345" t="inlineStr">
        <is>
          <t>Aline Batista</t>
        </is>
      </c>
      <c r="U345" t="inlineStr">
        <is>
          <t>24/04/2026</t>
        </is>
      </c>
      <c r="V345" t="inlineStr">
        <is>
          <t>01/05/2026</t>
        </is>
      </c>
      <c r="W345">
        <v>40</v>
      </c>
      <c r="AA345" t="inlineStr">
        <is>
          <t>Aberta 30-60 dias</t>
        </is>
      </c>
    </row>
    <row r="346">
      <c r="A346">
        <v>344</v>
      </c>
      <c r="B346">
        <v>2</v>
      </c>
      <c r="C346" t="inlineStr">
        <is>
          <t>1.5</t>
        </is>
      </c>
      <c r="D346" t="inlineStr">
        <is>
          <t>A06</t>
        </is>
      </c>
      <c r="E346" t="inlineStr">
        <is>
          <t>LE/LD</t>
        </is>
      </c>
      <c r="F346" t="inlineStr">
        <is>
          <t>ATERPA</t>
        </is>
      </c>
      <c r="G346" t="inlineStr">
        <is>
          <t>CLP-011</t>
        </is>
      </c>
      <c r="H346" t="inlineStr">
        <is>
          <t>Protocolo</t>
        </is>
      </c>
      <c r="I346">
        <v>1</v>
      </c>
      <c r="J346" t="inlineStr">
        <is>
          <t>Obras Complementares</t>
        </is>
      </c>
      <c r="K346" t="inlineStr">
        <is>
          <t xml:space="preserve">1.24 </t>
        </is>
      </c>
      <c r="L346" t="inlineStr">
        <is>
          <t>Defensas Metálicas</t>
        </is>
      </c>
      <c r="M346" t="inlineStr">
        <is>
          <t>Execuçao divergente do projeto</t>
        </is>
      </c>
      <c r="N346" t="inlineStr">
        <is>
          <t xml:space="preserve">Os Terminais De Entrada E Saída Das Defensas Metálicas Nos Acessos Encontram-se  com extremidades não aterradas. 
NBR 6971/2023</t>
        </is>
      </c>
      <c r="O346" t="inlineStr">
        <is>
          <t>Tipo A</t>
        </is>
      </c>
      <c r="P346" t="inlineStr">
        <is>
          <t>50+020</t>
        </is>
      </c>
      <c r="Q346" t="inlineStr">
        <is>
          <t>50+020</t>
        </is>
      </c>
      <c r="R346" t="inlineStr">
        <is>
          <t>Aberta</t>
        </is>
      </c>
      <c r="T346" t="inlineStr">
        <is>
          <t>Aline Batista</t>
        </is>
      </c>
      <c r="U346" t="inlineStr">
        <is>
          <t>24/04/2026</t>
        </is>
      </c>
      <c r="V346" t="inlineStr">
        <is>
          <t>01/05/2026</t>
        </is>
      </c>
      <c r="W346">
        <v>40</v>
      </c>
      <c r="AA346" t="inlineStr">
        <is>
          <t>Aberta 30-60 dias</t>
        </is>
      </c>
    </row>
    <row r="347">
      <c r="A347">
        <v>345</v>
      </c>
      <c r="B347">
        <v>2</v>
      </c>
      <c r="C347" t="inlineStr">
        <is>
          <t>1.5</t>
        </is>
      </c>
      <c r="D347" t="inlineStr">
        <is>
          <t>A06</t>
        </is>
      </c>
      <c r="E347" t="inlineStr">
        <is>
          <t>LE/LD</t>
        </is>
      </c>
      <c r="F347" t="inlineStr">
        <is>
          <t>ATERPA</t>
        </is>
      </c>
      <c r="G347" t="inlineStr">
        <is>
          <t>CLP-011</t>
        </is>
      </c>
      <c r="H347" t="inlineStr">
        <is>
          <t>Protocolo</t>
        </is>
      </c>
      <c r="I347">
        <v>1</v>
      </c>
      <c r="J347" t="inlineStr">
        <is>
          <t>Obras Complementares</t>
        </is>
      </c>
      <c r="K347" t="inlineStr">
        <is>
          <t>1.24</t>
        </is>
      </c>
      <c r="L347" t="inlineStr">
        <is>
          <t>Defensas Metálicas</t>
        </is>
      </c>
      <c r="M347" t="inlineStr">
        <is>
          <t>Aterramento</t>
        </is>
      </c>
      <c r="N347" t="inlineStr">
        <is>
          <t xml:space="preserve">Aterramento em desconformidade com a NBR 6971/2023
Aterrar as extremidades da defensas metálicas guard rail.
 </t>
        </is>
      </c>
      <c r="O347" t="inlineStr">
        <is>
          <t>Tipo A</t>
        </is>
      </c>
      <c r="P347" t="inlineStr">
        <is>
          <t>50+020</t>
        </is>
      </c>
      <c r="Q347" t="inlineStr">
        <is>
          <t>50+020</t>
        </is>
      </c>
      <c r="R347" t="inlineStr">
        <is>
          <t>Aberta</t>
        </is>
      </c>
      <c r="T347" t="inlineStr">
        <is>
          <t>Aline Batista</t>
        </is>
      </c>
      <c r="U347" t="inlineStr">
        <is>
          <t>24/04/2026</t>
        </is>
      </c>
      <c r="V347" t="inlineStr">
        <is>
          <t>01/05/2026</t>
        </is>
      </c>
      <c r="W347">
        <v>40</v>
      </c>
      <c r="AA347" t="inlineStr">
        <is>
          <t>Aberta 30-60 dias</t>
        </is>
      </c>
    </row>
    <row r="348">
      <c r="A348">
        <v>346</v>
      </c>
      <c r="B348">
        <v>2</v>
      </c>
      <c r="C348" t="inlineStr">
        <is>
          <t>1.5</t>
        </is>
      </c>
      <c r="D348" t="inlineStr">
        <is>
          <t>A06</t>
        </is>
      </c>
      <c r="E348" t="inlineStr">
        <is>
          <t>LE/LD</t>
        </is>
      </c>
      <c r="F348" t="inlineStr">
        <is>
          <t>ATERPA</t>
        </is>
      </c>
      <c r="G348" t="inlineStr">
        <is>
          <t>CLP-011</t>
        </is>
      </c>
      <c r="H348" t="inlineStr">
        <is>
          <t>Protocolo</t>
        </is>
      </c>
      <c r="I348">
        <v>1</v>
      </c>
      <c r="J348" t="inlineStr">
        <is>
          <t>Obras Complementares</t>
        </is>
      </c>
      <c r="K348" t="inlineStr">
        <is>
          <t>1.20</t>
        </is>
      </c>
      <c r="L348" t="inlineStr">
        <is>
          <t>Ensaios</t>
        </is>
      </c>
      <c r="M348" t="inlineStr">
        <is>
          <t>Documental</t>
        </is>
      </c>
      <c r="N348" t="inlineStr">
        <is>
          <t>Não Apresentado Para Análise</t>
        </is>
      </c>
      <c r="O348" t="inlineStr">
        <is>
          <t>Tipo B</t>
        </is>
      </c>
      <c r="P348" t="inlineStr">
        <is>
          <t>50+020</t>
        </is>
      </c>
      <c r="Q348" t="inlineStr">
        <is>
          <t>50+020</t>
        </is>
      </c>
      <c r="R348" t="inlineStr">
        <is>
          <t>Aberta</t>
        </is>
      </c>
      <c r="T348" t="inlineStr">
        <is>
          <t>Aline Batista</t>
        </is>
      </c>
      <c r="U348" t="inlineStr">
        <is>
          <t>24/04/2026</t>
        </is>
      </c>
      <c r="V348" t="inlineStr">
        <is>
          <t>09/05/2026</t>
        </is>
      </c>
      <c r="W348">
        <v>32</v>
      </c>
      <c r="AA348" t="inlineStr">
        <is>
          <t>Aberta 30-60 dias</t>
        </is>
      </c>
    </row>
    <row r="349">
      <c r="A349">
        <v>347</v>
      </c>
      <c r="B349">
        <v>2</v>
      </c>
      <c r="C349" t="inlineStr">
        <is>
          <t>1.5</t>
        </is>
      </c>
      <c r="D349" t="inlineStr">
        <is>
          <t>A06</t>
        </is>
      </c>
      <c r="E349" t="inlineStr">
        <is>
          <t>LE/LD</t>
        </is>
      </c>
      <c r="F349" t="inlineStr">
        <is>
          <t>ATERPA</t>
        </is>
      </c>
      <c r="G349" t="inlineStr">
        <is>
          <t>CLP-011</t>
        </is>
      </c>
      <c r="H349" t="inlineStr">
        <is>
          <t>Protocolo</t>
        </is>
      </c>
      <c r="I349">
        <v>1</v>
      </c>
      <c r="J349" t="inlineStr">
        <is>
          <t>Obras Complementares</t>
        </is>
      </c>
      <c r="K349" t="inlineStr">
        <is>
          <t xml:space="preserve">1.21 </t>
        </is>
      </c>
      <c r="L349" t="inlineStr">
        <is>
          <t>Ensaios</t>
        </is>
      </c>
      <c r="M349" t="inlineStr">
        <is>
          <t>Documental</t>
        </is>
      </c>
      <c r="N349" t="inlineStr">
        <is>
          <t>Não Apresentado Para Análise</t>
        </is>
      </c>
      <c r="O349" t="inlineStr">
        <is>
          <t>Tipo B</t>
        </is>
      </c>
      <c r="P349" t="inlineStr">
        <is>
          <t>50+020</t>
        </is>
      </c>
      <c r="Q349" t="inlineStr">
        <is>
          <t>50+020</t>
        </is>
      </c>
      <c r="R349" t="inlineStr">
        <is>
          <t>Aberta</t>
        </is>
      </c>
      <c r="T349" t="inlineStr">
        <is>
          <t>Aline Batista</t>
        </is>
      </c>
      <c r="U349" t="inlineStr">
        <is>
          <t>24/04/2026</t>
        </is>
      </c>
      <c r="V349" t="inlineStr">
        <is>
          <t>09/05/2026</t>
        </is>
      </c>
      <c r="W349">
        <v>32</v>
      </c>
      <c r="AA349" t="inlineStr">
        <is>
          <t>Aberta 30-60 dias</t>
        </is>
      </c>
    </row>
    <row r="350">
      <c r="A350">
        <v>348</v>
      </c>
      <c r="B350">
        <v>2</v>
      </c>
      <c r="C350" t="inlineStr">
        <is>
          <t>1.5</t>
        </is>
      </c>
      <c r="D350" t="inlineStr">
        <is>
          <t>A06</t>
        </is>
      </c>
      <c r="E350" t="inlineStr">
        <is>
          <t>LE/LD</t>
        </is>
      </c>
      <c r="F350" t="inlineStr">
        <is>
          <t>ATERPA</t>
        </is>
      </c>
      <c r="G350" t="inlineStr">
        <is>
          <t>CLP-011</t>
        </is>
      </c>
      <c r="H350" t="inlineStr">
        <is>
          <t>Protocolo</t>
        </is>
      </c>
      <c r="I350">
        <v>1</v>
      </c>
      <c r="J350" t="inlineStr">
        <is>
          <t>Obras Complementares</t>
        </is>
      </c>
      <c r="K350" t="inlineStr">
        <is>
          <t>1.22</t>
        </is>
      </c>
      <c r="L350" t="inlineStr">
        <is>
          <t>Ensaios</t>
        </is>
      </c>
      <c r="M350" t="inlineStr">
        <is>
          <t>Documental</t>
        </is>
      </c>
      <c r="N350" t="inlineStr">
        <is>
          <t>Não Apresentado Para Análise</t>
        </is>
      </c>
      <c r="O350" t="inlineStr">
        <is>
          <t>Tipo B</t>
        </is>
      </c>
      <c r="P350" t="inlineStr">
        <is>
          <t>50+020</t>
        </is>
      </c>
      <c r="Q350" t="inlineStr">
        <is>
          <t>50+020</t>
        </is>
      </c>
      <c r="R350" t="inlineStr">
        <is>
          <t>Aberta</t>
        </is>
      </c>
      <c r="T350" t="inlineStr">
        <is>
          <t>Aline Batista</t>
        </is>
      </c>
      <c r="U350" t="inlineStr">
        <is>
          <t>24/04/2026</t>
        </is>
      </c>
      <c r="V350" t="inlineStr">
        <is>
          <t>09/05/2026</t>
        </is>
      </c>
      <c r="W350">
        <v>32</v>
      </c>
      <c r="AA350" t="inlineStr">
        <is>
          <t>Aberta 30-60 dias</t>
        </is>
      </c>
    </row>
    <row r="351">
      <c r="A351">
        <v>349</v>
      </c>
      <c r="B351">
        <v>2</v>
      </c>
      <c r="C351" t="inlineStr">
        <is>
          <t>1.5</t>
        </is>
      </c>
      <c r="D351" t="inlineStr">
        <is>
          <t>A06</t>
        </is>
      </c>
      <c r="E351" t="inlineStr">
        <is>
          <t>LE/LD</t>
        </is>
      </c>
      <c r="F351" t="inlineStr">
        <is>
          <t>ATERPA</t>
        </is>
      </c>
      <c r="G351" t="inlineStr">
        <is>
          <t>CLP-011</t>
        </is>
      </c>
      <c r="H351" t="inlineStr">
        <is>
          <t>Protocolo</t>
        </is>
      </c>
      <c r="I351">
        <v>1</v>
      </c>
      <c r="J351" t="inlineStr">
        <is>
          <t>Obras Complementares</t>
        </is>
      </c>
      <c r="K351" t="inlineStr">
        <is>
          <t xml:space="preserve">1.23 </t>
        </is>
      </c>
      <c r="L351" t="inlineStr">
        <is>
          <t>Ensaios</t>
        </is>
      </c>
      <c r="M351" t="inlineStr">
        <is>
          <t>Documental</t>
        </is>
      </c>
      <c r="N351" t="inlineStr">
        <is>
          <t>Não Apresentado Para Análise</t>
        </is>
      </c>
      <c r="O351" t="inlineStr">
        <is>
          <t>Tipo B</t>
        </is>
      </c>
      <c r="P351" t="inlineStr">
        <is>
          <t>50+020</t>
        </is>
      </c>
      <c r="Q351" t="inlineStr">
        <is>
          <t>50+020</t>
        </is>
      </c>
      <c r="R351" t="inlineStr">
        <is>
          <t>Aberta</t>
        </is>
      </c>
      <c r="T351" t="inlineStr">
        <is>
          <t>Aline Batista</t>
        </is>
      </c>
      <c r="U351" t="inlineStr">
        <is>
          <t>24/04/2026</t>
        </is>
      </c>
      <c r="V351" t="inlineStr">
        <is>
          <t>09/05/2026</t>
        </is>
      </c>
      <c r="W351">
        <v>32</v>
      </c>
      <c r="AA351" t="inlineStr">
        <is>
          <t>Aberta 30-60 dias</t>
        </is>
      </c>
    </row>
    <row r="352">
      <c r="A352">
        <v>350</v>
      </c>
      <c r="B352">
        <v>2</v>
      </c>
      <c r="C352" t="inlineStr">
        <is>
          <t>1.5</t>
        </is>
      </c>
      <c r="D352" t="inlineStr">
        <is>
          <t>C02</t>
        </is>
      </c>
      <c r="E352" t="inlineStr">
        <is>
          <t>LD</t>
        </is>
      </c>
      <c r="F352" t="inlineStr">
        <is>
          <t>ATERPA</t>
        </is>
      </c>
      <c r="G352" t="inlineStr">
        <is>
          <t>CLP-011</t>
        </is>
      </c>
      <c r="H352" t="inlineStr">
        <is>
          <t>Protocolo</t>
        </is>
      </c>
      <c r="I352">
        <v>2</v>
      </c>
      <c r="J352" t="inlineStr">
        <is>
          <t>Bueiros</t>
        </is>
      </c>
      <c r="K352" t="inlineStr">
        <is>
          <t>2.10</t>
        </is>
      </c>
      <c r="L352" t="inlineStr">
        <is>
          <t>Bueiro</t>
        </is>
      </c>
      <c r="M352" t="inlineStr">
        <is>
          <t>Tratamento de junta</t>
        </is>
      </c>
      <c r="N352" t="inlineStr">
        <is>
          <t>Tratamento De Juntas, Armadura Exposta</t>
        </is>
      </c>
      <c r="O352" t="inlineStr">
        <is>
          <t>Tipo A</t>
        </is>
      </c>
      <c r="P352" t="inlineStr">
        <is>
          <t>48+080</t>
        </is>
      </c>
      <c r="Q352" t="inlineStr">
        <is>
          <t>48+080</t>
        </is>
      </c>
      <c r="R352" t="inlineStr">
        <is>
          <t>Aberta</t>
        </is>
      </c>
      <c r="T352" t="inlineStr">
        <is>
          <t>Aline Batista</t>
        </is>
      </c>
      <c r="U352" t="inlineStr">
        <is>
          <t>24/04/2026</t>
        </is>
      </c>
      <c r="V352" t="inlineStr">
        <is>
          <t>01/05/2026</t>
        </is>
      </c>
      <c r="W352">
        <v>40</v>
      </c>
      <c r="AA352" t="inlineStr">
        <is>
          <t>Aberta 30-60 dias</t>
        </is>
      </c>
    </row>
    <row r="353">
      <c r="A353">
        <v>351</v>
      </c>
      <c r="B353">
        <v>2</v>
      </c>
      <c r="C353" t="inlineStr">
        <is>
          <t>1.5</t>
        </is>
      </c>
      <c r="D353" t="inlineStr">
        <is>
          <t>A08</t>
        </is>
      </c>
      <c r="E353" t="inlineStr">
        <is>
          <t>LE/LD</t>
        </is>
      </c>
      <c r="F353" t="inlineStr">
        <is>
          <t>ATERPA</t>
        </is>
      </c>
      <c r="G353" t="inlineStr">
        <is>
          <t>CLP-011</t>
        </is>
      </c>
      <c r="H353" t="inlineStr">
        <is>
          <t>Protocolo</t>
        </is>
      </c>
      <c r="I353">
        <v>2</v>
      </c>
      <c r="J353" t="inlineStr">
        <is>
          <t>Bueiros</t>
        </is>
      </c>
      <c r="K353" t="inlineStr">
        <is>
          <t xml:space="preserve">2.11 </t>
        </is>
      </c>
      <c r="L353" t="inlineStr">
        <is>
          <t>Bueiro</t>
        </is>
      </c>
      <c r="M353" t="inlineStr">
        <is>
          <t>Obstrução do dispositivo</t>
        </is>
      </c>
      <c r="N353" t="inlineStr">
        <is>
          <t xml:space="preserve">Bueiro Afogado Com Acumulo De Material Carreado </t>
        </is>
      </c>
      <c r="O353" t="inlineStr">
        <is>
          <t>Tipo A</t>
        </is>
      </c>
      <c r="P353" t="inlineStr">
        <is>
          <t xml:space="preserve"> 51+120</t>
        </is>
      </c>
      <c r="Q353" t="inlineStr">
        <is>
          <t xml:space="preserve"> 51+120</t>
        </is>
      </c>
      <c r="R353" t="inlineStr">
        <is>
          <t>Aberta</t>
        </is>
      </c>
      <c r="T353" t="inlineStr">
        <is>
          <t>Aline Batista</t>
        </is>
      </c>
      <c r="U353" t="inlineStr">
        <is>
          <t>24/04/2026</t>
        </is>
      </c>
      <c r="V353" t="inlineStr">
        <is>
          <t>01/05/2026</t>
        </is>
      </c>
      <c r="W353">
        <v>40</v>
      </c>
      <c r="AA353" t="inlineStr">
        <is>
          <t>Aberta 30-60 dias</t>
        </is>
      </c>
    </row>
    <row r="354">
      <c r="A354">
        <v>352</v>
      </c>
      <c r="B354">
        <v>2</v>
      </c>
      <c r="C354" t="inlineStr">
        <is>
          <t>1.5</t>
        </is>
      </c>
      <c r="D354" t="inlineStr">
        <is>
          <t>A11</t>
        </is>
      </c>
      <c r="E354" t="inlineStr">
        <is>
          <t>LE/LD</t>
        </is>
      </c>
      <c r="F354" t="inlineStr">
        <is>
          <t>ATERPA</t>
        </is>
      </c>
      <c r="G354" t="inlineStr">
        <is>
          <t>CLP-011</t>
        </is>
      </c>
      <c r="H354" t="inlineStr">
        <is>
          <t>Protocolo</t>
        </is>
      </c>
      <c r="I354">
        <v>2</v>
      </c>
      <c r="J354" t="inlineStr">
        <is>
          <t>Bueiros</t>
        </is>
      </c>
      <c r="K354" t="inlineStr">
        <is>
          <t xml:space="preserve">2.11 </t>
        </is>
      </c>
      <c r="L354" t="inlineStr">
        <is>
          <t>TSS</t>
        </is>
      </c>
      <c r="M354" t="inlineStr">
        <is>
          <t>Assoreamento</t>
        </is>
      </c>
      <c r="N354" t="inlineStr">
        <is>
          <t>TSS Descalçada, Assoreada</t>
        </is>
      </c>
      <c r="O354" t="inlineStr">
        <is>
          <t>Tipo A</t>
        </is>
      </c>
      <c r="P354" t="inlineStr">
        <is>
          <t xml:space="preserve"> 52+420</t>
        </is>
      </c>
      <c r="Q354" t="inlineStr">
        <is>
          <t xml:space="preserve"> 52+420</t>
        </is>
      </c>
      <c r="R354" t="inlineStr">
        <is>
          <t>Aberta</t>
        </is>
      </c>
      <c r="T354" t="inlineStr">
        <is>
          <t>Aline Batista</t>
        </is>
      </c>
      <c r="U354" t="inlineStr">
        <is>
          <t>24/04/2026</t>
        </is>
      </c>
      <c r="V354" t="inlineStr">
        <is>
          <t>01/05/2026</t>
        </is>
      </c>
      <c r="W354">
        <v>40</v>
      </c>
      <c r="AA354" t="inlineStr">
        <is>
          <t>Aberta 30-60 dias</t>
        </is>
      </c>
    </row>
    <row r="355">
      <c r="A355">
        <v>353</v>
      </c>
      <c r="B355">
        <v>2</v>
      </c>
      <c r="C355" t="inlineStr">
        <is>
          <t>1.5</t>
        </is>
      </c>
      <c r="D355" t="inlineStr">
        <is>
          <t>A11</t>
        </is>
      </c>
      <c r="E355" t="inlineStr">
        <is>
          <t>LE/LD</t>
        </is>
      </c>
      <c r="F355" t="inlineStr">
        <is>
          <t>ATERPA</t>
        </is>
      </c>
      <c r="G355" t="inlineStr">
        <is>
          <t>CLP-011</t>
        </is>
      </c>
      <c r="H355" t="inlineStr">
        <is>
          <t>Protocolo</t>
        </is>
      </c>
      <c r="I355">
        <v>2</v>
      </c>
      <c r="J355" t="inlineStr">
        <is>
          <t>Bueiros</t>
        </is>
      </c>
      <c r="K355" t="inlineStr">
        <is>
          <t xml:space="preserve">2.11 </t>
        </is>
      </c>
      <c r="L355" t="inlineStr">
        <is>
          <t>(PG)Passagem de Gado</t>
        </is>
      </c>
      <c r="M355" t="inlineStr">
        <is>
          <t>Dispositivo descalçado</t>
        </is>
      </c>
      <c r="N355" t="inlineStr">
        <is>
          <t xml:space="preserve"> Piso Da Ala Descalçada,  Diferença De Nível Que Impede As Pasagem De Gado</t>
        </is>
      </c>
      <c r="O355" t="inlineStr">
        <is>
          <t>Tipo A</t>
        </is>
      </c>
      <c r="P355" t="inlineStr">
        <is>
          <t>52+420</t>
        </is>
      </c>
      <c r="Q355" t="inlineStr">
        <is>
          <t>52+420</t>
        </is>
      </c>
      <c r="R355" t="inlineStr">
        <is>
          <t>Aberta</t>
        </is>
      </c>
      <c r="T355" t="inlineStr">
        <is>
          <t>Aline Batista</t>
        </is>
      </c>
      <c r="U355" t="inlineStr">
        <is>
          <t>24/04/2026</t>
        </is>
      </c>
      <c r="V355" t="inlineStr">
        <is>
          <t>01/05/2026</t>
        </is>
      </c>
      <c r="W355">
        <v>40</v>
      </c>
      <c r="AA355" t="inlineStr">
        <is>
          <t>Aberta 30-60 dias</t>
        </is>
      </c>
    </row>
    <row r="356">
      <c r="A356">
        <v>354</v>
      </c>
      <c r="B356">
        <v>2</v>
      </c>
      <c r="C356" t="inlineStr">
        <is>
          <t>1.5</t>
        </is>
      </c>
      <c r="D356" t="inlineStr">
        <is>
          <t>C12</t>
        </is>
      </c>
      <c r="E356" t="inlineStr">
        <is>
          <t>LD/LE</t>
        </is>
      </c>
      <c r="F356" t="inlineStr">
        <is>
          <t>ATERPA</t>
        </is>
      </c>
      <c r="G356" t="inlineStr">
        <is>
          <t>CLP-011</t>
        </is>
      </c>
      <c r="H356" t="inlineStr">
        <is>
          <t>Protocolo</t>
        </is>
      </c>
      <c r="I356">
        <v>2</v>
      </c>
      <c r="J356" t="inlineStr">
        <is>
          <t>Bueiros</t>
        </is>
      </c>
      <c r="K356" t="inlineStr">
        <is>
          <t xml:space="preserve">2.11 </t>
        </is>
      </c>
      <c r="L356" t="inlineStr">
        <is>
          <t>PIV</t>
        </is>
      </c>
      <c r="M356" t="inlineStr">
        <is>
          <t>Execuçao divergente do projeto</t>
        </is>
      </c>
      <c r="N356" t="inlineStr">
        <is>
          <t xml:space="preserve">Acesso irregular - PIV de 3,5x3,5 </t>
        </is>
      </c>
      <c r="O356" t="inlineStr">
        <is>
          <t>Tipo A</t>
        </is>
      </c>
      <c r="P356" t="inlineStr">
        <is>
          <t>54+400</t>
        </is>
      </c>
      <c r="Q356" t="inlineStr">
        <is>
          <t>54+400</t>
        </is>
      </c>
      <c r="R356" t="inlineStr">
        <is>
          <t>Aberta</t>
        </is>
      </c>
      <c r="T356" t="inlineStr">
        <is>
          <t>Aline Batista</t>
        </is>
      </c>
      <c r="U356" t="inlineStr">
        <is>
          <t>24/04/2026</t>
        </is>
      </c>
      <c r="V356" t="inlineStr">
        <is>
          <t>01/05/2026</t>
        </is>
      </c>
      <c r="W356">
        <v>40</v>
      </c>
      <c r="AA356" t="inlineStr">
        <is>
          <t>Aberta 30-60 dias</t>
        </is>
      </c>
    </row>
    <row r="357">
      <c r="A357">
        <v>355</v>
      </c>
      <c r="B357">
        <v>2</v>
      </c>
      <c r="C357" t="inlineStr">
        <is>
          <t>1.5</t>
        </is>
      </c>
      <c r="D357" t="inlineStr">
        <is>
          <t>C12</t>
        </is>
      </c>
      <c r="E357" t="inlineStr">
        <is>
          <t>LE/LD</t>
        </is>
      </c>
      <c r="F357" t="inlineStr">
        <is>
          <t>ATERPA</t>
        </is>
      </c>
      <c r="G357" t="inlineStr">
        <is>
          <t>CLP-011</t>
        </is>
      </c>
      <c r="H357" t="inlineStr">
        <is>
          <t>Protocolo</t>
        </is>
      </c>
      <c r="I357">
        <v>2</v>
      </c>
      <c r="J357" t="inlineStr">
        <is>
          <t>Bueiros</t>
        </is>
      </c>
      <c r="K357" t="inlineStr">
        <is>
          <t xml:space="preserve">2.11 </t>
        </is>
      </c>
      <c r="L357" t="inlineStr">
        <is>
          <t>TSS</t>
        </is>
      </c>
      <c r="M357" t="inlineStr">
        <is>
          <t>Execuçao divergente do projeto</t>
        </is>
      </c>
      <c r="N357" t="inlineStr">
        <is>
          <t>Acesso irregular e ajuste na TSS - 1 PG de 2,5x2,5 no km 53+040</t>
        </is>
      </c>
      <c r="O357" t="inlineStr">
        <is>
          <t>Tipo A</t>
        </is>
      </c>
      <c r="P357" t="inlineStr">
        <is>
          <t>53+040</t>
        </is>
      </c>
      <c r="Q357" t="inlineStr">
        <is>
          <t>53+040</t>
        </is>
      </c>
      <c r="R357" t="inlineStr">
        <is>
          <t>Aberta</t>
        </is>
      </c>
      <c r="T357" t="inlineStr">
        <is>
          <t>Aline Batista</t>
        </is>
      </c>
      <c r="U357" t="inlineStr">
        <is>
          <t>24/04/2026</t>
        </is>
      </c>
      <c r="V357" t="inlineStr">
        <is>
          <t>01/05/2026</t>
        </is>
      </c>
      <c r="W357">
        <v>40</v>
      </c>
      <c r="AA357" t="inlineStr">
        <is>
          <t>Aberta 30-60 dias</t>
        </is>
      </c>
    </row>
    <row r="358">
      <c r="A358">
        <v>356</v>
      </c>
      <c r="B358">
        <v>2</v>
      </c>
      <c r="C358" t="inlineStr">
        <is>
          <t>1.5</t>
        </is>
      </c>
      <c r="D358" t="inlineStr">
        <is>
          <t>C01</t>
        </is>
      </c>
      <c r="E358" t="inlineStr">
        <is>
          <t>LE/LD</t>
        </is>
      </c>
      <c r="F358" t="inlineStr">
        <is>
          <t>ATERPA</t>
        </is>
      </c>
      <c r="G358" t="inlineStr">
        <is>
          <t>CLP-011</t>
        </is>
      </c>
      <c r="H358" t="inlineStr">
        <is>
          <t>Protocolo</t>
        </is>
      </c>
      <c r="I358">
        <v>2</v>
      </c>
      <c r="J358" t="inlineStr">
        <is>
          <t>Bueiros</t>
        </is>
      </c>
      <c r="K358" t="inlineStr">
        <is>
          <t>2.11</t>
        </is>
      </c>
      <c r="L358" t="inlineStr">
        <is>
          <t>PF</t>
        </is>
      </c>
      <c r="M358" t="inlineStr">
        <is>
          <t>Dispositivo não executado</t>
        </is>
      </c>
      <c r="N358" t="inlineStr">
        <is>
          <t>Não executado</t>
        </is>
      </c>
      <c r="O358" t="inlineStr">
        <is>
          <t>Tipo A</t>
        </is>
      </c>
      <c r="P358" t="inlineStr">
        <is>
          <t xml:space="preserve"> 46+574</t>
        </is>
      </c>
      <c r="Q358" t="inlineStr">
        <is>
          <t xml:space="preserve"> 46+574</t>
        </is>
      </c>
      <c r="R358" t="inlineStr">
        <is>
          <t>Aberta</t>
        </is>
      </c>
      <c r="T358" t="inlineStr">
        <is>
          <t>Aline Batista</t>
        </is>
      </c>
      <c r="U358" t="inlineStr">
        <is>
          <t>24/04/2026</t>
        </is>
      </c>
      <c r="V358" t="inlineStr">
        <is>
          <t>01/05/2026</t>
        </is>
      </c>
      <c r="W358">
        <v>40</v>
      </c>
      <c r="AA358" t="inlineStr">
        <is>
          <t>Aberta 30-60 dias</t>
        </is>
      </c>
      <c r="AB358" t="inlineStr">
        <is>
          <t>ATERPA</t>
        </is>
      </c>
    </row>
    <row r="359">
      <c r="A359">
        <v>357</v>
      </c>
      <c r="B359">
        <v>2</v>
      </c>
      <c r="C359" t="inlineStr">
        <is>
          <t>1.5</t>
        </is>
      </c>
      <c r="D359" t="inlineStr">
        <is>
          <t>A11</t>
        </is>
      </c>
      <c r="E359" t="inlineStr">
        <is>
          <t>LE/LD</t>
        </is>
      </c>
      <c r="F359" t="inlineStr">
        <is>
          <t>ATERPA</t>
        </is>
      </c>
      <c r="G359" t="inlineStr">
        <is>
          <t>CLP-011</t>
        </is>
      </c>
      <c r="H359" t="inlineStr">
        <is>
          <t>Protocolo</t>
        </is>
      </c>
      <c r="I359">
        <v>2</v>
      </c>
      <c r="J359" t="inlineStr">
        <is>
          <t>Bueiros</t>
        </is>
      </c>
      <c r="K359" t="inlineStr">
        <is>
          <t xml:space="preserve">2.11 </t>
        </is>
      </c>
      <c r="L359" t="inlineStr">
        <is>
          <t>TSS</t>
        </is>
      </c>
      <c r="M359" t="inlineStr">
        <is>
          <t>Dispositivo descalçado</t>
        </is>
      </c>
      <c r="N359" t="inlineStr">
        <is>
          <t>TSS Descalçada, Assoreada</t>
        </is>
      </c>
      <c r="O359" t="inlineStr">
        <is>
          <t>Tipo A</t>
        </is>
      </c>
      <c r="P359" t="inlineStr">
        <is>
          <t xml:space="preserve"> 53+040</t>
        </is>
      </c>
      <c r="Q359" t="inlineStr">
        <is>
          <t xml:space="preserve"> 53+040</t>
        </is>
      </c>
      <c r="R359" t="inlineStr">
        <is>
          <t>Aberta</t>
        </is>
      </c>
      <c r="T359" t="inlineStr">
        <is>
          <t>Aline Batista</t>
        </is>
      </c>
      <c r="U359" t="inlineStr">
        <is>
          <t>24/04/2026</t>
        </is>
      </c>
      <c r="V359" t="inlineStr">
        <is>
          <t>01/05/2026</t>
        </is>
      </c>
      <c r="W359">
        <v>40</v>
      </c>
      <c r="AA359" t="inlineStr">
        <is>
          <t>Aberta 30-60 dias</t>
        </is>
      </c>
    </row>
    <row r="360">
      <c r="A360">
        <v>358</v>
      </c>
      <c r="B360">
        <v>2</v>
      </c>
      <c r="C360" t="inlineStr">
        <is>
          <t>1.5</t>
        </is>
      </c>
      <c r="D360" t="inlineStr">
        <is>
          <t>A12</t>
        </is>
      </c>
      <c r="E360" t="inlineStr">
        <is>
          <t>LE/LD</t>
        </is>
      </c>
      <c r="F360" t="inlineStr">
        <is>
          <t>ATERPA</t>
        </is>
      </c>
      <c r="G360" t="inlineStr">
        <is>
          <t>CLP-011</t>
        </is>
      </c>
      <c r="H360" t="inlineStr">
        <is>
          <t>Protocolo</t>
        </is>
      </c>
      <c r="I360">
        <v>2</v>
      </c>
      <c r="J360" t="inlineStr">
        <is>
          <t>Bueiros</t>
        </is>
      </c>
      <c r="K360" t="inlineStr">
        <is>
          <t>2.11</t>
        </is>
      </c>
      <c r="L360" t="inlineStr">
        <is>
          <t>TSS</t>
        </is>
      </c>
      <c r="M360" t="inlineStr">
        <is>
          <t>Desnível</t>
        </is>
      </c>
      <c r="N360" t="inlineStr">
        <is>
          <t>Diferença De Nível Ente O Piso Da Ala e TSS, Que Impede A Passagem De Veículos</t>
        </is>
      </c>
      <c r="O360" t="inlineStr">
        <is>
          <t>Tipo A</t>
        </is>
      </c>
      <c r="P360" t="inlineStr">
        <is>
          <t xml:space="preserve"> 54+410</t>
        </is>
      </c>
      <c r="Q360" t="inlineStr">
        <is>
          <t xml:space="preserve"> 54+410</t>
        </is>
      </c>
      <c r="R360" t="inlineStr">
        <is>
          <t>Aberta</t>
        </is>
      </c>
      <c r="T360" t="inlineStr">
        <is>
          <t>Aline Batista</t>
        </is>
      </c>
      <c r="U360" t="inlineStr">
        <is>
          <t>24/04/2026</t>
        </is>
      </c>
      <c r="V360" t="inlineStr">
        <is>
          <t>01/05/2026</t>
        </is>
      </c>
      <c r="W360">
        <v>40</v>
      </c>
      <c r="AA360" t="inlineStr">
        <is>
          <t>Aberta 30-60 dias</t>
        </is>
      </c>
    </row>
    <row r="361">
      <c r="A361">
        <v>359</v>
      </c>
      <c r="B361">
        <v>2</v>
      </c>
      <c r="C361" t="inlineStr">
        <is>
          <t>1.5</t>
        </is>
      </c>
      <c r="D361" t="inlineStr">
        <is>
          <t>C02</t>
        </is>
      </c>
      <c r="E361" t="inlineStr">
        <is>
          <t>LE/LD</t>
        </is>
      </c>
      <c r="F361" t="inlineStr">
        <is>
          <t>ATERPA</t>
        </is>
      </c>
      <c r="G361" t="inlineStr">
        <is>
          <t>CLP-011</t>
        </is>
      </c>
      <c r="H361" t="inlineStr">
        <is>
          <t>Fiscalização</t>
        </is>
      </c>
      <c r="I361">
        <v>2</v>
      </c>
      <c r="J361" t="inlineStr">
        <is>
          <t>Bueiros</t>
        </is>
      </c>
      <c r="K361" t="inlineStr">
        <is>
          <t xml:space="preserve">2.12 </t>
        </is>
      </c>
      <c r="L361" t="inlineStr">
        <is>
          <t>DEB-07</t>
        </is>
      </c>
      <c r="M361" t="inlineStr">
        <is>
          <t>Obstrução do dispositivo</t>
        </is>
      </c>
      <c r="N361" t="inlineStr">
        <is>
          <t xml:space="preserve">Jusante da OAC com acúmulo de sedimento impossibilitando identificar a execução do DEB-07.
</t>
        </is>
      </c>
      <c r="O361" t="inlineStr">
        <is>
          <t>Tipo A</t>
        </is>
      </c>
      <c r="P361" t="inlineStr">
        <is>
          <t>47+730</t>
        </is>
      </c>
      <c r="Q361" t="inlineStr">
        <is>
          <t>47+730</t>
        </is>
      </c>
      <c r="R361" t="inlineStr">
        <is>
          <t>Aberta</t>
        </is>
      </c>
      <c r="T361" t="inlineStr">
        <is>
          <t>Aline Batista</t>
        </is>
      </c>
      <c r="U361" t="inlineStr">
        <is>
          <t>24/04/2026</t>
        </is>
      </c>
      <c r="V361" t="inlineStr">
        <is>
          <t>01/05/2026</t>
        </is>
      </c>
      <c r="W361">
        <v>40</v>
      </c>
      <c r="AA361" t="inlineStr">
        <is>
          <t>Aberta 30-60 dias</t>
        </is>
      </c>
    </row>
    <row r="362">
      <c r="A362">
        <v>360</v>
      </c>
      <c r="B362">
        <v>2</v>
      </c>
      <c r="C362" t="inlineStr">
        <is>
          <t>1.5</t>
        </is>
      </c>
      <c r="D362" t="inlineStr">
        <is>
          <t>A04</t>
        </is>
      </c>
      <c r="E362" t="inlineStr">
        <is>
          <t>LE/LD</t>
        </is>
      </c>
      <c r="F362" t="inlineStr">
        <is>
          <t>ATERPA</t>
        </is>
      </c>
      <c r="G362" t="inlineStr">
        <is>
          <t>CLP-011</t>
        </is>
      </c>
      <c r="H362" t="inlineStr">
        <is>
          <t>Fiscalização</t>
        </is>
      </c>
      <c r="I362">
        <v>2</v>
      </c>
      <c r="J362" t="inlineStr">
        <is>
          <t>Bueiros</t>
        </is>
      </c>
      <c r="K362" t="inlineStr">
        <is>
          <t xml:space="preserve">2.12 </t>
        </is>
      </c>
      <c r="L362" t="inlineStr">
        <is>
          <t xml:space="preserve"> DBSCC-05</t>
        </is>
      </c>
      <c r="M362" t="inlineStr">
        <is>
          <t>Obstrução do dispositivo</t>
        </is>
      </c>
      <c r="N362" t="inlineStr">
        <is>
          <t xml:space="preserve">Jusante da OAC com acúmulo de água impossibilitando identificar a execução do DBSCC-05.
</t>
        </is>
      </c>
      <c r="O362" t="inlineStr">
        <is>
          <t>Tipo A</t>
        </is>
      </c>
      <c r="P362" t="inlineStr">
        <is>
          <t>48+918</t>
        </is>
      </c>
      <c r="Q362" t="inlineStr">
        <is>
          <t>48+918</t>
        </is>
      </c>
      <c r="R362" t="inlineStr">
        <is>
          <t>Aberta</t>
        </is>
      </c>
      <c r="T362" t="inlineStr">
        <is>
          <t>Aline Batista</t>
        </is>
      </c>
      <c r="U362" t="inlineStr">
        <is>
          <t>24/04/2026</t>
        </is>
      </c>
      <c r="V362" t="inlineStr">
        <is>
          <t>01/05/2026</t>
        </is>
      </c>
      <c r="W362">
        <v>40</v>
      </c>
      <c r="AA362" t="inlineStr">
        <is>
          <t>Aberta 30-60 dias</t>
        </is>
      </c>
    </row>
    <row r="363">
      <c r="A363">
        <v>361</v>
      </c>
      <c r="B363">
        <v>2</v>
      </c>
      <c r="C363" t="inlineStr">
        <is>
          <t>1.5</t>
        </is>
      </c>
      <c r="D363" t="inlineStr">
        <is>
          <t>A11</t>
        </is>
      </c>
      <c r="E363" t="inlineStr">
        <is>
          <t>LE/LD</t>
        </is>
      </c>
      <c r="F363" t="inlineStr">
        <is>
          <t>ATERPA</t>
        </is>
      </c>
      <c r="G363" t="inlineStr">
        <is>
          <t>CLP-011</t>
        </is>
      </c>
      <c r="H363" t="inlineStr">
        <is>
          <t>Protocolo</t>
        </is>
      </c>
      <c r="I363">
        <v>2</v>
      </c>
      <c r="J363" t="inlineStr">
        <is>
          <t>Bueiros</t>
        </is>
      </c>
      <c r="K363" t="inlineStr">
        <is>
          <t xml:space="preserve">2.12 </t>
        </is>
      </c>
      <c r="L363" t="inlineStr">
        <is>
          <t>DBSCC-02</t>
        </is>
      </c>
      <c r="M363" t="inlineStr">
        <is>
          <t>Obstrução do dispositivo</t>
        </is>
      </c>
      <c r="N363" t="inlineStr">
        <is>
          <t xml:space="preserve">Jusante da OAC com acúmulo de água/sedimentos impossibilitando identificar a execução do DBSCC-02.
</t>
        </is>
      </c>
      <c r="O363" t="inlineStr">
        <is>
          <t>Tipo A</t>
        </is>
      </c>
      <c r="P363" t="inlineStr">
        <is>
          <t>52+572</t>
        </is>
      </c>
      <c r="Q363" t="inlineStr">
        <is>
          <t>52+572</t>
        </is>
      </c>
      <c r="R363" t="inlineStr">
        <is>
          <t>Aberta</t>
        </is>
      </c>
      <c r="T363" t="inlineStr">
        <is>
          <t>Aline Batista</t>
        </is>
      </c>
      <c r="U363" t="inlineStr">
        <is>
          <t>24/04/2026</t>
        </is>
      </c>
      <c r="V363" t="inlineStr">
        <is>
          <t>01/05/2026</t>
        </is>
      </c>
      <c r="W363">
        <v>40</v>
      </c>
      <c r="AA363" t="inlineStr">
        <is>
          <t>Aberta 30-60 dias</t>
        </is>
      </c>
    </row>
    <row r="364">
      <c r="A364">
        <v>362</v>
      </c>
      <c r="B364">
        <v>2</v>
      </c>
      <c r="C364" t="inlineStr">
        <is>
          <t>1.5</t>
        </is>
      </c>
      <c r="D364" t="inlineStr">
        <is>
          <t>A11</t>
        </is>
      </c>
      <c r="E364" t="inlineStr">
        <is>
          <t>LE/LD</t>
        </is>
      </c>
      <c r="F364" t="inlineStr">
        <is>
          <t>ATERPA</t>
        </is>
      </c>
      <c r="G364" t="inlineStr">
        <is>
          <t>CLP-011</t>
        </is>
      </c>
      <c r="H364" t="inlineStr">
        <is>
          <t>Protocolo</t>
        </is>
      </c>
      <c r="I364">
        <v>2</v>
      </c>
      <c r="J364" t="inlineStr">
        <is>
          <t>Bueiros</t>
        </is>
      </c>
      <c r="K364" t="inlineStr">
        <is>
          <t xml:space="preserve">2.12 </t>
        </is>
      </c>
      <c r="L364" t="inlineStr">
        <is>
          <t>DBSCC-09</t>
        </is>
      </c>
      <c r="M364" t="inlineStr">
        <is>
          <t>Obstrução do dispositivo</t>
        </is>
      </c>
      <c r="N364" t="inlineStr">
        <is>
          <t xml:space="preserve">Jusante da OAC com acúmulo de água/sedimentos impossibilitando identificar a execução do DBSCC-09.
</t>
        </is>
      </c>
      <c r="O364" t="inlineStr">
        <is>
          <t>Tipo A</t>
        </is>
      </c>
      <c r="P364" t="inlineStr">
        <is>
          <t>52+844</t>
        </is>
      </c>
      <c r="Q364" t="inlineStr">
        <is>
          <t>52+844</t>
        </is>
      </c>
      <c r="R364" t="inlineStr">
        <is>
          <t>Aberta</t>
        </is>
      </c>
      <c r="T364" t="inlineStr">
        <is>
          <t>Aline Batista</t>
        </is>
      </c>
      <c r="U364" t="inlineStr">
        <is>
          <t>24/04/2026</t>
        </is>
      </c>
      <c r="V364" t="inlineStr">
        <is>
          <t>01/05/2026</t>
        </is>
      </c>
      <c r="W364">
        <v>40</v>
      </c>
      <c r="AA364" t="inlineStr">
        <is>
          <t>Aberta 30-60 dias</t>
        </is>
      </c>
    </row>
    <row r="365">
      <c r="A365">
        <v>363</v>
      </c>
      <c r="B365">
        <v>2</v>
      </c>
      <c r="C365" t="inlineStr">
        <is>
          <t>1.5</t>
        </is>
      </c>
      <c r="D365" t="inlineStr">
        <is>
          <t>A04</t>
        </is>
      </c>
      <c r="E365" t="inlineStr">
        <is>
          <t>LE/LD</t>
        </is>
      </c>
      <c r="F365" t="inlineStr">
        <is>
          <t>ATERPA</t>
        </is>
      </c>
      <c r="G365" t="inlineStr">
        <is>
          <t>CLP-011</t>
        </is>
      </c>
      <c r="H365" t="inlineStr">
        <is>
          <t>Fiscalização</t>
        </is>
      </c>
      <c r="I365">
        <v>2</v>
      </c>
      <c r="J365" t="inlineStr">
        <is>
          <t>Bueiros</t>
        </is>
      </c>
      <c r="K365" t="inlineStr">
        <is>
          <t>2.11</t>
        </is>
      </c>
      <c r="L365" t="inlineStr">
        <is>
          <t>Bueiro</t>
        </is>
      </c>
      <c r="M365" t="inlineStr">
        <is>
          <t>Obstrução do dispositivo</t>
        </is>
      </c>
      <c r="N365" t="inlineStr">
        <is>
          <t>Bueiro obstruído.</t>
        </is>
      </c>
      <c r="O365" t="inlineStr">
        <is>
          <t>Tipo A</t>
        </is>
      </c>
      <c r="P365" t="inlineStr">
        <is>
          <t xml:space="preserve"> 48+160 </t>
        </is>
      </c>
      <c r="Q365" t="inlineStr">
        <is>
          <t xml:space="preserve">49+160 </t>
        </is>
      </c>
      <c r="R365" t="inlineStr">
        <is>
          <t>Aberta</t>
        </is>
      </c>
      <c r="T365" t="inlineStr">
        <is>
          <t>Aline Batista</t>
        </is>
      </c>
      <c r="U365" t="inlineStr">
        <is>
          <t>24/04/2026</t>
        </is>
      </c>
      <c r="V365" t="inlineStr">
        <is>
          <t>01/05/2026</t>
        </is>
      </c>
      <c r="W365">
        <v>40</v>
      </c>
      <c r="AA365" t="inlineStr">
        <is>
          <t>Aberta 30-60 dias</t>
        </is>
      </c>
    </row>
    <row r="366">
      <c r="A366">
        <v>364</v>
      </c>
      <c r="B366">
        <v>2</v>
      </c>
      <c r="C366" t="inlineStr">
        <is>
          <t>1.5</t>
        </is>
      </c>
      <c r="D366" t="inlineStr">
        <is>
          <t>A04</t>
        </is>
      </c>
      <c r="E366" t="inlineStr">
        <is>
          <t>LE/LD</t>
        </is>
      </c>
      <c r="F366" t="inlineStr">
        <is>
          <t>ATERPA</t>
        </is>
      </c>
      <c r="G366" t="inlineStr">
        <is>
          <t>CLP-011</t>
        </is>
      </c>
      <c r="H366" t="inlineStr">
        <is>
          <t>Fiscalização</t>
        </is>
      </c>
      <c r="I366">
        <v>2</v>
      </c>
      <c r="J366" t="inlineStr">
        <is>
          <t>Bueiros</t>
        </is>
      </c>
      <c r="K366" t="inlineStr">
        <is>
          <t>2.11</t>
        </is>
      </c>
      <c r="L366" t="inlineStr">
        <is>
          <t>Bueiro</t>
        </is>
      </c>
      <c r="M366" t="inlineStr">
        <is>
          <t>Obstrução do dispositivo</t>
        </is>
      </c>
      <c r="N366" t="inlineStr">
        <is>
          <t>Bueiro triplo com obstrução parcial.</t>
        </is>
      </c>
      <c r="O366" t="inlineStr">
        <is>
          <t>Tipo A</t>
        </is>
      </c>
      <c r="P366" t="inlineStr">
        <is>
          <t xml:space="preserve"> 48+600</t>
        </is>
      </c>
      <c r="Q366" t="inlineStr">
        <is>
          <t xml:space="preserve"> 48+600</t>
        </is>
      </c>
      <c r="R366" t="inlineStr">
        <is>
          <t>Aberta</t>
        </is>
      </c>
      <c r="T366" t="inlineStr">
        <is>
          <t>Aline Batista</t>
        </is>
      </c>
      <c r="U366" t="inlineStr">
        <is>
          <t>24/04/2026</t>
        </is>
      </c>
      <c r="V366" t="inlineStr">
        <is>
          <t>01/05/2026</t>
        </is>
      </c>
      <c r="W366">
        <v>40</v>
      </c>
      <c r="AA366" t="inlineStr">
        <is>
          <t>Aberta 30-60 dias</t>
        </is>
      </c>
    </row>
    <row r="367">
      <c r="A367">
        <v>365</v>
      </c>
      <c r="B367">
        <v>2</v>
      </c>
      <c r="C367" t="inlineStr">
        <is>
          <t>1.5</t>
        </is>
      </c>
      <c r="D367" t="inlineStr">
        <is>
          <t>A14</t>
        </is>
      </c>
      <c r="E367" t="inlineStr">
        <is>
          <t>LE/LD</t>
        </is>
      </c>
      <c r="F367" t="inlineStr">
        <is>
          <t>ATERPA</t>
        </is>
      </c>
      <c r="G367" t="inlineStr">
        <is>
          <t>CLP-011</t>
        </is>
      </c>
      <c r="H367" t="inlineStr">
        <is>
          <t>Protocolo</t>
        </is>
      </c>
      <c r="I367">
        <v>2</v>
      </c>
      <c r="J367" t="inlineStr">
        <is>
          <t>Bueiros</t>
        </is>
      </c>
      <c r="K367" t="inlineStr">
        <is>
          <t>2.11</t>
        </is>
      </c>
      <c r="L367" t="inlineStr">
        <is>
          <t>(PG)Passagem de Gado</t>
        </is>
      </c>
      <c r="M367" t="inlineStr">
        <is>
          <t>Obstrução do dispositivo</t>
        </is>
      </c>
      <c r="N367" t="inlineStr">
        <is>
          <t>Passagem de gado obstruída; falta de placas sobre a drenagem.</t>
        </is>
      </c>
      <c r="O367" t="inlineStr">
        <is>
          <t>Tipo A</t>
        </is>
      </c>
      <c r="P367" t="inlineStr">
        <is>
          <t xml:space="preserve">49+085 </t>
        </is>
      </c>
      <c r="Q367" t="inlineStr">
        <is>
          <t xml:space="preserve">49+085 </t>
        </is>
      </c>
      <c r="R367" t="inlineStr">
        <is>
          <t>Aberta</t>
        </is>
      </c>
      <c r="T367" t="inlineStr">
        <is>
          <t>Aline Batista</t>
        </is>
      </c>
      <c r="U367" t="inlineStr">
        <is>
          <t>24/04/2026</t>
        </is>
      </c>
      <c r="V367" t="inlineStr">
        <is>
          <t>01/05/2026</t>
        </is>
      </c>
      <c r="W367">
        <v>40</v>
      </c>
      <c r="AA367" t="inlineStr">
        <is>
          <t>Aberta 30-60 dias</t>
        </is>
      </c>
    </row>
    <row r="368">
      <c r="A368">
        <v>366</v>
      </c>
      <c r="B368">
        <v>2</v>
      </c>
      <c r="C368" t="inlineStr">
        <is>
          <t>1.5</t>
        </is>
      </c>
      <c r="D368" t="inlineStr">
        <is>
          <t>A12</t>
        </is>
      </c>
      <c r="E368" t="inlineStr">
        <is>
          <t>LE/LD</t>
        </is>
      </c>
      <c r="F368" t="inlineStr">
        <is>
          <t>ATERPA</t>
        </is>
      </c>
      <c r="G368" t="inlineStr">
        <is>
          <t>CLP-011</t>
        </is>
      </c>
      <c r="H368" t="inlineStr">
        <is>
          <t>Fiscalização</t>
        </is>
      </c>
      <c r="I368">
        <v>2</v>
      </c>
      <c r="J368" t="inlineStr">
        <is>
          <t>Bueiros</t>
        </is>
      </c>
      <c r="K368" t="inlineStr">
        <is>
          <t xml:space="preserve">2.11 </t>
        </is>
      </c>
      <c r="L368" t="inlineStr">
        <is>
          <t>Bueiro</t>
        </is>
      </c>
      <c r="M368" t="inlineStr">
        <is>
          <t>Obstrução do dispositivo</t>
        </is>
      </c>
      <c r="N368" t="inlineStr">
        <is>
          <t>Bueiro assoreado com carreamento de material para fora da faixa.</t>
        </is>
      </c>
      <c r="O368" t="inlineStr">
        <is>
          <t>Tipo A</t>
        </is>
      </c>
      <c r="P368" t="inlineStr">
        <is>
          <t xml:space="preserve"> 54+683</t>
        </is>
      </c>
      <c r="Q368" t="inlineStr">
        <is>
          <t xml:space="preserve"> 54+683</t>
        </is>
      </c>
      <c r="R368" t="inlineStr">
        <is>
          <t>Aberta</t>
        </is>
      </c>
      <c r="T368" t="inlineStr">
        <is>
          <t>Aline Batista</t>
        </is>
      </c>
      <c r="U368" t="inlineStr">
        <is>
          <t>24/04/2026</t>
        </is>
      </c>
      <c r="V368" t="inlineStr">
        <is>
          <t>01/05/2026</t>
        </is>
      </c>
      <c r="W368">
        <v>40</v>
      </c>
      <c r="AA368" t="inlineStr">
        <is>
          <t>Aberta 30-60 dias</t>
        </is>
      </c>
    </row>
    <row r="369">
      <c r="A369">
        <v>367</v>
      </c>
      <c r="B369">
        <v>2</v>
      </c>
      <c r="C369" t="inlineStr">
        <is>
          <t>1.5</t>
        </is>
      </c>
      <c r="D369" t="inlineStr">
        <is>
          <t>A12</t>
        </is>
      </c>
      <c r="E369" t="inlineStr">
        <is>
          <t>LE/LD</t>
        </is>
      </c>
      <c r="F369" t="inlineStr">
        <is>
          <t>ATERPA</t>
        </is>
      </c>
      <c r="G369" t="inlineStr">
        <is>
          <t>CLP-011</t>
        </is>
      </c>
      <c r="H369" t="inlineStr">
        <is>
          <t>Fiscalização</t>
        </is>
      </c>
      <c r="I369">
        <v>2</v>
      </c>
      <c r="J369" t="inlineStr">
        <is>
          <t>Bueiros</t>
        </is>
      </c>
      <c r="K369" t="inlineStr">
        <is>
          <t>2.11</t>
        </is>
      </c>
      <c r="L369" t="inlineStr">
        <is>
          <t>(PG)Passagem de Gado</t>
        </is>
      </c>
      <c r="M369" t="inlineStr">
        <is>
          <t>Obstrução do dispositivo</t>
        </is>
      </c>
      <c r="N369" t="inlineStr">
        <is>
          <t>Passagem de gado obstruída.</t>
        </is>
      </c>
      <c r="O369" t="inlineStr">
        <is>
          <t>Tipo A</t>
        </is>
      </c>
      <c r="P369" t="inlineStr">
        <is>
          <t>54+984</t>
        </is>
      </c>
      <c r="Q369" t="inlineStr">
        <is>
          <t>54+984</t>
        </is>
      </c>
      <c r="R369" t="inlineStr">
        <is>
          <t>Aberta</t>
        </is>
      </c>
      <c r="T369" t="inlineStr">
        <is>
          <t>Aline Batista</t>
        </is>
      </c>
      <c r="U369" t="inlineStr">
        <is>
          <t>24/04/2026</t>
        </is>
      </c>
      <c r="V369" t="inlineStr">
        <is>
          <t>01/05/2026</t>
        </is>
      </c>
      <c r="W369">
        <v>40</v>
      </c>
      <c r="AA369" t="inlineStr">
        <is>
          <t>Aberta 30-60 dias</t>
        </is>
      </c>
    </row>
    <row r="370">
      <c r="A370">
        <v>368</v>
      </c>
      <c r="B370">
        <v>2</v>
      </c>
      <c r="C370" t="inlineStr">
        <is>
          <t>1.5</t>
        </is>
      </c>
      <c r="D370" t="inlineStr">
        <is>
          <t>A12</t>
        </is>
      </c>
      <c r="E370" t="inlineStr">
        <is>
          <t>LE/LD</t>
        </is>
      </c>
      <c r="F370" t="inlineStr">
        <is>
          <t>ATERPA</t>
        </is>
      </c>
      <c r="G370" t="inlineStr">
        <is>
          <t>CLP-011</t>
        </is>
      </c>
      <c r="H370" t="inlineStr">
        <is>
          <t>Protocolo</t>
        </is>
      </c>
      <c r="I370">
        <v>2</v>
      </c>
      <c r="J370" t="inlineStr">
        <is>
          <t>Bueiros</t>
        </is>
      </c>
      <c r="K370" t="inlineStr">
        <is>
          <t xml:space="preserve">2.12 </t>
        </is>
      </c>
      <c r="L370" t="inlineStr">
        <is>
          <t>DBDCC-10</t>
        </is>
      </c>
      <c r="M370" t="inlineStr">
        <is>
          <t>Obstrução do dispositivo</t>
        </is>
      </c>
      <c r="N370" t="inlineStr">
        <is>
          <t xml:space="preserve">Jusante da OAC com acúmulo de água impossibilitando identificar a execução do DBDCC-10. </t>
        </is>
      </c>
      <c r="O370" t="inlineStr">
        <is>
          <t>Tipo A</t>
        </is>
      </c>
      <c r="P370" t="inlineStr">
        <is>
          <t>54+683</t>
        </is>
      </c>
      <c r="Q370" t="inlineStr">
        <is>
          <t>54+683</t>
        </is>
      </c>
      <c r="R370" t="inlineStr">
        <is>
          <t>Aberta</t>
        </is>
      </c>
      <c r="T370" t="inlineStr">
        <is>
          <t>Aline Batista</t>
        </is>
      </c>
      <c r="U370" t="inlineStr">
        <is>
          <t>24/04/2026</t>
        </is>
      </c>
      <c r="V370" t="inlineStr">
        <is>
          <t>01/05/2026</t>
        </is>
      </c>
      <c r="W370">
        <v>40</v>
      </c>
      <c r="AA370" t="inlineStr">
        <is>
          <t>Aberta 30-60 dias</t>
        </is>
      </c>
    </row>
    <row r="371">
      <c r="A371">
        <v>369</v>
      </c>
      <c r="B371">
        <v>2</v>
      </c>
      <c r="C371" t="inlineStr">
        <is>
          <t>1.5</t>
        </is>
      </c>
      <c r="D371" t="inlineStr">
        <is>
          <t>Geral</t>
        </is>
      </c>
      <c r="E371" t="inlineStr">
        <is>
          <t>LD/LE</t>
        </is>
      </c>
      <c r="F371" t="inlineStr">
        <is>
          <t>ATERPA</t>
        </is>
      </c>
      <c r="G371" t="inlineStr">
        <is>
          <t>CLP-011</t>
        </is>
      </c>
      <c r="H371" t="inlineStr">
        <is>
          <t>Protocolo</t>
        </is>
      </c>
      <c r="I371">
        <v>4</v>
      </c>
      <c r="J371" t="inlineStr">
        <is>
          <t>Terraplenagem</t>
        </is>
      </c>
      <c r="K371" t="inlineStr">
        <is>
          <t>4.13</t>
        </is>
      </c>
      <c r="L371" t="inlineStr">
        <is>
          <t>Ensaios</t>
        </is>
      </c>
      <c r="M371" t="inlineStr">
        <is>
          <t>Documental</t>
        </is>
      </c>
      <c r="N371" t="inlineStr">
        <is>
          <t xml:space="preserve">Resumo Estatístico De Ensaios In Situ – Segmentos 1.5  (Km 46+240+000 Ao Km 55+230)
Registro 0236-S – Km 46+300 (2ª Camada Ca): Número De Furos Inferior Ao Especificado.
Registro 0176-S – Km 46+260 (1ª Camada Ca): Número De Furos Inferior Ao Especificado.
Registro 0177-S – Km 48+280 (2ª Camada Ca): Número De Furos Inferior Ao Especificado.
Registro 01192-S – Km 48+300 (1ª Camada Ca): Número De Furos Inferior Ao Especificado.
Registro 0220-S – Km 48+310 (1ª Camada Ca): Número De Furos Inferior Ao Especificado.
Registro 10186-S – Km 48+310 (2ª Camada Ca): Número De Furos Inferior Ao Especificado.
Registro 0220-S – Km 48+340 (2ª Camada Ca): Número De Furos Inferior Ao Especificado.
Registro 0226-S – Km 48+350 (3ª Camada Ca): Número De Furos Inferior Ao Especificado.
Registro 0214-S – Km 48+400 (2ª Camada Ca): Número De Furos Inferior Ao Especificado.
Registro 0225-S – Km 48+380 (4ª Camada Ca): Número De Furos Inferior Ao Especificado.
Registro 10189-S – Km 48+310 (5ª Camada Ca): Número De Furos Inferior Ao Especificado.
Registro 0245-S – Km 48+400 (6ª Camada Ca): Número De Furos Inferior Ao Especificado.
Registro 3071-S – Km 54+820 A 54+900 (11ª Camada Ca): Número De Furos Inferior Ao Especificado.
Registro 4732-S – Km 54+700 A 54+800 (21ª Camada Ca): Número De Furos Inferior Ao Especificado.
Registro 4698-S – Km 54+720 A 54+820 (19ª Camada Ca): Número De Furos Inferior Ao Especificado.
Registro 4767-S – Km 54+820 A 54+900 (14ª Camada Ca): Número De Furos Inferior Ao Especificado.
Registro 4779-S – Km 54+700 A 54+800 (24ª Camada Ca): Número De Furos Inferior Ao Especificado.
 </t>
        </is>
      </c>
      <c r="O371" t="inlineStr">
        <is>
          <t>Tipo B</t>
        </is>
      </c>
      <c r="P371" t="inlineStr">
        <is>
          <t>46+240</t>
        </is>
      </c>
      <c r="Q371" t="inlineStr">
        <is>
          <t xml:space="preserve"> 55+230 </t>
        </is>
      </c>
      <c r="R371" t="inlineStr">
        <is>
          <t>Aberta</t>
        </is>
      </c>
      <c r="T371" t="inlineStr">
        <is>
          <t>Aline Batista</t>
        </is>
      </c>
      <c r="U371" t="inlineStr">
        <is>
          <t>24/04/2026</t>
        </is>
      </c>
      <c r="V371" t="inlineStr">
        <is>
          <t>09/05/2026</t>
        </is>
      </c>
      <c r="W371">
        <v>32</v>
      </c>
      <c r="AA371" t="inlineStr">
        <is>
          <t>Aberta 30-60 dias</t>
        </is>
      </c>
      <c r="AB371" t="inlineStr">
        <is>
          <t>ATERPA</t>
        </is>
      </c>
    </row>
    <row r="372">
      <c r="A372">
        <v>370</v>
      </c>
      <c r="B372">
        <v>2</v>
      </c>
      <c r="C372" t="inlineStr">
        <is>
          <t>1.5</t>
        </is>
      </c>
      <c r="D372" t="inlineStr">
        <is>
          <t>A01</t>
        </is>
      </c>
      <c r="E372" t="inlineStr">
        <is>
          <t>LD/LE</t>
        </is>
      </c>
      <c r="F372" t="inlineStr">
        <is>
          <t>ATERPA</t>
        </is>
      </c>
      <c r="G372" t="inlineStr">
        <is>
          <t>CLP-011</t>
        </is>
      </c>
      <c r="H372" t="inlineStr">
        <is>
          <t>Protocolo</t>
        </is>
      </c>
      <c r="I372">
        <v>4</v>
      </c>
      <c r="J372" t="inlineStr">
        <is>
          <t>Terraplenagem</t>
        </is>
      </c>
      <c r="K372" t="inlineStr">
        <is>
          <t>4.25</t>
        </is>
      </c>
      <c r="L372" t="inlineStr">
        <is>
          <t>Talude</t>
        </is>
      </c>
      <c r="M372" t="inlineStr">
        <is>
          <t>Limpeza/ remoção de material</t>
        </is>
      </c>
      <c r="N372" t="inlineStr">
        <is>
          <t>Área Com Solo Exposto Próximo À Ponte</t>
        </is>
      </c>
      <c r="O372" t="inlineStr">
        <is>
          <t>Tipo A</t>
        </is>
      </c>
      <c r="P372" t="inlineStr">
        <is>
          <t>46+200</t>
        </is>
      </c>
      <c r="Q372" t="inlineStr">
        <is>
          <t>46+200</t>
        </is>
      </c>
      <c r="R372" t="inlineStr">
        <is>
          <t>Aberta</t>
        </is>
      </c>
      <c r="T372" t="inlineStr">
        <is>
          <t>Aline Batista</t>
        </is>
      </c>
      <c r="U372" t="inlineStr">
        <is>
          <t>24/04/2026</t>
        </is>
      </c>
      <c r="V372" t="inlineStr">
        <is>
          <t>01/05/2026</t>
        </is>
      </c>
      <c r="W372">
        <v>40</v>
      </c>
      <c r="AA372" t="inlineStr">
        <is>
          <t>Aberta 30-60 dias</t>
        </is>
      </c>
      <c r="AB372" t="inlineStr">
        <is>
          <t>GSA</t>
        </is>
      </c>
    </row>
    <row r="373">
      <c r="A373">
        <v>371</v>
      </c>
      <c r="B373">
        <v>2</v>
      </c>
      <c r="C373" t="inlineStr">
        <is>
          <t>1.5</t>
        </is>
      </c>
      <c r="D373" t="inlineStr">
        <is>
          <t>Geral</t>
        </is>
      </c>
      <c r="E373" t="inlineStr">
        <is>
          <t>LD/LE</t>
        </is>
      </c>
      <c r="F373" t="inlineStr">
        <is>
          <t>ATERPA</t>
        </is>
      </c>
      <c r="G373" t="inlineStr">
        <is>
          <t>CLP-011</t>
        </is>
      </c>
      <c r="H373" t="inlineStr">
        <is>
          <t>Protocolo</t>
        </is>
      </c>
      <c r="I373">
        <v>4</v>
      </c>
      <c r="J373" t="inlineStr">
        <is>
          <t>Terraplenagem</t>
        </is>
      </c>
      <c r="K373" t="inlineStr">
        <is>
          <t>4.29</t>
        </is>
      </c>
      <c r="L373" t="inlineStr">
        <is>
          <t>Sublastro</t>
        </is>
      </c>
      <c r="M373" t="inlineStr">
        <is>
          <t>Plano cotado não aprovado</t>
        </is>
      </c>
      <c r="N373" t="inlineStr">
        <is>
          <t>Não Apresentado A Aprovação Da Engenharia Para O Plano Cotado</t>
        </is>
      </c>
      <c r="O373" t="inlineStr">
        <is>
          <t>Tipo A</t>
        </is>
      </c>
      <c r="P373" t="inlineStr">
        <is>
          <t>45+400</t>
        </is>
      </c>
      <c r="Q373" t="inlineStr">
        <is>
          <t>55+050</t>
        </is>
      </c>
      <c r="R373" t="inlineStr">
        <is>
          <t>Aberta</t>
        </is>
      </c>
      <c r="T373" t="inlineStr">
        <is>
          <t>Aline Batista</t>
        </is>
      </c>
      <c r="U373" t="inlineStr">
        <is>
          <t>24/04/2026</t>
        </is>
      </c>
      <c r="V373" t="inlineStr">
        <is>
          <t>01/05/2026</t>
        </is>
      </c>
      <c r="W373">
        <v>40</v>
      </c>
      <c r="AA373" t="inlineStr">
        <is>
          <t>Aberta 30-60 dias</t>
        </is>
      </c>
      <c r="AB373" t="inlineStr">
        <is>
          <t>ATERPA</t>
        </is>
      </c>
      <c r="AF373" t="inlineStr">
        <is>
          <t>Dar baixa com SIT do plano cotado do segmento</t>
        </is>
      </c>
    </row>
    <row r="374">
      <c r="A374">
        <v>372</v>
      </c>
      <c r="B374">
        <v>2</v>
      </c>
      <c r="C374" t="inlineStr">
        <is>
          <t>1.5</t>
        </is>
      </c>
      <c r="D374" t="inlineStr">
        <is>
          <t>C02</t>
        </is>
      </c>
      <c r="E374" t="inlineStr">
        <is>
          <t>LD/LE</t>
        </is>
      </c>
      <c r="F374" t="inlineStr">
        <is>
          <t>ATERPA</t>
        </is>
      </c>
      <c r="G374" t="inlineStr">
        <is>
          <t>CLP-011</t>
        </is>
      </c>
      <c r="H374" t="inlineStr">
        <is>
          <t>Protocolo</t>
        </is>
      </c>
      <c r="I374">
        <v>4</v>
      </c>
      <c r="J374" t="inlineStr">
        <is>
          <t>Terraplenagem</t>
        </is>
      </c>
      <c r="K374" t="inlineStr">
        <is>
          <t xml:space="preserve">4.19 </t>
        </is>
      </c>
      <c r="L374" t="inlineStr">
        <is>
          <t>Sublastro</t>
        </is>
      </c>
      <c r="M374" t="inlineStr">
        <is>
          <t>Material Solto</t>
        </is>
      </c>
      <c r="N374" t="inlineStr">
        <is>
          <t>Material Depositado Inadequamente Sobre Sublastro.</t>
        </is>
      </c>
      <c r="O374" t="inlineStr">
        <is>
          <t>Tipo A</t>
        </is>
      </c>
      <c r="P374" t="inlineStr">
        <is>
          <t xml:space="preserve"> 47+350</t>
        </is>
      </c>
      <c r="Q374" t="inlineStr">
        <is>
          <t xml:space="preserve"> 47+350</t>
        </is>
      </c>
      <c r="R374" t="inlineStr">
        <is>
          <t>Aberta</t>
        </is>
      </c>
      <c r="T374" t="inlineStr">
        <is>
          <t>Aline Batista</t>
        </is>
      </c>
      <c r="U374" t="inlineStr">
        <is>
          <t>24/04/2026</t>
        </is>
      </c>
      <c r="V374" t="inlineStr">
        <is>
          <t>01/05/2026</t>
        </is>
      </c>
      <c r="W374">
        <v>40</v>
      </c>
      <c r="AA374" t="inlineStr">
        <is>
          <t>Aberta 30-60 dias</t>
        </is>
      </c>
    </row>
    <row r="375">
      <c r="A375">
        <v>373</v>
      </c>
      <c r="B375">
        <v>2</v>
      </c>
      <c r="C375" t="inlineStr">
        <is>
          <t>1.5</t>
        </is>
      </c>
      <c r="D375" t="inlineStr">
        <is>
          <t>A08</t>
        </is>
      </c>
      <c r="E375" t="inlineStr">
        <is>
          <t>LD/LE</t>
        </is>
      </c>
      <c r="F375" t="inlineStr">
        <is>
          <t>ATERPA</t>
        </is>
      </c>
      <c r="G375" t="inlineStr">
        <is>
          <t>CLP-011</t>
        </is>
      </c>
      <c r="H375" t="inlineStr">
        <is>
          <t>Protocolo</t>
        </is>
      </c>
      <c r="I375">
        <v>4</v>
      </c>
      <c r="J375" t="inlineStr">
        <is>
          <t>Terraplenagem</t>
        </is>
      </c>
      <c r="K375" t="inlineStr">
        <is>
          <t xml:space="preserve">4.19  </t>
        </is>
      </c>
      <c r="L375" t="inlineStr">
        <is>
          <t>Hidrossemeadura</t>
        </is>
      </c>
      <c r="M375" t="inlineStr">
        <is>
          <t>Material Solto</t>
        </is>
      </c>
      <c r="N375" t="inlineStr">
        <is>
          <t>Material Depositado Inadequamente Sobre Hidrossemeadura</t>
        </is>
      </c>
      <c r="O375" t="inlineStr">
        <is>
          <t>Tipo A</t>
        </is>
      </c>
      <c r="P375" t="inlineStr">
        <is>
          <t xml:space="preserve"> 50+100</t>
        </is>
      </c>
      <c r="Q375" t="inlineStr">
        <is>
          <t xml:space="preserve"> 50+100</t>
        </is>
      </c>
      <c r="R375" t="inlineStr">
        <is>
          <t>Aberta</t>
        </is>
      </c>
      <c r="T375" t="inlineStr">
        <is>
          <t>Aline Batista</t>
        </is>
      </c>
      <c r="U375" t="inlineStr">
        <is>
          <t>24/04/2026</t>
        </is>
      </c>
      <c r="V375" t="inlineStr">
        <is>
          <t>01/05/2026</t>
        </is>
      </c>
      <c r="W375">
        <v>40</v>
      </c>
      <c r="AA375" t="inlineStr">
        <is>
          <t>Aberta 30-60 dias</t>
        </is>
      </c>
    </row>
    <row r="376">
      <c r="A376">
        <v>374</v>
      </c>
      <c r="B376">
        <v>2</v>
      </c>
      <c r="C376" t="inlineStr">
        <is>
          <t>1.5</t>
        </is>
      </c>
      <c r="D376" t="inlineStr">
        <is>
          <t>A12</t>
        </is>
      </c>
      <c r="E376" t="inlineStr">
        <is>
          <t>LE/LD</t>
        </is>
      </c>
      <c r="F376" t="inlineStr">
        <is>
          <t>ATERPA</t>
        </is>
      </c>
      <c r="G376" t="inlineStr">
        <is>
          <t>CLP-011</t>
        </is>
      </c>
      <c r="H376" t="inlineStr">
        <is>
          <t>Protocolo</t>
        </is>
      </c>
      <c r="I376">
        <v>4</v>
      </c>
      <c r="J376" t="inlineStr">
        <is>
          <t>Terraplenagem</t>
        </is>
      </c>
      <c r="K376" t="inlineStr">
        <is>
          <t xml:space="preserve">4.19 </t>
        </is>
      </c>
      <c r="L376" t="inlineStr">
        <is>
          <t>Hidrossemeadura</t>
        </is>
      </c>
      <c r="M376" t="inlineStr">
        <is>
          <t>Material Solto</t>
        </is>
      </c>
      <c r="N376" t="inlineStr">
        <is>
          <t>Material Depositado Inadequamente Sobre Hidrossemeadura</t>
        </is>
      </c>
      <c r="O376" t="inlineStr">
        <is>
          <t>Tipo A</t>
        </is>
      </c>
      <c r="P376" t="inlineStr">
        <is>
          <t>54+900</t>
        </is>
      </c>
      <c r="Q376" t="inlineStr">
        <is>
          <t>54+900</t>
        </is>
      </c>
      <c r="R376" t="inlineStr">
        <is>
          <t>Aberta</t>
        </is>
      </c>
      <c r="T376" t="inlineStr">
        <is>
          <t>Aline Batista</t>
        </is>
      </c>
      <c r="U376" t="inlineStr">
        <is>
          <t>24/04/2026</t>
        </is>
      </c>
      <c r="V376" t="inlineStr">
        <is>
          <t>01/05/2026</t>
        </is>
      </c>
      <c r="W376">
        <v>40</v>
      </c>
      <c r="AA376" t="inlineStr">
        <is>
          <t>Aberta 30-60 dias</t>
        </is>
      </c>
    </row>
    <row r="377">
      <c r="A377">
        <v>375</v>
      </c>
      <c r="B377">
        <v>2</v>
      </c>
      <c r="C377" t="inlineStr">
        <is>
          <t>1.5</t>
        </is>
      </c>
      <c r="D377" t="inlineStr">
        <is>
          <t>C04/A06/C08</t>
        </is>
      </c>
      <c r="E377" t="inlineStr">
        <is>
          <t>LD</t>
        </is>
      </c>
      <c r="F377" t="inlineStr">
        <is>
          <t>ATERPA</t>
        </is>
      </c>
      <c r="G377" t="inlineStr">
        <is>
          <t>CLP-011</t>
        </is>
      </c>
      <c r="H377" t="inlineStr">
        <is>
          <t>Protocolo</t>
        </is>
      </c>
      <c r="I377">
        <v>4</v>
      </c>
      <c r="J377" t="inlineStr">
        <is>
          <t>Terraplenagem</t>
        </is>
      </c>
      <c r="K377" t="inlineStr">
        <is>
          <t>4.9</t>
        </is>
      </c>
      <c r="L377" t="inlineStr">
        <is>
          <t>ADME</t>
        </is>
      </c>
      <c r="M377" t="inlineStr">
        <is>
          <t>Revegetação/ Hidrossemeadura</t>
        </is>
      </c>
      <c r="N377" t="inlineStr">
        <is>
          <t>A Adme Está Com Solo Exposto A Hidrossemeadura Sem Germinação</t>
        </is>
      </c>
      <c r="O377" t="inlineStr">
        <is>
          <t>Tipo A</t>
        </is>
      </c>
      <c r="P377" t="inlineStr">
        <is>
          <t>49+600</t>
        </is>
      </c>
      <c r="Q377" t="inlineStr">
        <is>
          <t>51+200</t>
        </is>
      </c>
      <c r="R377" t="inlineStr">
        <is>
          <t>Aberta</t>
        </is>
      </c>
      <c r="T377" t="inlineStr">
        <is>
          <t>Aline Batista</t>
        </is>
      </c>
      <c r="U377" t="inlineStr">
        <is>
          <t>24/04/2026</t>
        </is>
      </c>
      <c r="V377" t="inlineStr">
        <is>
          <t>01/05/2026</t>
        </is>
      </c>
      <c r="W377">
        <v>40</v>
      </c>
      <c r="AA377" t="inlineStr">
        <is>
          <t>Aberta 30-60 dias</t>
        </is>
      </c>
    </row>
    <row r="378">
      <c r="A378">
        <v>376</v>
      </c>
      <c r="B378">
        <v>2</v>
      </c>
      <c r="C378" t="inlineStr">
        <is>
          <t>1.5</t>
        </is>
      </c>
      <c r="D378" t="inlineStr">
        <is>
          <t>C02</t>
        </is>
      </c>
      <c r="E378" t="inlineStr">
        <is>
          <t>LE/LD</t>
        </is>
      </c>
      <c r="F378" t="inlineStr">
        <is>
          <t>ATERPA</t>
        </is>
      </c>
      <c r="G378" t="inlineStr">
        <is>
          <t>CLP-011</t>
        </is>
      </c>
      <c r="H378" t="inlineStr">
        <is>
          <t>Protocolo</t>
        </is>
      </c>
      <c r="I378">
        <v>4</v>
      </c>
      <c r="J378" t="inlineStr">
        <is>
          <t>Terraplenagem</t>
        </is>
      </c>
      <c r="K378" t="inlineStr">
        <is>
          <t xml:space="preserve">4.11 </t>
        </is>
      </c>
      <c r="L378" t="inlineStr">
        <is>
          <t>Talude</t>
        </is>
      </c>
      <c r="M378" t="inlineStr">
        <is>
          <t>Revegetação/ Hidrossemeadura</t>
        </is>
      </c>
      <c r="N378" t="inlineStr">
        <is>
          <t>Pendente Repasse De Hidrosemeadura</t>
        </is>
      </c>
      <c r="O378" t="inlineStr">
        <is>
          <t>Tipo A</t>
        </is>
      </c>
      <c r="P378" t="inlineStr">
        <is>
          <t>47+020</t>
        </is>
      </c>
      <c r="Q378" t="inlineStr">
        <is>
          <t>48+080</t>
        </is>
      </c>
      <c r="R378" t="inlineStr">
        <is>
          <t>Aberta</t>
        </is>
      </c>
      <c r="T378" t="inlineStr">
        <is>
          <t>Aline Batista</t>
        </is>
      </c>
      <c r="U378" t="inlineStr">
        <is>
          <t>24/04/2026</t>
        </is>
      </c>
      <c r="V378" t="inlineStr">
        <is>
          <t>01/05/2026</t>
        </is>
      </c>
      <c r="W378">
        <v>40</v>
      </c>
      <c r="AA378" t="inlineStr">
        <is>
          <t>Aberta 30-60 dias</t>
        </is>
      </c>
    </row>
    <row r="379">
      <c r="A379">
        <v>377</v>
      </c>
      <c r="B379">
        <v>2</v>
      </c>
      <c r="C379" t="inlineStr">
        <is>
          <t>1.5</t>
        </is>
      </c>
      <c r="D379" t="inlineStr">
        <is>
          <t>C02</t>
        </is>
      </c>
      <c r="E379" t="inlineStr">
        <is>
          <t>LE/LD</t>
        </is>
      </c>
      <c r="F379" t="inlineStr">
        <is>
          <t>ATERPA</t>
        </is>
      </c>
      <c r="G379" t="inlineStr">
        <is>
          <t>CLP-011</t>
        </is>
      </c>
      <c r="H379" t="inlineStr">
        <is>
          <t>Protocolo</t>
        </is>
      </c>
      <c r="I379">
        <v>4</v>
      </c>
      <c r="J379" t="inlineStr">
        <is>
          <t>Terraplenagem</t>
        </is>
      </c>
      <c r="K379" t="inlineStr">
        <is>
          <t>4.11</t>
        </is>
      </c>
      <c r="L379" t="inlineStr">
        <is>
          <t>Talude</t>
        </is>
      </c>
      <c r="M379" t="inlineStr">
        <is>
          <t>Conformação</t>
        </is>
      </c>
      <c r="N379" t="inlineStr">
        <is>
          <t>Conformação Do Talude Com Disopisitivo De Dreagem E  Repasse De Hidrosemeadura</t>
        </is>
      </c>
      <c r="O379" t="inlineStr">
        <is>
          <t>Tipo A</t>
        </is>
      </c>
      <c r="P379" t="inlineStr">
        <is>
          <t>47+200</t>
        </is>
      </c>
      <c r="Q379" t="inlineStr">
        <is>
          <t>47+200</t>
        </is>
      </c>
      <c r="R379" t="inlineStr">
        <is>
          <t>Aberta</t>
        </is>
      </c>
      <c r="T379" t="inlineStr">
        <is>
          <t>Aline Batista</t>
        </is>
      </c>
      <c r="U379" t="inlineStr">
        <is>
          <t>24/04/2026</t>
        </is>
      </c>
      <c r="V379" t="inlineStr">
        <is>
          <t>01/05/2026</t>
        </is>
      </c>
      <c r="W379">
        <v>40</v>
      </c>
      <c r="AA379" t="inlineStr">
        <is>
          <t>Aberta 30-60 dias</t>
        </is>
      </c>
    </row>
    <row r="380">
      <c r="A380">
        <v>378</v>
      </c>
      <c r="B380">
        <v>2</v>
      </c>
      <c r="C380" t="inlineStr">
        <is>
          <t>1.5</t>
        </is>
      </c>
      <c r="D380" t="inlineStr">
        <is>
          <t>C02</t>
        </is>
      </c>
      <c r="E380" t="inlineStr">
        <is>
          <t>LE</t>
        </is>
      </c>
      <c r="F380" t="inlineStr">
        <is>
          <t>ATERPA</t>
        </is>
      </c>
      <c r="G380" t="inlineStr">
        <is>
          <t>CLP-011</t>
        </is>
      </c>
      <c r="H380" t="inlineStr">
        <is>
          <t>Protocolo</t>
        </is>
      </c>
      <c r="I380">
        <v>4</v>
      </c>
      <c r="J380" t="inlineStr">
        <is>
          <t>Terraplenagem</t>
        </is>
      </c>
      <c r="K380" t="inlineStr">
        <is>
          <t xml:space="preserve">4.11 </t>
        </is>
      </c>
      <c r="L380" t="inlineStr">
        <is>
          <t>Talude</t>
        </is>
      </c>
      <c r="M380" t="inlineStr">
        <is>
          <t>Erosões</t>
        </is>
      </c>
      <c r="N380" t="inlineStr">
        <is>
          <t>Desplacamento De Talude</t>
        </is>
      </c>
      <c r="O380" t="inlineStr">
        <is>
          <t>Tipo A</t>
        </is>
      </c>
      <c r="P380" t="inlineStr">
        <is>
          <t>47+300</t>
        </is>
      </c>
      <c r="Q380" t="inlineStr">
        <is>
          <t>47+300</t>
        </is>
      </c>
      <c r="R380" t="inlineStr">
        <is>
          <t>Aberta</t>
        </is>
      </c>
      <c r="T380" t="inlineStr">
        <is>
          <t>Aline Batista</t>
        </is>
      </c>
      <c r="U380" t="inlineStr">
        <is>
          <t>24/04/2026</t>
        </is>
      </c>
      <c r="V380" t="inlineStr">
        <is>
          <t>01/05/2026</t>
        </is>
      </c>
      <c r="W380">
        <v>40</v>
      </c>
      <c r="AA380" t="inlineStr">
        <is>
          <t>Aberta 30-60 dias</t>
        </is>
      </c>
    </row>
    <row r="381">
      <c r="A381">
        <v>379</v>
      </c>
      <c r="B381">
        <v>2</v>
      </c>
      <c r="C381" t="inlineStr">
        <is>
          <t>1.5</t>
        </is>
      </c>
      <c r="D381" t="inlineStr">
        <is>
          <t>C02</t>
        </is>
      </c>
      <c r="E381" t="inlineStr">
        <is>
          <t>LE/LD</t>
        </is>
      </c>
      <c r="F381" t="inlineStr">
        <is>
          <t>ATERPA</t>
        </is>
      </c>
      <c r="G381" t="inlineStr">
        <is>
          <t>CLP-011</t>
        </is>
      </c>
      <c r="H381" t="inlineStr">
        <is>
          <t>Protocolo</t>
        </is>
      </c>
      <c r="I381">
        <v>4</v>
      </c>
      <c r="J381" t="inlineStr">
        <is>
          <t>Terraplenagem</t>
        </is>
      </c>
      <c r="K381" t="inlineStr">
        <is>
          <t xml:space="preserve">4.11 </t>
        </is>
      </c>
      <c r="L381" t="inlineStr">
        <is>
          <t>Talude</t>
        </is>
      </c>
      <c r="M381" t="inlineStr">
        <is>
          <t>Erosões</t>
        </is>
      </c>
      <c r="N381" t="inlineStr">
        <is>
          <t>Diversos Pontos Do Corte Com Presença De Erosão, Desplacamento, Ravinamenrto, Pendente Repasse De Hidrossemesdura</t>
        </is>
      </c>
      <c r="O381" t="inlineStr">
        <is>
          <t>Tipo A</t>
        </is>
      </c>
      <c r="P381" t="inlineStr">
        <is>
          <t xml:space="preserve"> 47+350</t>
        </is>
      </c>
      <c r="Q381" t="inlineStr">
        <is>
          <t xml:space="preserve"> 47+350</t>
        </is>
      </c>
      <c r="R381" t="inlineStr">
        <is>
          <t>Aberta</t>
        </is>
      </c>
      <c r="T381" t="inlineStr">
        <is>
          <t>Aline Batista</t>
        </is>
      </c>
      <c r="U381" t="inlineStr">
        <is>
          <t>24/04/2026</t>
        </is>
      </c>
      <c r="V381" t="inlineStr">
        <is>
          <t>01/05/2026</t>
        </is>
      </c>
      <c r="W381">
        <v>40</v>
      </c>
      <c r="AA381" t="inlineStr">
        <is>
          <t>Aberta 30-60 dias</t>
        </is>
      </c>
    </row>
    <row r="382">
      <c r="A382">
        <v>380</v>
      </c>
      <c r="B382">
        <v>2</v>
      </c>
      <c r="C382" t="inlineStr">
        <is>
          <t>1.5</t>
        </is>
      </c>
      <c r="D382" t="inlineStr">
        <is>
          <t>A06</t>
        </is>
      </c>
      <c r="E382" t="inlineStr">
        <is>
          <t>LE/LD</t>
        </is>
      </c>
      <c r="F382" t="inlineStr">
        <is>
          <t>ATERPA</t>
        </is>
      </c>
      <c r="G382" t="inlineStr">
        <is>
          <t>CLP-011</t>
        </is>
      </c>
      <c r="H382" t="inlineStr">
        <is>
          <t>Protocolo</t>
        </is>
      </c>
      <c r="I382">
        <v>4</v>
      </c>
      <c r="J382" t="inlineStr">
        <is>
          <t>Terraplenagem</t>
        </is>
      </c>
      <c r="K382" t="inlineStr">
        <is>
          <t>4.11</t>
        </is>
      </c>
      <c r="L382" t="inlineStr">
        <is>
          <t>Talude</t>
        </is>
      </c>
      <c r="M382" t="inlineStr">
        <is>
          <t>Erosões</t>
        </is>
      </c>
      <c r="N382" t="inlineStr">
        <is>
          <t>Presença De Erosão Devido A Obstrução Do Dispositivo De Drenagem (ABRIR SIT)</t>
        </is>
      </c>
      <c r="O382" t="inlineStr">
        <is>
          <t>Tipo A</t>
        </is>
      </c>
      <c r="P382" t="inlineStr">
        <is>
          <t xml:space="preserve"> 50+110</t>
        </is>
      </c>
      <c r="Q382" t="inlineStr">
        <is>
          <t xml:space="preserve"> 50+180</t>
        </is>
      </c>
      <c r="R382" t="inlineStr">
        <is>
          <t>Aberta</t>
        </is>
      </c>
      <c r="T382" t="inlineStr">
        <is>
          <t>Aline Batista</t>
        </is>
      </c>
      <c r="U382" t="inlineStr">
        <is>
          <t>24/04/2026</t>
        </is>
      </c>
      <c r="V382" t="inlineStr">
        <is>
          <t>01/05/2026</t>
        </is>
      </c>
      <c r="W382">
        <v>40</v>
      </c>
      <c r="AA382" t="inlineStr">
        <is>
          <t>Aberta 30-60 dias</t>
        </is>
      </c>
    </row>
    <row r="383">
      <c r="A383">
        <v>381</v>
      </c>
      <c r="B383">
        <v>2</v>
      </c>
      <c r="C383" t="inlineStr">
        <is>
          <t>1.5</t>
        </is>
      </c>
      <c r="D383" t="inlineStr">
        <is>
          <t>A07</t>
        </is>
      </c>
      <c r="E383" t="inlineStr">
        <is>
          <t>LD</t>
        </is>
      </c>
      <c r="F383" t="inlineStr">
        <is>
          <t>ATERPA</t>
        </is>
      </c>
      <c r="G383" t="inlineStr">
        <is>
          <t>CLP-011</t>
        </is>
      </c>
      <c r="H383" t="inlineStr">
        <is>
          <t>Protocolo</t>
        </is>
      </c>
      <c r="I383">
        <v>4</v>
      </c>
      <c r="J383" t="inlineStr">
        <is>
          <t>Terraplenagem</t>
        </is>
      </c>
      <c r="K383" t="inlineStr">
        <is>
          <t>4.11</t>
        </is>
      </c>
      <c r="L383" t="inlineStr">
        <is>
          <t>Talude</t>
        </is>
      </c>
      <c r="M383" t="inlineStr">
        <is>
          <t>Erosões</t>
        </is>
      </c>
      <c r="N383" t="inlineStr">
        <is>
          <t>Desplacamento</t>
        </is>
      </c>
      <c r="O383" t="inlineStr">
        <is>
          <t>Tipo A</t>
        </is>
      </c>
      <c r="P383" t="inlineStr">
        <is>
          <t xml:space="preserve"> 50+450</t>
        </is>
      </c>
      <c r="Q383" t="inlineStr">
        <is>
          <t xml:space="preserve"> 50+450</t>
        </is>
      </c>
      <c r="R383" t="inlineStr">
        <is>
          <t>Aberta</t>
        </is>
      </c>
      <c r="T383" t="inlineStr">
        <is>
          <t>Aline Batista</t>
        </is>
      </c>
      <c r="U383" t="inlineStr">
        <is>
          <t>24/04/2026</t>
        </is>
      </c>
      <c r="V383" t="inlineStr">
        <is>
          <t>01/05/2026</t>
        </is>
      </c>
      <c r="W383">
        <v>40</v>
      </c>
      <c r="AA383" t="inlineStr">
        <is>
          <t>Aberta 30-60 dias</t>
        </is>
      </c>
    </row>
    <row r="384">
      <c r="A384">
        <v>382</v>
      </c>
      <c r="B384">
        <v>2</v>
      </c>
      <c r="C384" t="inlineStr">
        <is>
          <t>1.5</t>
        </is>
      </c>
      <c r="D384" t="inlineStr">
        <is>
          <t>A09/A11</t>
        </is>
      </c>
      <c r="E384" t="inlineStr">
        <is>
          <t>LD/LE</t>
        </is>
      </c>
      <c r="F384" t="inlineStr">
        <is>
          <t>ATERPA</t>
        </is>
      </c>
      <c r="G384" t="inlineStr">
        <is>
          <t>CLP-011</t>
        </is>
      </c>
      <c r="H384" t="inlineStr">
        <is>
          <t>Protocolo</t>
        </is>
      </c>
      <c r="I384">
        <v>4</v>
      </c>
      <c r="J384" t="inlineStr">
        <is>
          <t>Terraplenagem</t>
        </is>
      </c>
      <c r="K384" t="inlineStr">
        <is>
          <t xml:space="preserve">4.11 </t>
        </is>
      </c>
      <c r="L384" t="inlineStr">
        <is>
          <t>Talude</t>
        </is>
      </c>
      <c r="M384" t="inlineStr">
        <is>
          <t>Erosões</t>
        </is>
      </c>
      <c r="N384" t="inlineStr">
        <is>
          <t>Presença De Erosão, Ravinamento E Falta De  Hidrossemaeadura</t>
        </is>
      </c>
      <c r="O384" t="inlineStr">
        <is>
          <t>Tipo A</t>
        </is>
      </c>
      <c r="P384" t="inlineStr">
        <is>
          <t xml:space="preserve"> 51+540</t>
        </is>
      </c>
      <c r="Q384" t="inlineStr">
        <is>
          <t>53+040</t>
        </is>
      </c>
      <c r="R384" t="inlineStr">
        <is>
          <t>Aberta</t>
        </is>
      </c>
      <c r="T384" t="inlineStr">
        <is>
          <t>Aline Batista</t>
        </is>
      </c>
      <c r="U384" t="inlineStr">
        <is>
          <t>24/04/2026</t>
        </is>
      </c>
      <c r="V384" t="inlineStr">
        <is>
          <t>01/05/2026</t>
        </is>
      </c>
      <c r="W384">
        <v>40</v>
      </c>
      <c r="AA384" t="inlineStr">
        <is>
          <t>Aberta 30-60 dias</t>
        </is>
      </c>
    </row>
    <row r="385">
      <c r="A385">
        <v>383</v>
      </c>
      <c r="B385">
        <v>2</v>
      </c>
      <c r="C385" t="inlineStr">
        <is>
          <t>1.5</t>
        </is>
      </c>
      <c r="D385" t="inlineStr">
        <is>
          <t>A11</t>
        </is>
      </c>
      <c r="E385" t="inlineStr">
        <is>
          <t>LD/LE</t>
        </is>
      </c>
      <c r="F385" t="inlineStr">
        <is>
          <t>ATERPA</t>
        </is>
      </c>
      <c r="G385" t="inlineStr">
        <is>
          <t>CLP-011</t>
        </is>
      </c>
      <c r="H385" t="inlineStr">
        <is>
          <t>Protocolo</t>
        </is>
      </c>
      <c r="I385">
        <v>4</v>
      </c>
      <c r="J385" t="inlineStr">
        <is>
          <t>Terraplenagem</t>
        </is>
      </c>
      <c r="K385" t="inlineStr">
        <is>
          <t xml:space="preserve">4.11 </t>
        </is>
      </c>
      <c r="L385" t="inlineStr">
        <is>
          <t>Hidrossemeadura</t>
        </is>
      </c>
      <c r="M385" t="inlineStr">
        <is>
          <t>Material Solto</t>
        </is>
      </c>
      <c r="N385" t="inlineStr">
        <is>
          <t>Deposintado Inadequadamente Material Sobre Hidrossemeadura</t>
        </is>
      </c>
      <c r="O385" t="inlineStr">
        <is>
          <t>Tipo A</t>
        </is>
      </c>
      <c r="P385" t="inlineStr">
        <is>
          <t>52+500</t>
        </is>
      </c>
      <c r="Q385" t="inlineStr">
        <is>
          <t>52+500</t>
        </is>
      </c>
      <c r="R385" t="inlineStr">
        <is>
          <t>Aberta</t>
        </is>
      </c>
      <c r="T385" t="inlineStr">
        <is>
          <t>Aline Batista</t>
        </is>
      </c>
      <c r="U385" t="inlineStr">
        <is>
          <t>24/04/2026</t>
        </is>
      </c>
      <c r="V385" t="inlineStr">
        <is>
          <t>01/05/2026</t>
        </is>
      </c>
      <c r="W385">
        <v>40</v>
      </c>
      <c r="AA385" t="inlineStr">
        <is>
          <t>Aberta 30-60 dias</t>
        </is>
      </c>
    </row>
    <row r="386">
      <c r="A386">
        <v>384</v>
      </c>
      <c r="B386">
        <v>2</v>
      </c>
      <c r="C386" t="inlineStr">
        <is>
          <t>1.5</t>
        </is>
      </c>
      <c r="D386" t="inlineStr">
        <is>
          <t>A11/A12</t>
        </is>
      </c>
      <c r="E386" t="inlineStr">
        <is>
          <t>LD</t>
        </is>
      </c>
      <c r="F386" t="inlineStr">
        <is>
          <t>ATERPA</t>
        </is>
      </c>
      <c r="G386" t="inlineStr">
        <is>
          <t>CLP-011</t>
        </is>
      </c>
      <c r="H386" t="inlineStr">
        <is>
          <t>Protocolo</t>
        </is>
      </c>
      <c r="I386">
        <v>4</v>
      </c>
      <c r="J386" t="inlineStr">
        <is>
          <t>Terraplenagem</t>
        </is>
      </c>
      <c r="K386" t="inlineStr">
        <is>
          <t>4.11</t>
        </is>
      </c>
      <c r="L386" t="inlineStr">
        <is>
          <t>Talude</t>
        </is>
      </c>
      <c r="M386" t="inlineStr">
        <is>
          <t>Revegetação/ Hidrossemeadura</t>
        </is>
      </c>
      <c r="N386" t="inlineStr">
        <is>
          <t>Coviamento E Aplicação De Hidrossemeadura</t>
        </is>
      </c>
      <c r="O386" t="inlineStr">
        <is>
          <t>Tipo A</t>
        </is>
      </c>
      <c r="P386" t="inlineStr">
        <is>
          <t xml:space="preserve"> 52+700</t>
        </is>
      </c>
      <c r="Q386" t="inlineStr">
        <is>
          <t>54+820</t>
        </is>
      </c>
      <c r="R386" t="inlineStr">
        <is>
          <t>Aberta</t>
        </is>
      </c>
      <c r="T386" t="inlineStr">
        <is>
          <t>Aline Batista</t>
        </is>
      </c>
      <c r="U386" t="inlineStr">
        <is>
          <t>24/04/2026</t>
        </is>
      </c>
      <c r="V386" t="inlineStr">
        <is>
          <t>01/05/2026</t>
        </is>
      </c>
      <c r="W386">
        <v>40</v>
      </c>
      <c r="AA386" t="inlineStr">
        <is>
          <t>Aberta 30-60 dias</t>
        </is>
      </c>
    </row>
    <row r="387">
      <c r="A387">
        <v>385</v>
      </c>
      <c r="B387">
        <v>2</v>
      </c>
      <c r="C387" t="inlineStr">
        <is>
          <t>1.5</t>
        </is>
      </c>
      <c r="D387" t="inlineStr">
        <is>
          <t>C12</t>
        </is>
      </c>
      <c r="E387" t="inlineStr">
        <is>
          <t>LE/LD</t>
        </is>
      </c>
      <c r="F387" t="inlineStr">
        <is>
          <t>ATERPA</t>
        </is>
      </c>
      <c r="G387" t="inlineStr">
        <is>
          <t>CLP-011</t>
        </is>
      </c>
      <c r="H387" t="inlineStr">
        <is>
          <t>Protocolo</t>
        </is>
      </c>
      <c r="I387">
        <v>4</v>
      </c>
      <c r="J387" t="inlineStr">
        <is>
          <t>Terraplenagem</t>
        </is>
      </c>
      <c r="K387" t="inlineStr">
        <is>
          <t xml:space="preserve">4.11 </t>
        </is>
      </c>
      <c r="L387" t="inlineStr">
        <is>
          <t>Talude</t>
        </is>
      </c>
      <c r="M387" t="inlineStr">
        <is>
          <t>Revegetação/ Hidrossemeadura</t>
        </is>
      </c>
      <c r="N387" t="inlineStr">
        <is>
          <t>Conformação Do Talude Com Dispositivo De Drenagem E  Repasse De Hidrossemeadura</t>
        </is>
      </c>
      <c r="O387" t="inlineStr">
        <is>
          <t>Tipo A</t>
        </is>
      </c>
      <c r="P387" t="inlineStr">
        <is>
          <t xml:space="preserve"> 53+480</t>
        </is>
      </c>
      <c r="Q387" t="inlineStr">
        <is>
          <t xml:space="preserve"> 53+480</t>
        </is>
      </c>
      <c r="R387" t="inlineStr">
        <is>
          <t>Aberta</t>
        </is>
      </c>
      <c r="T387" t="inlineStr">
        <is>
          <t>Aline Batista</t>
        </is>
      </c>
      <c r="U387" t="inlineStr">
        <is>
          <t>24/04/2026</t>
        </is>
      </c>
      <c r="V387" t="inlineStr">
        <is>
          <t>01/05/2026</t>
        </is>
      </c>
      <c r="W387">
        <v>40</v>
      </c>
      <c r="AA387" t="inlineStr">
        <is>
          <t>Aberta 30-60 dias</t>
        </is>
      </c>
    </row>
    <row r="388">
      <c r="A388">
        <v>386</v>
      </c>
      <c r="B388">
        <v>2</v>
      </c>
      <c r="C388" t="inlineStr">
        <is>
          <t>1.5</t>
        </is>
      </c>
      <c r="D388" t="inlineStr">
        <is>
          <t>A02</t>
        </is>
      </c>
      <c r="E388" t="inlineStr">
        <is>
          <t>LE</t>
        </is>
      </c>
      <c r="F388" t="inlineStr">
        <is>
          <t>ATERPA</t>
        </is>
      </c>
      <c r="G388" t="inlineStr">
        <is>
          <t>CLP-011</t>
        </is>
      </c>
      <c r="H388" t="inlineStr">
        <is>
          <t>Protocolo</t>
        </is>
      </c>
      <c r="I388">
        <v>4</v>
      </c>
      <c r="J388" t="inlineStr">
        <is>
          <t>Terraplenagem</t>
        </is>
      </c>
      <c r="K388" t="inlineStr">
        <is>
          <t xml:space="preserve">4.11 </t>
        </is>
      </c>
      <c r="L388" t="inlineStr">
        <is>
          <t>Talude</t>
        </is>
      </c>
      <c r="M388" t="inlineStr">
        <is>
          <t>Erosões</t>
        </is>
      </c>
      <c r="N388" t="inlineStr">
        <is>
          <t>Processo Erosivo Identificado Adjacente Ao Dispositivo De Drenagem, No Lado Esquerdo Da Ferrovia, Evidenciando A Necessidade De Recomposição E Conformação Adequada De Sua Lateral.</t>
        </is>
      </c>
      <c r="O388" t="inlineStr">
        <is>
          <t>Tipo A</t>
        </is>
      </c>
      <c r="P388" t="inlineStr">
        <is>
          <t>46+910</t>
        </is>
      </c>
      <c r="Q388" t="inlineStr">
        <is>
          <t>46+910</t>
        </is>
      </c>
      <c r="R388" t="inlineStr">
        <is>
          <t>Aberta</t>
        </is>
      </c>
      <c r="T388" t="inlineStr">
        <is>
          <t>Aline Batista</t>
        </is>
      </c>
      <c r="U388" t="inlineStr">
        <is>
          <t>24/04/2026</t>
        </is>
      </c>
      <c r="V388" t="inlineStr">
        <is>
          <t>01/05/2026</t>
        </is>
      </c>
      <c r="W388">
        <v>40</v>
      </c>
      <c r="AA388" t="inlineStr">
        <is>
          <t>Aberta 30-60 dias</t>
        </is>
      </c>
      <c r="AB388" t="inlineStr">
        <is>
          <t>GSA</t>
        </is>
      </c>
    </row>
    <row r="389">
      <c r="A389">
        <v>387</v>
      </c>
      <c r="B389">
        <v>2</v>
      </c>
      <c r="C389" t="inlineStr">
        <is>
          <t>1.5</t>
        </is>
      </c>
      <c r="D389" t="inlineStr">
        <is>
          <t>C02</t>
        </is>
      </c>
      <c r="E389" t="inlineStr">
        <is>
          <t>LE</t>
        </is>
      </c>
      <c r="F389" t="inlineStr">
        <is>
          <t>ATERPA</t>
        </is>
      </c>
      <c r="G389" t="inlineStr">
        <is>
          <t>CLP-011</t>
        </is>
      </c>
      <c r="H389" t="inlineStr">
        <is>
          <t>Protocolo</t>
        </is>
      </c>
      <c r="I389">
        <v>4</v>
      </c>
      <c r="J389" t="inlineStr">
        <is>
          <t>Terraplenagem</t>
        </is>
      </c>
      <c r="K389" t="inlineStr">
        <is>
          <t>4.11</t>
        </is>
      </c>
      <c r="L389" t="inlineStr">
        <is>
          <t>Talude</t>
        </is>
      </c>
      <c r="M389" t="inlineStr">
        <is>
          <t>Erosões</t>
        </is>
      </c>
      <c r="N389" t="inlineStr">
        <is>
          <t>Trecho Com Ocorrência De Ravinamento No Talude, Localizado No Lado Esquerdo</t>
        </is>
      </c>
      <c r="O389" t="inlineStr">
        <is>
          <t>Tipo A</t>
        </is>
      </c>
      <c r="P389" t="inlineStr">
        <is>
          <t>47+300</t>
        </is>
      </c>
      <c r="Q389" t="inlineStr">
        <is>
          <t>47+300</t>
        </is>
      </c>
      <c r="R389" t="inlineStr">
        <is>
          <t>Aberta</t>
        </is>
      </c>
      <c r="T389" t="inlineStr">
        <is>
          <t>Aline Batista</t>
        </is>
      </c>
      <c r="U389" t="inlineStr">
        <is>
          <t>24/04/2026</t>
        </is>
      </c>
      <c r="V389" t="inlineStr">
        <is>
          <t>01/05/2026</t>
        </is>
      </c>
      <c r="W389">
        <v>40</v>
      </c>
      <c r="AA389" t="inlineStr">
        <is>
          <t>Aberta 30-60 dias</t>
        </is>
      </c>
    </row>
    <row r="390">
      <c r="A390">
        <v>388</v>
      </c>
      <c r="B390">
        <v>2</v>
      </c>
      <c r="C390" t="inlineStr">
        <is>
          <t>1.5</t>
        </is>
      </c>
      <c r="D390" t="inlineStr">
        <is>
          <t>C02</t>
        </is>
      </c>
      <c r="E390" t="inlineStr">
        <is>
          <t>LE</t>
        </is>
      </c>
      <c r="F390" t="inlineStr">
        <is>
          <t>ATERPA</t>
        </is>
      </c>
      <c r="G390" t="inlineStr">
        <is>
          <t>CLP-011</t>
        </is>
      </c>
      <c r="H390" t="inlineStr">
        <is>
          <t>Fiscalização</t>
        </is>
      </c>
      <c r="I390">
        <v>4</v>
      </c>
      <c r="J390" t="inlineStr">
        <is>
          <t>Terraplenagem</t>
        </is>
      </c>
      <c r="K390" t="inlineStr">
        <is>
          <t xml:space="preserve">4.11 </t>
        </is>
      </c>
      <c r="L390" t="inlineStr">
        <is>
          <t>Talude</t>
        </is>
      </c>
      <c r="M390" t="inlineStr">
        <is>
          <t>Erosões</t>
        </is>
      </c>
      <c r="N390" t="inlineStr">
        <is>
          <t>Trecho Com Ocorrência De Erosão No Talude, Localizado No Lado Esquerdo</t>
        </is>
      </c>
      <c r="O390" t="inlineStr">
        <is>
          <t>Tipo A</t>
        </is>
      </c>
      <c r="P390" t="inlineStr">
        <is>
          <t>47+320</t>
        </is>
      </c>
      <c r="Q390" t="inlineStr">
        <is>
          <t>47+320</t>
        </is>
      </c>
      <c r="R390" t="inlineStr">
        <is>
          <t>Aberta</t>
        </is>
      </c>
      <c r="T390" t="inlineStr">
        <is>
          <t>Aline Batista</t>
        </is>
      </c>
      <c r="U390" t="inlineStr">
        <is>
          <t>24/04/2026</t>
        </is>
      </c>
      <c r="V390" t="inlineStr">
        <is>
          <t>01/05/2026</t>
        </is>
      </c>
      <c r="W390">
        <v>40</v>
      </c>
      <c r="AA390" t="inlineStr">
        <is>
          <t>Aberta 30-60 dias</t>
        </is>
      </c>
    </row>
    <row r="391">
      <c r="A391">
        <v>389</v>
      </c>
      <c r="B391">
        <v>2</v>
      </c>
      <c r="C391" t="inlineStr">
        <is>
          <t>1.5</t>
        </is>
      </c>
      <c r="D391" t="inlineStr">
        <is>
          <t>A07</t>
        </is>
      </c>
      <c r="E391" t="inlineStr">
        <is>
          <t>LD</t>
        </is>
      </c>
      <c r="F391" t="inlineStr">
        <is>
          <t>ATERPA</t>
        </is>
      </c>
      <c r="G391" t="inlineStr">
        <is>
          <t>CLP-011</t>
        </is>
      </c>
      <c r="H391" t="inlineStr">
        <is>
          <t>Fiscalização</t>
        </is>
      </c>
      <c r="I391">
        <v>4</v>
      </c>
      <c r="J391" t="inlineStr">
        <is>
          <t>Terraplenagem</t>
        </is>
      </c>
      <c r="K391" t="inlineStr">
        <is>
          <t xml:space="preserve">4.11 </t>
        </is>
      </c>
      <c r="L391" t="inlineStr">
        <is>
          <t>Talude</t>
        </is>
      </c>
      <c r="M391" t="inlineStr">
        <is>
          <t>Erosões</t>
        </is>
      </c>
      <c r="N391" t="inlineStr">
        <is>
          <t>Ocorrência De Escorregamento No Talude Localizado No Lado Direito.</t>
        </is>
      </c>
      <c r="O391" t="inlineStr">
        <is>
          <t>Tipo A</t>
        </is>
      </c>
      <c r="P391" t="inlineStr">
        <is>
          <t>50+450</t>
        </is>
      </c>
      <c r="Q391" t="inlineStr">
        <is>
          <t>50+450</t>
        </is>
      </c>
      <c r="R391" t="inlineStr">
        <is>
          <t>Aberta</t>
        </is>
      </c>
      <c r="T391" t="inlineStr">
        <is>
          <t>Aline Batista</t>
        </is>
      </c>
      <c r="U391" t="inlineStr">
        <is>
          <t>24/04/2026</t>
        </is>
      </c>
      <c r="V391" t="inlineStr">
        <is>
          <t>01/05/2026</t>
        </is>
      </c>
      <c r="W391">
        <v>40</v>
      </c>
      <c r="AA391" t="inlineStr">
        <is>
          <t>Aberta 30-60 dias</t>
        </is>
      </c>
    </row>
    <row r="392">
      <c r="A392">
        <v>390</v>
      </c>
      <c r="B392">
        <v>2</v>
      </c>
      <c r="C392" t="inlineStr">
        <is>
          <t>1.5</t>
        </is>
      </c>
      <c r="D392" t="inlineStr">
        <is>
          <t>C12</t>
        </is>
      </c>
      <c r="E392" t="inlineStr">
        <is>
          <t>LE</t>
        </is>
      </c>
      <c r="F392" t="inlineStr">
        <is>
          <t>ATERPA</t>
        </is>
      </c>
      <c r="G392" t="inlineStr">
        <is>
          <t>CLP-011</t>
        </is>
      </c>
      <c r="H392" t="inlineStr">
        <is>
          <t>Protocolo</t>
        </is>
      </c>
      <c r="I392">
        <v>4</v>
      </c>
      <c r="J392" t="inlineStr">
        <is>
          <t>Terraplenagem</t>
        </is>
      </c>
      <c r="K392" t="inlineStr">
        <is>
          <t xml:space="preserve">4.11 </t>
        </is>
      </c>
      <c r="L392" t="inlineStr">
        <is>
          <t>Talude</t>
        </is>
      </c>
      <c r="M392" t="inlineStr">
        <is>
          <t>Erosões</t>
        </is>
      </c>
      <c r="N392" t="inlineStr">
        <is>
          <t>Trecho Com Ocorrência De Ravinamento No Talude, Localizado No Lado Esquerdo</t>
        </is>
      </c>
      <c r="O392" t="inlineStr">
        <is>
          <t>Tipo A</t>
        </is>
      </c>
      <c r="P392" t="inlineStr">
        <is>
          <t>53+480</t>
        </is>
      </c>
      <c r="Q392" t="inlineStr">
        <is>
          <t>53+480</t>
        </is>
      </c>
      <c r="R392" t="inlineStr">
        <is>
          <t>Aberta</t>
        </is>
      </c>
      <c r="T392" t="inlineStr">
        <is>
          <t>Aline Batista</t>
        </is>
      </c>
      <c r="U392" t="inlineStr">
        <is>
          <t>24/04/2026</t>
        </is>
      </c>
      <c r="V392" t="inlineStr">
        <is>
          <t>01/05/2026</t>
        </is>
      </c>
      <c r="W392">
        <v>40</v>
      </c>
      <c r="AA392" t="inlineStr">
        <is>
          <t>Aberta 30-60 dias</t>
        </is>
      </c>
    </row>
    <row r="393">
      <c r="A393">
        <v>391</v>
      </c>
      <c r="B393">
        <v>2</v>
      </c>
      <c r="C393" t="inlineStr">
        <is>
          <t>1.5</t>
        </is>
      </c>
      <c r="D393" t="inlineStr">
        <is>
          <t>C12</t>
        </is>
      </c>
      <c r="E393" t="inlineStr">
        <is>
          <t>LE</t>
        </is>
      </c>
      <c r="F393" t="inlineStr">
        <is>
          <t>ATERPA</t>
        </is>
      </c>
      <c r="G393" t="inlineStr">
        <is>
          <t>CLP-011</t>
        </is>
      </c>
      <c r="H393" t="inlineStr">
        <is>
          <t>Protocolo</t>
        </is>
      </c>
      <c r="I393">
        <v>4</v>
      </c>
      <c r="J393" t="inlineStr">
        <is>
          <t>Terraplenagem</t>
        </is>
      </c>
      <c r="K393" t="inlineStr">
        <is>
          <t>4.11</t>
        </is>
      </c>
      <c r="L393" t="inlineStr">
        <is>
          <t>Talude</t>
        </is>
      </c>
      <c r="M393" t="inlineStr">
        <is>
          <t>Erosões</t>
        </is>
      </c>
      <c r="N393" t="inlineStr">
        <is>
          <t>Trecho Com Ocorrência De Erosão No Talude, Localizado No Lado Esquerdo</t>
        </is>
      </c>
      <c r="O393" t="inlineStr">
        <is>
          <t>Tipo A</t>
        </is>
      </c>
      <c r="P393" t="inlineStr">
        <is>
          <t>53+540</t>
        </is>
      </c>
      <c r="Q393" t="inlineStr">
        <is>
          <t>53+540</t>
        </is>
      </c>
      <c r="R393" t="inlineStr">
        <is>
          <t>Aberta</t>
        </is>
      </c>
      <c r="T393" t="inlineStr">
        <is>
          <t>Aline Batista</t>
        </is>
      </c>
      <c r="U393" t="inlineStr">
        <is>
          <t>24/04/2026</t>
        </is>
      </c>
      <c r="V393" t="inlineStr">
        <is>
          <t>01/05/2026</t>
        </is>
      </c>
      <c r="W393">
        <v>40</v>
      </c>
      <c r="AA393" t="inlineStr">
        <is>
          <t>Aberta 30-60 dias</t>
        </is>
      </c>
    </row>
    <row r="394">
      <c r="A394">
        <v>392</v>
      </c>
      <c r="B394">
        <v>2</v>
      </c>
      <c r="C394" t="inlineStr">
        <is>
          <t>1.5</t>
        </is>
      </c>
      <c r="D394" t="inlineStr">
        <is>
          <t>A11</t>
        </is>
      </c>
      <c r="E394" t="inlineStr">
        <is>
          <t>LD/LE</t>
        </is>
      </c>
      <c r="F394" t="inlineStr">
        <is>
          <t>ATERPA</t>
        </is>
      </c>
      <c r="G394" t="inlineStr">
        <is>
          <t>CLP-011</t>
        </is>
      </c>
      <c r="H394" t="inlineStr">
        <is>
          <t>Protocolo</t>
        </is>
      </c>
      <c r="I394">
        <v>4</v>
      </c>
      <c r="J394" t="inlineStr">
        <is>
          <t>Terraplenagem</t>
        </is>
      </c>
      <c r="K394" t="inlineStr">
        <is>
          <t xml:space="preserve">4.34 </t>
        </is>
      </c>
      <c r="L394" t="inlineStr">
        <is>
          <t>RNC</t>
        </is>
      </c>
      <c r="M394" t="inlineStr">
        <is>
          <t>Documental</t>
        </is>
      </c>
      <c r="N394" t="inlineStr">
        <is>
          <t>RNC-01892/26 52+360 e 53+140 / 54+370 e 55+100 / 59+660 e 62+600 / 64+520 e 65+400 - Material procedente da execução de acabamento da plataforma, sendo jogado sobre os taludes de aterro</t>
        </is>
      </c>
      <c r="O394" t="inlineStr">
        <is>
          <t>Tipo B</t>
        </is>
      </c>
      <c r="P394" t="inlineStr">
        <is>
          <t xml:space="preserve">52+360 </t>
        </is>
      </c>
      <c r="Q394" t="inlineStr">
        <is>
          <t>65+400</t>
        </is>
      </c>
      <c r="R394" t="inlineStr">
        <is>
          <t>Aberta</t>
        </is>
      </c>
      <c r="T394" t="inlineStr">
        <is>
          <t>Aline Batista</t>
        </is>
      </c>
      <c r="U394" t="inlineStr">
        <is>
          <t>24/04/2026</t>
        </is>
      </c>
      <c r="V394" t="inlineStr">
        <is>
          <t>09/05/2026</t>
        </is>
      </c>
      <c r="W394">
        <v>32</v>
      </c>
      <c r="AA394" t="inlineStr">
        <is>
          <t>Aberta 30-60 dias</t>
        </is>
      </c>
    </row>
    <row r="395">
      <c r="A395">
        <v>393</v>
      </c>
      <c r="B395">
        <v>2</v>
      </c>
      <c r="C395" t="inlineStr">
        <is>
          <t>1.5</t>
        </is>
      </c>
      <c r="D395" t="inlineStr">
        <is>
          <t>A07</t>
        </is>
      </c>
      <c r="E395" t="inlineStr">
        <is>
          <t>LD/LE</t>
        </is>
      </c>
      <c r="F395" t="inlineStr">
        <is>
          <t>ATERPA</t>
        </is>
      </c>
      <c r="G395" t="inlineStr">
        <is>
          <t>CLP-011</t>
        </is>
      </c>
      <c r="H395" t="inlineStr">
        <is>
          <t>Fiscalização</t>
        </is>
      </c>
      <c r="I395">
        <v>4</v>
      </c>
      <c r="J395" t="inlineStr">
        <is>
          <t>Terraplenagem</t>
        </is>
      </c>
      <c r="K395" t="inlineStr">
        <is>
          <t xml:space="preserve">4.11 </t>
        </is>
      </c>
      <c r="L395" t="inlineStr">
        <is>
          <t>Talude</t>
        </is>
      </c>
      <c r="M395" t="inlineStr">
        <is>
          <t>Erosões</t>
        </is>
      </c>
      <c r="N395" t="inlineStr">
        <is>
          <t>Erosões</t>
        </is>
      </c>
      <c r="O395" t="inlineStr">
        <is>
          <t>Tipo A</t>
        </is>
      </c>
      <c r="P395" t="inlineStr">
        <is>
          <t xml:space="preserve">50+680 </t>
        </is>
      </c>
      <c r="Q395" t="inlineStr">
        <is>
          <t xml:space="preserve"> 50+820</t>
        </is>
      </c>
      <c r="R395" t="inlineStr">
        <is>
          <t>Aberta</t>
        </is>
      </c>
      <c r="T395" t="inlineStr">
        <is>
          <t>Aline Batista</t>
        </is>
      </c>
      <c r="U395" t="inlineStr">
        <is>
          <t>24/04/2026</t>
        </is>
      </c>
      <c r="V395" t="inlineStr">
        <is>
          <t>01/05/2026</t>
        </is>
      </c>
      <c r="W395">
        <v>40</v>
      </c>
      <c r="AA395" t="inlineStr">
        <is>
          <t>Aberta 30-60 dias</t>
        </is>
      </c>
    </row>
    <row r="396">
      <c r="A396">
        <v>394</v>
      </c>
      <c r="B396">
        <v>2</v>
      </c>
      <c r="C396" t="inlineStr">
        <is>
          <t>1.5</t>
        </is>
      </c>
      <c r="D396" t="inlineStr">
        <is>
          <t>A02</t>
        </is>
      </c>
      <c r="E396" t="inlineStr">
        <is>
          <t>LD</t>
        </is>
      </c>
      <c r="F396" t="inlineStr">
        <is>
          <t>ATERPA</t>
        </is>
      </c>
      <c r="G396" t="inlineStr">
        <is>
          <t>CLP-011</t>
        </is>
      </c>
      <c r="H396" t="inlineStr">
        <is>
          <t>Fiscalização</t>
        </is>
      </c>
      <c r="I396">
        <v>4</v>
      </c>
      <c r="J396" t="inlineStr">
        <is>
          <t>Terraplenagem</t>
        </is>
      </c>
      <c r="K396" t="inlineStr">
        <is>
          <t xml:space="preserve">4.11 </t>
        </is>
      </c>
      <c r="L396" t="inlineStr">
        <is>
          <t>Talude</t>
        </is>
      </c>
      <c r="M396" t="inlineStr">
        <is>
          <t>Erosões</t>
        </is>
      </c>
      <c r="N396" t="inlineStr">
        <is>
          <t>Erosões no lado direito.</t>
        </is>
      </c>
      <c r="O396" t="inlineStr">
        <is>
          <t>Tipo A</t>
        </is>
      </c>
      <c r="P396" t="inlineStr">
        <is>
          <t>47+020</t>
        </is>
      </c>
      <c r="Q396" t="inlineStr">
        <is>
          <t>47+020</t>
        </is>
      </c>
      <c r="R396" t="inlineStr">
        <is>
          <t>Aberta</t>
        </is>
      </c>
      <c r="T396" t="inlineStr">
        <is>
          <t>Aline Batista</t>
        </is>
      </c>
      <c r="U396" t="inlineStr">
        <is>
          <t>24/04/2026</t>
        </is>
      </c>
      <c r="V396" t="inlineStr">
        <is>
          <t>01/05/2026</t>
        </is>
      </c>
      <c r="W396">
        <v>40</v>
      </c>
      <c r="AA396" t="inlineStr">
        <is>
          <t>Aberta 30-60 dias</t>
        </is>
      </c>
    </row>
    <row r="397">
      <c r="A397">
        <v>395</v>
      </c>
      <c r="B397">
        <v>2</v>
      </c>
      <c r="C397" t="inlineStr">
        <is>
          <t>1.5</t>
        </is>
      </c>
      <c r="D397" t="inlineStr">
        <is>
          <t>C02</t>
        </is>
      </c>
      <c r="E397" t="inlineStr">
        <is>
          <t>LE</t>
        </is>
      </c>
      <c r="F397" t="inlineStr">
        <is>
          <t>ATERPA</t>
        </is>
      </c>
      <c r="G397" t="inlineStr">
        <is>
          <t>CLP-011</t>
        </is>
      </c>
      <c r="H397" t="inlineStr">
        <is>
          <t>Fiscalização</t>
        </is>
      </c>
      <c r="I397">
        <v>4</v>
      </c>
      <c r="J397" t="inlineStr">
        <is>
          <t>Terraplenagem</t>
        </is>
      </c>
      <c r="K397" t="inlineStr">
        <is>
          <t xml:space="preserve">4.11 </t>
        </is>
      </c>
      <c r="L397" t="inlineStr">
        <is>
          <t>Talude</t>
        </is>
      </c>
      <c r="M397" t="inlineStr">
        <is>
          <t>Erosões</t>
        </is>
      </c>
      <c r="N397" t="inlineStr">
        <is>
          <t>Erosão e desplacamento no lado esquerdo.</t>
        </is>
      </c>
      <c r="O397" t="inlineStr">
        <is>
          <t>Tipo A</t>
        </is>
      </c>
      <c r="P397" t="inlineStr">
        <is>
          <t xml:space="preserve">47+370 </t>
        </is>
      </c>
      <c r="Q397" t="inlineStr">
        <is>
          <t xml:space="preserve">47+370 </t>
        </is>
      </c>
      <c r="R397" t="inlineStr">
        <is>
          <t>Aberta</t>
        </is>
      </c>
      <c r="T397" t="inlineStr">
        <is>
          <t>Aline Batista</t>
        </is>
      </c>
      <c r="U397" t="inlineStr">
        <is>
          <t>24/04/2026</t>
        </is>
      </c>
      <c r="V397" t="inlineStr">
        <is>
          <t>01/05/2026</t>
        </is>
      </c>
      <c r="W397">
        <v>40</v>
      </c>
      <c r="AA397" t="inlineStr">
        <is>
          <t>Aberta 30-60 dias</t>
        </is>
      </c>
    </row>
    <row r="398">
      <c r="A398">
        <v>396</v>
      </c>
      <c r="B398">
        <v>2</v>
      </c>
      <c r="C398" t="inlineStr">
        <is>
          <t>1.5</t>
        </is>
      </c>
      <c r="D398" t="inlineStr">
        <is>
          <t>C02</t>
        </is>
      </c>
      <c r="E398" t="inlineStr">
        <is>
          <t>LE</t>
        </is>
      </c>
      <c r="F398" t="inlineStr">
        <is>
          <t>ATERPA</t>
        </is>
      </c>
      <c r="G398" t="inlineStr">
        <is>
          <t>CLP-011</t>
        </is>
      </c>
      <c r="H398" t="inlineStr">
        <is>
          <t>Fiscalização</t>
        </is>
      </c>
      <c r="I398">
        <v>4</v>
      </c>
      <c r="J398" t="inlineStr">
        <is>
          <t>Terraplenagem</t>
        </is>
      </c>
      <c r="K398" t="inlineStr">
        <is>
          <t xml:space="preserve">4.11 </t>
        </is>
      </c>
      <c r="L398" t="inlineStr">
        <is>
          <t>Talude</t>
        </is>
      </c>
      <c r="M398" t="inlineStr">
        <is>
          <t>Erosões</t>
        </is>
      </c>
      <c r="N398" t="inlineStr">
        <is>
          <t>Erosões no talude do lado esquerdo.</t>
        </is>
      </c>
      <c r="O398" t="inlineStr">
        <is>
          <t>Tipo A</t>
        </is>
      </c>
      <c r="P398" t="inlineStr">
        <is>
          <t xml:space="preserve"> 47+580</t>
        </is>
      </c>
      <c r="Q398" t="inlineStr">
        <is>
          <t xml:space="preserve"> 47+580</t>
        </is>
      </c>
      <c r="R398" t="inlineStr">
        <is>
          <t>Aberta</t>
        </is>
      </c>
      <c r="T398" t="inlineStr">
        <is>
          <t>Aline Batista</t>
        </is>
      </c>
      <c r="U398" t="inlineStr">
        <is>
          <t>24/04/2026</t>
        </is>
      </c>
      <c r="V398" t="inlineStr">
        <is>
          <t>01/05/2026</t>
        </is>
      </c>
      <c r="W398">
        <v>40</v>
      </c>
      <c r="AA398" t="inlineStr">
        <is>
          <t>Aberta 30-60 dias</t>
        </is>
      </c>
    </row>
    <row r="399">
      <c r="A399">
        <v>397</v>
      </c>
      <c r="B399">
        <v>2</v>
      </c>
      <c r="C399" t="inlineStr">
        <is>
          <t>1.5</t>
        </is>
      </c>
      <c r="D399" t="inlineStr">
        <is>
          <t>A03</t>
        </is>
      </c>
      <c r="E399" t="inlineStr">
        <is>
          <t>LE</t>
        </is>
      </c>
      <c r="F399" t="inlineStr">
        <is>
          <t>ATERPA</t>
        </is>
      </c>
      <c r="G399" t="inlineStr">
        <is>
          <t>CLP-011</t>
        </is>
      </c>
      <c r="H399" t="inlineStr">
        <is>
          <t>Fiscalização</t>
        </is>
      </c>
      <c r="I399">
        <v>4</v>
      </c>
      <c r="J399" t="inlineStr">
        <is>
          <t>Terraplenagem</t>
        </is>
      </c>
      <c r="K399" t="inlineStr">
        <is>
          <t xml:space="preserve">4.11 </t>
        </is>
      </c>
      <c r="L399" t="inlineStr">
        <is>
          <t>Talude</t>
        </is>
      </c>
      <c r="M399" t="inlineStr">
        <is>
          <t>Erosões</t>
        </is>
      </c>
      <c r="N399" t="inlineStr">
        <is>
          <t>Erosões no talude do lado esquerdo.</t>
        </is>
      </c>
      <c r="O399" t="inlineStr">
        <is>
          <t>Tipo A</t>
        </is>
      </c>
      <c r="P399" t="inlineStr">
        <is>
          <t>47+730</t>
        </is>
      </c>
      <c r="Q399" t="inlineStr">
        <is>
          <t>47+730</t>
        </is>
      </c>
      <c r="R399" t="inlineStr">
        <is>
          <t>Aberta</t>
        </is>
      </c>
      <c r="T399" t="inlineStr">
        <is>
          <t>Aline Batista</t>
        </is>
      </c>
      <c r="U399" t="inlineStr">
        <is>
          <t>24/04/2026</t>
        </is>
      </c>
      <c r="V399" t="inlineStr">
        <is>
          <t>01/05/2026</t>
        </is>
      </c>
      <c r="W399">
        <v>40</v>
      </c>
      <c r="AA399" t="inlineStr">
        <is>
          <t>Aberta 30-60 dias</t>
        </is>
      </c>
    </row>
    <row r="400">
      <c r="A400">
        <v>398</v>
      </c>
      <c r="B400">
        <v>2</v>
      </c>
      <c r="C400" t="inlineStr">
        <is>
          <t>1.5</t>
        </is>
      </c>
      <c r="D400" t="inlineStr">
        <is>
          <t>C03</t>
        </is>
      </c>
      <c r="E400" t="inlineStr">
        <is>
          <t>LD</t>
        </is>
      </c>
      <c r="F400" t="inlineStr">
        <is>
          <t>ATERPA</t>
        </is>
      </c>
      <c r="G400" t="inlineStr">
        <is>
          <t>CLP-011</t>
        </is>
      </c>
      <c r="H400" t="inlineStr">
        <is>
          <t>Fiscalização</t>
        </is>
      </c>
      <c r="I400">
        <v>4</v>
      </c>
      <c r="J400" t="inlineStr">
        <is>
          <t>Terraplenagem</t>
        </is>
      </c>
      <c r="K400" t="inlineStr">
        <is>
          <t xml:space="preserve">4.11 </t>
        </is>
      </c>
      <c r="L400" t="inlineStr">
        <is>
          <t>Talude</t>
        </is>
      </c>
      <c r="M400" t="inlineStr">
        <is>
          <t>Erosões</t>
        </is>
      </c>
      <c r="N400" t="inlineStr">
        <is>
          <t>Erosões no reaterro da passagem de gado no lado direito.</t>
        </is>
      </c>
      <c r="O400" t="inlineStr">
        <is>
          <t>Tipo A</t>
        </is>
      </c>
      <c r="P400" t="inlineStr">
        <is>
          <t xml:space="preserve">49+160 </t>
        </is>
      </c>
      <c r="Q400" t="inlineStr">
        <is>
          <t>49+480</t>
        </is>
      </c>
      <c r="R400" t="inlineStr">
        <is>
          <t>Aberta</t>
        </is>
      </c>
      <c r="T400" t="inlineStr">
        <is>
          <t>Aline Batista</t>
        </is>
      </c>
      <c r="U400" t="inlineStr">
        <is>
          <t>24/04/2026</t>
        </is>
      </c>
      <c r="V400" t="inlineStr">
        <is>
          <t>01/05/2026</t>
        </is>
      </c>
      <c r="W400">
        <v>40</v>
      </c>
      <c r="AA400" t="inlineStr">
        <is>
          <t>Aberta 30-60 dias</t>
        </is>
      </c>
    </row>
    <row r="401">
      <c r="A401">
        <v>399</v>
      </c>
      <c r="B401">
        <v>2</v>
      </c>
      <c r="C401" t="inlineStr">
        <is>
          <t>1.5</t>
        </is>
      </c>
      <c r="D401" t="inlineStr">
        <is>
          <t>A12</t>
        </is>
      </c>
      <c r="E401" t="inlineStr">
        <is>
          <t>LE</t>
        </is>
      </c>
      <c r="F401" t="inlineStr">
        <is>
          <t>ATERPA</t>
        </is>
      </c>
      <c r="G401" t="inlineStr">
        <is>
          <t>CLP-011</t>
        </is>
      </c>
      <c r="H401" t="inlineStr">
        <is>
          <t>Fiscalização</t>
        </is>
      </c>
      <c r="I401">
        <v>4</v>
      </c>
      <c r="J401" t="inlineStr">
        <is>
          <t>Terraplenagem</t>
        </is>
      </c>
      <c r="K401" t="inlineStr">
        <is>
          <t>4.11</t>
        </is>
      </c>
      <c r="L401" t="inlineStr">
        <is>
          <t>Talude</t>
        </is>
      </c>
      <c r="M401" t="inlineStr">
        <is>
          <t>Erosões</t>
        </is>
      </c>
      <c r="N401" t="inlineStr">
        <is>
          <t>Erosão com carreamento de material para fora da faixa no lado esquerdo.</t>
        </is>
      </c>
      <c r="O401" t="inlineStr">
        <is>
          <t>Tipo A</t>
        </is>
      </c>
      <c r="P401" t="inlineStr">
        <is>
          <t xml:space="preserve"> 54+450</t>
        </is>
      </c>
      <c r="Q401" t="inlineStr">
        <is>
          <t xml:space="preserve"> 54+450</t>
        </is>
      </c>
      <c r="R401" t="inlineStr">
        <is>
          <t>Aberta</t>
        </is>
      </c>
      <c r="T401" t="inlineStr">
        <is>
          <t>Aline Batista</t>
        </is>
      </c>
      <c r="U401" t="inlineStr">
        <is>
          <t>24/04/2026</t>
        </is>
      </c>
      <c r="V401" t="inlineStr">
        <is>
          <t>01/05/2026</t>
        </is>
      </c>
      <c r="W401">
        <v>40</v>
      </c>
      <c r="AA401" t="inlineStr">
        <is>
          <t>Aberta 30-60 dias</t>
        </is>
      </c>
    </row>
    <row r="402">
      <c r="A402">
        <v>400</v>
      </c>
      <c r="B402">
        <v>2</v>
      </c>
      <c r="C402" t="inlineStr">
        <is>
          <t>1.5</t>
        </is>
      </c>
      <c r="D402" t="inlineStr">
        <is>
          <t>A12</t>
        </is>
      </c>
      <c r="E402" t="inlineStr">
        <is>
          <t>LD</t>
        </is>
      </c>
      <c r="F402" t="inlineStr">
        <is>
          <t>ATERPA</t>
        </is>
      </c>
      <c r="G402" t="inlineStr">
        <is>
          <t>CLP-011</t>
        </is>
      </c>
      <c r="H402" t="inlineStr">
        <is>
          <t>Fiscalização</t>
        </is>
      </c>
      <c r="I402">
        <v>4</v>
      </c>
      <c r="J402" t="inlineStr">
        <is>
          <t>Terraplenagem</t>
        </is>
      </c>
      <c r="K402" t="inlineStr">
        <is>
          <t>4.11</t>
        </is>
      </c>
      <c r="L402" t="inlineStr">
        <is>
          <t>Talude</t>
        </is>
      </c>
      <c r="M402" t="inlineStr">
        <is>
          <t>Erosões</t>
        </is>
      </c>
      <c r="N402" t="inlineStr">
        <is>
          <t>Erosão no talude do lado direito.</t>
        </is>
      </c>
      <c r="O402" t="inlineStr">
        <is>
          <t>Tipo A</t>
        </is>
      </c>
      <c r="P402" t="inlineStr">
        <is>
          <t>54+570</t>
        </is>
      </c>
      <c r="Q402" t="inlineStr">
        <is>
          <t>54+570</t>
        </is>
      </c>
      <c r="R402" t="inlineStr">
        <is>
          <t>Aberta</t>
        </is>
      </c>
      <c r="T402" t="inlineStr">
        <is>
          <t>Aline Batista</t>
        </is>
      </c>
      <c r="U402" t="inlineStr">
        <is>
          <t>24/04/2026</t>
        </is>
      </c>
      <c r="V402" t="inlineStr">
        <is>
          <t>01/05/2026</t>
        </is>
      </c>
      <c r="W402">
        <v>40</v>
      </c>
      <c r="AA402" t="inlineStr">
        <is>
          <t>Aberta 30-60 dias</t>
        </is>
      </c>
    </row>
    <row r="403">
      <c r="A403">
        <v>401</v>
      </c>
      <c r="B403">
        <v>2</v>
      </c>
      <c r="C403" t="inlineStr">
        <is>
          <t>1.5</t>
        </is>
      </c>
      <c r="D403" t="inlineStr">
        <is>
          <t>C12</t>
        </is>
      </c>
      <c r="E403" t="inlineStr">
        <is>
          <t>LE/LD</t>
        </is>
      </c>
      <c r="F403" t="inlineStr">
        <is>
          <t>ATERPA</t>
        </is>
      </c>
      <c r="G403" t="inlineStr">
        <is>
          <t>CLP-011</t>
        </is>
      </c>
      <c r="H403" t="inlineStr">
        <is>
          <t>Protocolo</t>
        </is>
      </c>
      <c r="I403">
        <v>4</v>
      </c>
      <c r="J403" t="inlineStr">
        <is>
          <t>Terraplenagem</t>
        </is>
      </c>
      <c r="K403" t="inlineStr">
        <is>
          <t xml:space="preserve">4.11 </t>
        </is>
      </c>
      <c r="L403" t="inlineStr">
        <is>
          <t>Talude</t>
        </is>
      </c>
      <c r="M403" t="inlineStr">
        <is>
          <t>Conformação</t>
        </is>
      </c>
      <c r="N403" t="inlineStr">
        <is>
          <t>Conformação Do Talude Com Dispositivo De Drenagem E  Repasse De Hidrossemeadura, Sublastro Contaminado</t>
        </is>
      </c>
      <c r="O403" t="inlineStr">
        <is>
          <t>Tipo A</t>
        </is>
      </c>
      <c r="P403" t="inlineStr">
        <is>
          <t xml:space="preserve"> 54+160</t>
        </is>
      </c>
      <c r="Q403" t="inlineStr">
        <is>
          <t xml:space="preserve"> 54+160</t>
        </is>
      </c>
      <c r="R403" t="inlineStr">
        <is>
          <t>Aberta</t>
        </is>
      </c>
      <c r="T403" t="inlineStr">
        <is>
          <t>Aline Batista</t>
        </is>
      </c>
      <c r="U403" t="inlineStr">
        <is>
          <t>24/04/2026</t>
        </is>
      </c>
      <c r="V403" t="inlineStr">
        <is>
          <t>01/05/2026</t>
        </is>
      </c>
      <c r="W403">
        <v>40</v>
      </c>
      <c r="AA403" t="inlineStr">
        <is>
          <t>Aberta 30-60 dias</t>
        </is>
      </c>
    </row>
    <row r="404">
      <c r="A404">
        <v>402</v>
      </c>
      <c r="B404">
        <v>2</v>
      </c>
      <c r="C404" t="inlineStr">
        <is>
          <t>1.5</t>
        </is>
      </c>
      <c r="D404" t="inlineStr">
        <is>
          <t>C02</t>
        </is>
      </c>
      <c r="E404" t="inlineStr">
        <is>
          <t>LE</t>
        </is>
      </c>
      <c r="F404" t="inlineStr">
        <is>
          <t>ATERPA</t>
        </is>
      </c>
      <c r="G404" t="inlineStr">
        <is>
          <t>CLP-011</t>
        </is>
      </c>
      <c r="H404" t="inlineStr">
        <is>
          <t>Protocolo</t>
        </is>
      </c>
      <c r="I404">
        <v>5</v>
      </c>
      <c r="J404" t="inlineStr">
        <is>
          <t>Dreno Profundo</t>
        </is>
      </c>
      <c r="K404" t="inlineStr">
        <is>
          <t xml:space="preserve">5.2 </t>
        </is>
      </c>
      <c r="L404" t="inlineStr">
        <is>
          <t>Caixa de inspeção</t>
        </is>
      </c>
      <c r="M404" t="inlineStr">
        <is>
          <t>Execuçao divergente do projeto</t>
        </is>
      </c>
      <c r="N404" t="inlineStr">
        <is>
          <t>Caixa De Inspeçãpo De Dreno Aterrada</t>
        </is>
      </c>
      <c r="O404" t="inlineStr">
        <is>
          <t>Tipo A</t>
        </is>
      </c>
      <c r="P404" t="inlineStr">
        <is>
          <t>47+130</t>
        </is>
      </c>
      <c r="Q404" t="inlineStr">
        <is>
          <t>47+130</t>
        </is>
      </c>
      <c r="R404" t="inlineStr">
        <is>
          <t>Aberta</t>
        </is>
      </c>
      <c r="T404" t="inlineStr">
        <is>
          <t>Aline Batista</t>
        </is>
      </c>
      <c r="U404" t="inlineStr">
        <is>
          <t>24/04/2026</t>
        </is>
      </c>
      <c r="V404" t="inlineStr">
        <is>
          <t>01/05/2026</t>
        </is>
      </c>
      <c r="W404">
        <v>40</v>
      </c>
      <c r="AA404" t="inlineStr">
        <is>
          <t>Aberta 30-60 dias</t>
        </is>
      </c>
    </row>
    <row r="405">
      <c r="A405">
        <v>403</v>
      </c>
      <c r="B405">
        <v>2</v>
      </c>
      <c r="C405" t="inlineStr">
        <is>
          <t>1.5</t>
        </is>
      </c>
      <c r="D405" t="inlineStr">
        <is>
          <t>C02</t>
        </is>
      </c>
      <c r="E405" t="inlineStr">
        <is>
          <t>LE/LD</t>
        </is>
      </c>
      <c r="F405" t="inlineStr">
        <is>
          <t>ATERPA</t>
        </is>
      </c>
      <c r="G405" t="inlineStr">
        <is>
          <t>CLP-011</t>
        </is>
      </c>
      <c r="H405" t="inlineStr">
        <is>
          <t>Protocolo</t>
        </is>
      </c>
      <c r="I405">
        <v>5</v>
      </c>
      <c r="J405" t="inlineStr">
        <is>
          <t>Dreno Profundo</t>
        </is>
      </c>
      <c r="K405" t="inlineStr">
        <is>
          <t xml:space="preserve">5.2 </t>
        </is>
      </c>
      <c r="L405" t="inlineStr">
        <is>
          <t>Caixa de inspeção</t>
        </is>
      </c>
      <c r="M405" t="inlineStr">
        <is>
          <t>Execuçao divergente do projeto</t>
        </is>
      </c>
      <c r="N405" t="inlineStr">
        <is>
          <t>Caixa De Inspeçãpo De Dreno Aterrada</t>
        </is>
      </c>
      <c r="O405" t="inlineStr">
        <is>
          <t>Tipo A</t>
        </is>
      </c>
      <c r="P405" t="inlineStr">
        <is>
          <t>47+530</t>
        </is>
      </c>
      <c r="Q405" t="inlineStr">
        <is>
          <t>47+530</t>
        </is>
      </c>
      <c r="R405" t="inlineStr">
        <is>
          <t>Aberta</t>
        </is>
      </c>
      <c r="T405" t="inlineStr">
        <is>
          <t>Aline Batista</t>
        </is>
      </c>
      <c r="U405" t="inlineStr">
        <is>
          <t>24/04/2026</t>
        </is>
      </c>
      <c r="V405" t="inlineStr">
        <is>
          <t>01/05/2026</t>
        </is>
      </c>
      <c r="W405">
        <v>40</v>
      </c>
      <c r="AA405" t="inlineStr">
        <is>
          <t>Aberta 30-60 dias</t>
        </is>
      </c>
    </row>
    <row r="406">
      <c r="A406">
        <v>404</v>
      </c>
      <c r="B406">
        <v>2</v>
      </c>
      <c r="C406" t="inlineStr">
        <is>
          <t>1.5</t>
        </is>
      </c>
      <c r="D406" t="inlineStr">
        <is>
          <t>C03</t>
        </is>
      </c>
      <c r="E406" t="inlineStr">
        <is>
          <t>LE</t>
        </is>
      </c>
      <c r="F406" t="inlineStr">
        <is>
          <t>ATERPA</t>
        </is>
      </c>
      <c r="G406" t="inlineStr">
        <is>
          <t>CLP-011</t>
        </is>
      </c>
      <c r="H406" t="inlineStr">
        <is>
          <t>Protocolo</t>
        </is>
      </c>
      <c r="I406">
        <v>5</v>
      </c>
      <c r="J406" t="inlineStr">
        <is>
          <t>Dreno Profundo</t>
        </is>
      </c>
      <c r="K406" t="inlineStr">
        <is>
          <t>5.2</t>
        </is>
      </c>
      <c r="L406" t="inlineStr">
        <is>
          <t>Caixa de inspeção</t>
        </is>
      </c>
      <c r="M406" t="inlineStr">
        <is>
          <t>Acabamento do concreto</t>
        </is>
      </c>
      <c r="N406" t="inlineStr">
        <is>
          <t>Caixa De Inspeçãpo De Dreno Com Armadura Exposta</t>
        </is>
      </c>
      <c r="O406" t="inlineStr">
        <is>
          <t>Tipo A</t>
        </is>
      </c>
      <c r="P406" t="inlineStr">
        <is>
          <t>49+340</t>
        </is>
      </c>
      <c r="Q406" t="inlineStr">
        <is>
          <t>49+340</t>
        </is>
      </c>
      <c r="R406" t="inlineStr">
        <is>
          <t>Aberta</t>
        </is>
      </c>
      <c r="T406" t="inlineStr">
        <is>
          <t>Aline Batista</t>
        </is>
      </c>
      <c r="U406" t="inlineStr">
        <is>
          <t>24/04/2026</t>
        </is>
      </c>
      <c r="V406" t="inlineStr">
        <is>
          <t>01/05/2026</t>
        </is>
      </c>
      <c r="W406">
        <v>40</v>
      </c>
      <c r="AA406" t="inlineStr">
        <is>
          <t>Aberta 30-60 dias</t>
        </is>
      </c>
    </row>
    <row r="407">
      <c r="A407">
        <v>405</v>
      </c>
      <c r="B407">
        <v>2</v>
      </c>
      <c r="C407" t="inlineStr">
        <is>
          <t>1.5</t>
        </is>
      </c>
      <c r="D407" t="inlineStr">
        <is>
          <t>A10</t>
        </is>
      </c>
      <c r="E407" t="inlineStr">
        <is>
          <t>LE/LD</t>
        </is>
      </c>
      <c r="F407" t="inlineStr">
        <is>
          <t>ATERPA</t>
        </is>
      </c>
      <c r="G407" t="inlineStr">
        <is>
          <t>CLP-011</t>
        </is>
      </c>
      <c r="H407" t="inlineStr">
        <is>
          <t>Protocolo</t>
        </is>
      </c>
      <c r="I407">
        <v>5</v>
      </c>
      <c r="J407" t="inlineStr">
        <is>
          <t>Dreno Profundo</t>
        </is>
      </c>
      <c r="K407" t="inlineStr">
        <is>
          <t xml:space="preserve">5.2 </t>
        </is>
      </c>
      <c r="L407" t="inlineStr">
        <is>
          <t>Tubos</t>
        </is>
      </c>
      <c r="M407" t="inlineStr">
        <is>
          <t>Limpeza/ remoção de material</t>
        </is>
      </c>
      <c r="N407" t="inlineStr">
        <is>
          <t>Sobra De Tubos Deixados Na Área</t>
        </is>
      </c>
      <c r="O407" t="inlineStr">
        <is>
          <t>Tipo C</t>
        </is>
      </c>
      <c r="P407" t="inlineStr">
        <is>
          <t xml:space="preserve"> 51+920</t>
        </is>
      </c>
      <c r="Q407" t="inlineStr">
        <is>
          <t xml:space="preserve"> 51+920</t>
        </is>
      </c>
      <c r="R407" t="inlineStr">
        <is>
          <t>Aberta</t>
        </is>
      </c>
      <c r="T407" t="inlineStr">
        <is>
          <t>Aline Batista</t>
        </is>
      </c>
      <c r="U407" t="inlineStr">
        <is>
          <t>24/04/2026</t>
        </is>
      </c>
      <c r="V407" t="inlineStr">
        <is>
          <t>24/05/2026</t>
        </is>
      </c>
      <c r="W407">
        <v>17</v>
      </c>
      <c r="AA407" t="inlineStr">
        <is>
          <t>Aberta 30-60 dias</t>
        </is>
      </c>
    </row>
    <row r="408">
      <c r="A408">
        <v>406</v>
      </c>
      <c r="B408">
        <v>2</v>
      </c>
      <c r="C408" t="inlineStr">
        <is>
          <t>1.5</t>
        </is>
      </c>
      <c r="D408" t="inlineStr">
        <is>
          <t>C02</t>
        </is>
      </c>
      <c r="E408" t="inlineStr">
        <is>
          <t>LE/LD</t>
        </is>
      </c>
      <c r="F408" t="inlineStr">
        <is>
          <t>ATERPA</t>
        </is>
      </c>
      <c r="G408" t="inlineStr">
        <is>
          <t>CLP-011</t>
        </is>
      </c>
      <c r="H408" t="inlineStr">
        <is>
          <t>Protocolo</t>
        </is>
      </c>
      <c r="I408">
        <v>5</v>
      </c>
      <c r="J408" t="inlineStr">
        <is>
          <t>Dreno Profundo</t>
        </is>
      </c>
      <c r="K408" t="inlineStr">
        <is>
          <t xml:space="preserve">5.5 </t>
        </is>
      </c>
      <c r="L408" t="inlineStr">
        <is>
          <t>DSH</t>
        </is>
      </c>
      <c r="M408" t="inlineStr">
        <is>
          <t>Dispositivo não executado</t>
        </is>
      </c>
      <c r="N408" t="inlineStr">
        <is>
          <t>Pendente Execução Dos Terminais De Dreno</t>
        </is>
      </c>
      <c r="O408" t="inlineStr">
        <is>
          <t>Tipo A</t>
        </is>
      </c>
      <c r="P408" t="inlineStr">
        <is>
          <t>47+250</t>
        </is>
      </c>
      <c r="Q408" t="inlineStr">
        <is>
          <t>47+250</t>
        </is>
      </c>
      <c r="R408" t="inlineStr">
        <is>
          <t>Aberta</t>
        </is>
      </c>
      <c r="T408" t="inlineStr">
        <is>
          <t>Aline Batista</t>
        </is>
      </c>
      <c r="U408" t="inlineStr">
        <is>
          <t>24/04/2026</t>
        </is>
      </c>
      <c r="V408" t="inlineStr">
        <is>
          <t>01/05/2026</t>
        </is>
      </c>
      <c r="W408">
        <v>40</v>
      </c>
      <c r="AA408" t="inlineStr">
        <is>
          <t>Aberta 30-60 dias</t>
        </is>
      </c>
    </row>
    <row r="409">
      <c r="A409">
        <v>407</v>
      </c>
      <c r="B409">
        <v>2</v>
      </c>
      <c r="C409" t="inlineStr">
        <is>
          <t>1.5</t>
        </is>
      </c>
      <c r="D409" t="inlineStr">
        <is>
          <t>C02</t>
        </is>
      </c>
      <c r="E409" t="inlineStr">
        <is>
          <t>LE/LD</t>
        </is>
      </c>
      <c r="F409" t="inlineStr">
        <is>
          <t>ATERPA</t>
        </is>
      </c>
      <c r="G409" t="inlineStr">
        <is>
          <t>CLP-011</t>
        </is>
      </c>
      <c r="H409" t="inlineStr">
        <is>
          <t>Protocolo</t>
        </is>
      </c>
      <c r="I409">
        <v>5</v>
      </c>
      <c r="J409" t="inlineStr">
        <is>
          <t>Dreno Profundo</t>
        </is>
      </c>
      <c r="K409" t="inlineStr">
        <is>
          <t xml:space="preserve">5.5 </t>
        </is>
      </c>
      <c r="L409" t="inlineStr">
        <is>
          <t>DPS</t>
        </is>
      </c>
      <c r="M409" t="inlineStr">
        <is>
          <t>Dispositivo não executado</t>
        </is>
      </c>
      <c r="N409" t="inlineStr">
        <is>
          <t>Pendente Execução Dos Terminais De Dreno</t>
        </is>
      </c>
      <c r="O409" t="inlineStr">
        <is>
          <t>Tipo A</t>
        </is>
      </c>
      <c r="P409" t="inlineStr">
        <is>
          <t xml:space="preserve"> 47+750</t>
        </is>
      </c>
      <c r="Q409" t="inlineStr">
        <is>
          <t xml:space="preserve"> 47+750</t>
        </is>
      </c>
      <c r="R409" t="inlineStr">
        <is>
          <t>Aberta</t>
        </is>
      </c>
      <c r="T409" t="inlineStr">
        <is>
          <t>Aline Batista</t>
        </is>
      </c>
      <c r="U409" t="inlineStr">
        <is>
          <t>24/04/2026</t>
        </is>
      </c>
      <c r="V409" t="inlineStr">
        <is>
          <t>01/05/2026</t>
        </is>
      </c>
      <c r="W409">
        <v>40</v>
      </c>
      <c r="AA409" t="inlineStr">
        <is>
          <t>Aberta 30-60 dias</t>
        </is>
      </c>
    </row>
    <row r="410">
      <c r="A410">
        <v>408</v>
      </c>
      <c r="B410">
        <v>2</v>
      </c>
      <c r="C410" t="inlineStr">
        <is>
          <t>1.5</t>
        </is>
      </c>
      <c r="D410" t="inlineStr">
        <is>
          <t>C05/A07</t>
        </is>
      </c>
      <c r="E410" t="inlineStr">
        <is>
          <t>LE/EX/LD</t>
        </is>
      </c>
      <c r="F410" t="inlineStr">
        <is>
          <t>ATERPA</t>
        </is>
      </c>
      <c r="G410" t="inlineStr">
        <is>
          <t>CLP-011</t>
        </is>
      </c>
      <c r="H410" t="inlineStr">
        <is>
          <t>Fiscalização</t>
        </is>
      </c>
      <c r="I410">
        <v>5</v>
      </c>
      <c r="J410" t="inlineStr">
        <is>
          <t>Dreno Profundo</t>
        </is>
      </c>
      <c r="K410" t="inlineStr">
        <is>
          <t xml:space="preserve">5.6 </t>
        </is>
      </c>
      <c r="L410" t="inlineStr">
        <is>
          <t>Colchão drenante</t>
        </is>
      </c>
      <c r="M410" t="inlineStr">
        <is>
          <t>Colmatação colchão drenante</t>
        </is>
      </c>
      <c r="N410" t="inlineStr">
        <is>
          <t>Colchão Drenante Com Material Diverso, Comatação</t>
        </is>
      </c>
      <c r="O410" t="inlineStr">
        <is>
          <t>Tipo A</t>
        </is>
      </c>
      <c r="P410" t="inlineStr">
        <is>
          <t xml:space="preserve"> 50+270</t>
        </is>
      </c>
      <c r="Q410" t="inlineStr">
        <is>
          <t>50+550</t>
        </is>
      </c>
      <c r="R410" t="inlineStr">
        <is>
          <t>Aberta</t>
        </is>
      </c>
      <c r="T410" t="inlineStr">
        <is>
          <t>Aline Batista</t>
        </is>
      </c>
      <c r="U410" t="inlineStr">
        <is>
          <t>24/04/2026</t>
        </is>
      </c>
      <c r="V410" t="inlineStr">
        <is>
          <t>01/05/2026</t>
        </is>
      </c>
      <c r="W410">
        <v>40</v>
      </c>
      <c r="AA410" t="inlineStr">
        <is>
          <t>Aberta 30-60 dias</t>
        </is>
      </c>
    </row>
    <row r="411">
      <c r="A411">
        <v>409</v>
      </c>
      <c r="B411">
        <v>2</v>
      </c>
      <c r="C411" t="inlineStr">
        <is>
          <t>1.5</t>
        </is>
      </c>
      <c r="D411" t="inlineStr">
        <is>
          <t>C12</t>
        </is>
      </c>
      <c r="E411" t="inlineStr">
        <is>
          <t>LE/EX/LD</t>
        </is>
      </c>
      <c r="F411" t="inlineStr">
        <is>
          <t>ATERPA</t>
        </is>
      </c>
      <c r="G411" t="inlineStr">
        <is>
          <t>CLP-011</t>
        </is>
      </c>
      <c r="H411" t="inlineStr">
        <is>
          <t>Protocolo</t>
        </is>
      </c>
      <c r="I411">
        <v>5</v>
      </c>
      <c r="J411" t="inlineStr">
        <is>
          <t>Dreno Profundo</t>
        </is>
      </c>
      <c r="K411" t="inlineStr">
        <is>
          <t xml:space="preserve">5.6 </t>
        </is>
      </c>
      <c r="L411" t="inlineStr">
        <is>
          <t>Colchão drenante</t>
        </is>
      </c>
      <c r="M411" t="inlineStr">
        <is>
          <t>Colmatação colchão drenante</t>
        </is>
      </c>
      <c r="N411" t="inlineStr">
        <is>
          <t>Colchão Drenante Com Material Diverso, Comatação</t>
        </is>
      </c>
      <c r="O411" t="inlineStr">
        <is>
          <t>Tipo A</t>
        </is>
      </c>
      <c r="P411" t="inlineStr">
        <is>
          <t xml:space="preserve"> 53+440</t>
        </is>
      </c>
      <c r="Q411" t="inlineStr">
        <is>
          <t xml:space="preserve"> 53+440</t>
        </is>
      </c>
      <c r="R411" t="inlineStr">
        <is>
          <t>Aberta</t>
        </is>
      </c>
      <c r="T411" t="inlineStr">
        <is>
          <t>Aline Batista</t>
        </is>
      </c>
      <c r="U411" t="inlineStr">
        <is>
          <t>24/04/2026</t>
        </is>
      </c>
      <c r="V411" t="inlineStr">
        <is>
          <t>01/05/2026</t>
        </is>
      </c>
      <c r="W411">
        <v>40</v>
      </c>
      <c r="AA411" t="inlineStr">
        <is>
          <t>Aberta 30-60 dias</t>
        </is>
      </c>
    </row>
    <row r="412">
      <c r="A412">
        <v>410</v>
      </c>
      <c r="B412">
        <v>2</v>
      </c>
      <c r="C412" t="inlineStr">
        <is>
          <t>1.5</t>
        </is>
      </c>
      <c r="D412" t="inlineStr">
        <is>
          <t>A04</t>
        </is>
      </c>
      <c r="E412" t="inlineStr">
        <is>
          <t>LE</t>
        </is>
      </c>
      <c r="F412" t="inlineStr">
        <is>
          <t>ATERPA</t>
        </is>
      </c>
      <c r="G412" t="inlineStr">
        <is>
          <t>CLP-011</t>
        </is>
      </c>
      <c r="H412" t="inlineStr">
        <is>
          <t>Protocolo</t>
        </is>
      </c>
      <c r="I412">
        <v>6</v>
      </c>
      <c r="J412" t="inlineStr">
        <is>
          <t>Drenagem Superficial</t>
        </is>
      </c>
      <c r="K412" t="inlineStr">
        <is>
          <t xml:space="preserve">6.1 </t>
        </is>
      </c>
      <c r="L412" t="inlineStr">
        <is>
          <t>Drenagem</t>
        </is>
      </c>
      <c r="M412" t="inlineStr">
        <is>
          <t>Execuçao divergente do projeto</t>
        </is>
      </c>
      <c r="N412" t="inlineStr">
        <is>
          <t>Valeta Escvada, Verificar Em Projeto, Aplicação De Hidrossemeadura</t>
        </is>
      </c>
      <c r="O412" t="inlineStr">
        <is>
          <t>Tipo A</t>
        </is>
      </c>
      <c r="P412" t="inlineStr">
        <is>
          <t>49+140</t>
        </is>
      </c>
      <c r="Q412" t="inlineStr">
        <is>
          <t>49+140</t>
        </is>
      </c>
      <c r="R412" t="inlineStr">
        <is>
          <t>Aberta</t>
        </is>
      </c>
      <c r="T412" t="inlineStr">
        <is>
          <t>Aline Batista</t>
        </is>
      </c>
      <c r="U412" t="inlineStr">
        <is>
          <t>24/04/2026</t>
        </is>
      </c>
      <c r="V412" t="inlineStr">
        <is>
          <t>01/05/2026</t>
        </is>
      </c>
      <c r="W412">
        <v>40</v>
      </c>
      <c r="AA412" t="inlineStr">
        <is>
          <t>Aberta 30-60 dias</t>
        </is>
      </c>
    </row>
    <row r="413">
      <c r="A413">
        <v>411</v>
      </c>
      <c r="B413">
        <v>2</v>
      </c>
      <c r="C413" t="inlineStr">
        <is>
          <t>1.5</t>
        </is>
      </c>
      <c r="D413" t="inlineStr">
        <is>
          <t>A10</t>
        </is>
      </c>
      <c r="E413" t="inlineStr">
        <is>
          <t>LE</t>
        </is>
      </c>
      <c r="F413" t="inlineStr">
        <is>
          <t>ATERPA</t>
        </is>
      </c>
      <c r="G413" t="inlineStr">
        <is>
          <t>CLP-011</t>
        </is>
      </c>
      <c r="H413" t="inlineStr">
        <is>
          <t>Protocolo</t>
        </is>
      </c>
      <c r="I413">
        <v>6</v>
      </c>
      <c r="J413" t="inlineStr">
        <is>
          <t>Drenagem Superficial</t>
        </is>
      </c>
      <c r="K413" t="inlineStr">
        <is>
          <t xml:space="preserve">6.1 </t>
        </is>
      </c>
      <c r="L413" t="inlineStr">
        <is>
          <t>VPC</t>
        </is>
      </c>
      <c r="M413" t="inlineStr">
        <is>
          <t>Dispositivo não executado</t>
        </is>
      </c>
      <c r="N413" t="inlineStr">
        <is>
          <t>Não Foi Evidenciado A Execução Do Dispositivo</t>
        </is>
      </c>
      <c r="O413" t="inlineStr">
        <is>
          <t>Tipo A</t>
        </is>
      </c>
      <c r="P413" t="inlineStr">
        <is>
          <t>51+920</t>
        </is>
      </c>
      <c r="Q413" t="inlineStr">
        <is>
          <t>51+920</t>
        </is>
      </c>
      <c r="R413" t="inlineStr">
        <is>
          <t>Aberta</t>
        </is>
      </c>
      <c r="T413" t="inlineStr">
        <is>
          <t>Aline Batista</t>
        </is>
      </c>
      <c r="U413" t="inlineStr">
        <is>
          <t>24/04/2026</t>
        </is>
      </c>
      <c r="V413" t="inlineStr">
        <is>
          <t>01/05/2026</t>
        </is>
      </c>
      <c r="W413">
        <v>40</v>
      </c>
      <c r="AA413" t="inlineStr">
        <is>
          <t>Aberta 30-60 dias</t>
        </is>
      </c>
    </row>
    <row r="414">
      <c r="A414">
        <v>412</v>
      </c>
      <c r="B414">
        <v>2</v>
      </c>
      <c r="C414" t="inlineStr">
        <is>
          <t>1.5</t>
        </is>
      </c>
      <c r="D414" t="inlineStr">
        <is>
          <t>C08/A11/A12</t>
        </is>
      </c>
      <c r="E414" t="inlineStr">
        <is>
          <t>LD/LE</t>
        </is>
      </c>
      <c r="F414" t="inlineStr">
        <is>
          <t>ATERPA</t>
        </is>
      </c>
      <c r="G414" t="inlineStr">
        <is>
          <t>CLP-011</t>
        </is>
      </c>
      <c r="H414" t="inlineStr">
        <is>
          <t>Protocolo</t>
        </is>
      </c>
      <c r="I414">
        <v>6</v>
      </c>
      <c r="J414" t="inlineStr">
        <is>
          <t>Drenagem Superficial</t>
        </is>
      </c>
      <c r="K414" t="inlineStr">
        <is>
          <t xml:space="preserve">6.2 </t>
        </is>
      </c>
      <c r="L414" t="inlineStr">
        <is>
          <t>Drenagem</t>
        </is>
      </c>
      <c r="M414" t="inlineStr">
        <is>
          <t>Dispositivo não executado</t>
        </is>
      </c>
      <c r="N414" t="inlineStr">
        <is>
          <t xml:space="preserve">Pendente Conclusão  </t>
        </is>
      </c>
      <c r="O414" t="inlineStr">
        <is>
          <t>Tipo A</t>
        </is>
      </c>
      <c r="P414" t="inlineStr">
        <is>
          <t xml:space="preserve"> 51+380</t>
        </is>
      </c>
      <c r="Q414" t="inlineStr">
        <is>
          <t>54+980</t>
        </is>
      </c>
      <c r="R414" t="inlineStr">
        <is>
          <t>Aberta</t>
        </is>
      </c>
      <c r="T414" t="inlineStr">
        <is>
          <t>Aline Batista</t>
        </is>
      </c>
      <c r="U414" t="inlineStr">
        <is>
          <t>24/04/2026</t>
        </is>
      </c>
      <c r="V414" t="inlineStr">
        <is>
          <t>01/05/2026</t>
        </is>
      </c>
      <c r="W414">
        <v>40</v>
      </c>
      <c r="AA414" t="inlineStr">
        <is>
          <t>Aberta 30-60 dias</t>
        </is>
      </c>
    </row>
    <row r="415">
      <c r="A415">
        <v>413</v>
      </c>
      <c r="B415">
        <v>2</v>
      </c>
      <c r="C415" t="inlineStr">
        <is>
          <t>1.5</t>
        </is>
      </c>
      <c r="D415" t="inlineStr">
        <is>
          <t>A01/A04/A11</t>
        </is>
      </c>
      <c r="E415" t="inlineStr">
        <is>
          <t>LE/LD</t>
        </is>
      </c>
      <c r="F415" t="inlineStr">
        <is>
          <t>ATERPA</t>
        </is>
      </c>
      <c r="G415" t="inlineStr">
        <is>
          <t>CLP-011</t>
        </is>
      </c>
      <c r="H415" t="inlineStr">
        <is>
          <t>Protocolo</t>
        </is>
      </c>
      <c r="I415">
        <v>6</v>
      </c>
      <c r="J415" t="inlineStr">
        <is>
          <t>Drenagem Superficial</t>
        </is>
      </c>
      <c r="K415" t="inlineStr">
        <is>
          <t xml:space="preserve">6.3 </t>
        </is>
      </c>
      <c r="L415" t="inlineStr">
        <is>
          <t>EDA 01</t>
        </is>
      </c>
      <c r="M415" t="inlineStr">
        <is>
          <t>Execuçao divergente do projeto</t>
        </is>
      </c>
      <c r="N415" t="inlineStr">
        <is>
          <t xml:space="preserve">EDA 01 Executada Em Desacordo Com Com O Projeto </t>
        </is>
      </c>
      <c r="O415" t="inlineStr">
        <is>
          <t>Tipo A</t>
        </is>
      </c>
      <c r="P415" t="inlineStr">
        <is>
          <t>46+400</t>
        </is>
      </c>
      <c r="Q415" t="inlineStr">
        <is>
          <t>52+700</t>
        </is>
      </c>
      <c r="R415" t="inlineStr">
        <is>
          <t>Aberta</t>
        </is>
      </c>
      <c r="T415" t="inlineStr">
        <is>
          <t>Aline Batista</t>
        </is>
      </c>
      <c r="U415" t="inlineStr">
        <is>
          <t>24/04/2026</t>
        </is>
      </c>
      <c r="V415" t="inlineStr">
        <is>
          <t>01/05/2026</t>
        </is>
      </c>
      <c r="W415">
        <v>40</v>
      </c>
      <c r="AA415" t="inlineStr">
        <is>
          <t>Aberta 30-60 dias</t>
        </is>
      </c>
      <c r="AB415" t="inlineStr">
        <is>
          <t>GSA</t>
        </is>
      </c>
    </row>
    <row r="416">
      <c r="A416">
        <v>414</v>
      </c>
      <c r="B416">
        <v>2</v>
      </c>
      <c r="C416" t="inlineStr">
        <is>
          <t>1.5</t>
        </is>
      </c>
      <c r="D416" t="inlineStr">
        <is>
          <t>C05</t>
        </is>
      </c>
      <c r="E416" t="inlineStr">
        <is>
          <t>LD</t>
        </is>
      </c>
      <c r="F416" t="inlineStr">
        <is>
          <t>ATERPA</t>
        </is>
      </c>
      <c r="G416" t="inlineStr">
        <is>
          <t>CLP-011</t>
        </is>
      </c>
      <c r="H416" t="inlineStr">
        <is>
          <t>Protocolo</t>
        </is>
      </c>
      <c r="I416">
        <v>6</v>
      </c>
      <c r="J416" t="inlineStr">
        <is>
          <t>Drenagem Superficial</t>
        </is>
      </c>
      <c r="K416" t="inlineStr">
        <is>
          <t xml:space="preserve">6.5 </t>
        </is>
      </c>
      <c r="L416" t="inlineStr">
        <is>
          <t>Drenagem</t>
        </is>
      </c>
      <c r="M416" t="inlineStr">
        <is>
          <t>Execuçao divergente do projeto</t>
        </is>
      </c>
      <c r="N416" t="inlineStr">
        <is>
          <t>Dissipador Com A Cota Inferior  A Cota Do Terrono Natural, Conformação Lateral Do Talude</t>
        </is>
      </c>
      <c r="O416" t="inlineStr">
        <is>
          <t>Tipo A</t>
        </is>
      </c>
      <c r="P416" t="inlineStr">
        <is>
          <t xml:space="preserve"> 50+220</t>
        </is>
      </c>
      <c r="Q416" t="inlineStr">
        <is>
          <t xml:space="preserve"> 50+220</t>
        </is>
      </c>
      <c r="R416" t="inlineStr">
        <is>
          <t>Aberta</t>
        </is>
      </c>
      <c r="T416" t="inlineStr">
        <is>
          <t>Aline Batista</t>
        </is>
      </c>
      <c r="U416" t="inlineStr">
        <is>
          <t>24/04/2026</t>
        </is>
      </c>
      <c r="V416" t="inlineStr">
        <is>
          <t>01/05/2026</t>
        </is>
      </c>
      <c r="W416">
        <v>40</v>
      </c>
      <c r="AA416" t="inlineStr">
        <is>
          <t>Aberta 30-60 dias</t>
        </is>
      </c>
    </row>
    <row r="417">
      <c r="A417">
        <v>415</v>
      </c>
      <c r="B417">
        <v>2</v>
      </c>
      <c r="C417" t="inlineStr">
        <is>
          <t>1.5</t>
        </is>
      </c>
      <c r="D417" t="inlineStr">
        <is>
          <t>A02</t>
        </is>
      </c>
      <c r="E417" t="inlineStr">
        <is>
          <t>LE</t>
        </is>
      </c>
      <c r="F417" t="inlineStr">
        <is>
          <t>ATERPA</t>
        </is>
      </c>
      <c r="G417" t="inlineStr">
        <is>
          <t>CLP-011</t>
        </is>
      </c>
      <c r="H417" t="inlineStr">
        <is>
          <t>Protocolo</t>
        </is>
      </c>
      <c r="I417">
        <v>6</v>
      </c>
      <c r="J417" t="inlineStr">
        <is>
          <t>Drenagem Superficial</t>
        </is>
      </c>
      <c r="K417" t="inlineStr">
        <is>
          <t xml:space="preserve">6.6 </t>
        </is>
      </c>
      <c r="L417" t="inlineStr">
        <is>
          <t>DRA</t>
        </is>
      </c>
      <c r="M417" t="inlineStr">
        <is>
          <t>Conformação</t>
        </is>
      </c>
      <c r="N417" t="inlineStr">
        <is>
          <t>Compactação Na Lateral Do Dispositivo</t>
        </is>
      </c>
      <c r="O417" t="inlineStr">
        <is>
          <t>Tipo A</t>
        </is>
      </c>
      <c r="P417" t="inlineStr">
        <is>
          <t xml:space="preserve"> 46+910</t>
        </is>
      </c>
      <c r="Q417" t="inlineStr">
        <is>
          <t xml:space="preserve"> 46+910</t>
        </is>
      </c>
      <c r="R417" t="inlineStr">
        <is>
          <t>Aberta</t>
        </is>
      </c>
      <c r="T417" t="inlineStr">
        <is>
          <t>Aline Batista</t>
        </is>
      </c>
      <c r="U417" t="inlineStr">
        <is>
          <t>24/04/2026</t>
        </is>
      </c>
      <c r="V417" t="inlineStr">
        <is>
          <t>01/05/2026</t>
        </is>
      </c>
      <c r="W417">
        <v>40</v>
      </c>
      <c r="AA417" t="inlineStr">
        <is>
          <t>Aberta 30-60 dias</t>
        </is>
      </c>
      <c r="AB417" t="inlineStr">
        <is>
          <t>GSA</t>
        </is>
      </c>
    </row>
    <row r="418">
      <c r="A418">
        <v>416</v>
      </c>
      <c r="B418">
        <v>2</v>
      </c>
      <c r="C418" t="inlineStr">
        <is>
          <t>1.5</t>
        </is>
      </c>
      <c r="D418" t="inlineStr">
        <is>
          <t>A02</t>
        </is>
      </c>
      <c r="E418" t="inlineStr">
        <is>
          <t>LE</t>
        </is>
      </c>
      <c r="F418" t="inlineStr">
        <is>
          <t>ATERPA</t>
        </is>
      </c>
      <c r="G418" t="inlineStr">
        <is>
          <t>CLP-011</t>
        </is>
      </c>
      <c r="H418" t="inlineStr">
        <is>
          <t>Protocolo</t>
        </is>
      </c>
      <c r="I418">
        <v>6</v>
      </c>
      <c r="J418" t="inlineStr">
        <is>
          <t>Drenagem Superficial</t>
        </is>
      </c>
      <c r="K418" t="inlineStr">
        <is>
          <t xml:space="preserve">6.6 </t>
        </is>
      </c>
      <c r="L418" t="inlineStr">
        <is>
          <t>TSS</t>
        </is>
      </c>
      <c r="M418" t="inlineStr">
        <is>
          <t>Assoreamento</t>
        </is>
      </c>
      <c r="N418" t="inlineStr">
        <is>
          <t>Assoreamento Na Lateral Do Dispositivo</t>
        </is>
      </c>
      <c r="O418" t="inlineStr">
        <is>
          <t>Tipo A</t>
        </is>
      </c>
      <c r="P418" t="inlineStr">
        <is>
          <t>47+020</t>
        </is>
      </c>
      <c r="Q418" t="inlineStr">
        <is>
          <t>47+020</t>
        </is>
      </c>
      <c r="R418" t="inlineStr">
        <is>
          <t>Aberta</t>
        </is>
      </c>
      <c r="T418" t="inlineStr">
        <is>
          <t>Aline Batista</t>
        </is>
      </c>
      <c r="U418" t="inlineStr">
        <is>
          <t>24/04/2026</t>
        </is>
      </c>
      <c r="V418" t="inlineStr">
        <is>
          <t>01/05/2026</t>
        </is>
      </c>
      <c r="W418">
        <v>40</v>
      </c>
      <c r="AA418" t="inlineStr">
        <is>
          <t>Aberta 30-60 dias</t>
        </is>
      </c>
    </row>
    <row r="419">
      <c r="A419">
        <v>417</v>
      </c>
      <c r="B419">
        <v>2</v>
      </c>
      <c r="C419" t="inlineStr">
        <is>
          <t>1.5</t>
        </is>
      </c>
      <c r="D419" t="inlineStr">
        <is>
          <t>A11</t>
        </is>
      </c>
      <c r="E419" t="inlineStr">
        <is>
          <t>LE</t>
        </is>
      </c>
      <c r="F419" t="inlineStr">
        <is>
          <t>ATERPA</t>
        </is>
      </c>
      <c r="G419" t="inlineStr">
        <is>
          <t>CLP-011</t>
        </is>
      </c>
      <c r="H419" t="inlineStr">
        <is>
          <t>Protocolo</t>
        </is>
      </c>
      <c r="I419">
        <v>6</v>
      </c>
      <c r="J419" t="inlineStr">
        <is>
          <t>Drenagem Superficial</t>
        </is>
      </c>
      <c r="K419" t="inlineStr">
        <is>
          <t>6.6</t>
        </is>
      </c>
      <c r="L419" t="inlineStr">
        <is>
          <t>VPC</t>
        </is>
      </c>
      <c r="M419" t="inlineStr">
        <is>
          <t>Assoreamento</t>
        </is>
      </c>
      <c r="N419" t="inlineStr">
        <is>
          <t>Assoreamento Na Lateral Do Dispositivo</t>
        </is>
      </c>
      <c r="O419" t="inlineStr">
        <is>
          <t>Tipo A</t>
        </is>
      </c>
      <c r="P419" t="inlineStr">
        <is>
          <t>53+080</t>
        </is>
      </c>
      <c r="Q419" t="inlineStr">
        <is>
          <t>53+080</t>
        </is>
      </c>
      <c r="R419" t="inlineStr">
        <is>
          <t>Aberta</t>
        </is>
      </c>
      <c r="T419" t="inlineStr">
        <is>
          <t>Aline Batista</t>
        </is>
      </c>
      <c r="U419" t="inlineStr">
        <is>
          <t>24/04/2026</t>
        </is>
      </c>
      <c r="V419" t="inlineStr">
        <is>
          <t>01/05/2026</t>
        </is>
      </c>
      <c r="W419">
        <v>40</v>
      </c>
      <c r="AA419" t="inlineStr">
        <is>
          <t>Aberta 30-60 dias</t>
        </is>
      </c>
    </row>
    <row r="420">
      <c r="A420">
        <v>418</v>
      </c>
      <c r="B420">
        <v>2</v>
      </c>
      <c r="C420" t="inlineStr">
        <is>
          <t>1.5</t>
        </is>
      </c>
      <c r="D420" t="inlineStr">
        <is>
          <t>C02</t>
        </is>
      </c>
      <c r="E420" t="inlineStr">
        <is>
          <t>LE/LD</t>
        </is>
      </c>
      <c r="F420" t="inlineStr">
        <is>
          <t>ATERPA</t>
        </is>
      </c>
      <c r="G420" t="inlineStr">
        <is>
          <t>CLP-011</t>
        </is>
      </c>
      <c r="H420" t="inlineStr">
        <is>
          <t>Protocolo</t>
        </is>
      </c>
      <c r="I420">
        <v>6</v>
      </c>
      <c r="J420" t="inlineStr">
        <is>
          <t>Drenagem Superficial</t>
        </is>
      </c>
      <c r="K420" t="inlineStr">
        <is>
          <t xml:space="preserve">6.7 </t>
        </is>
      </c>
      <c r="L420" t="inlineStr">
        <is>
          <t>SZA</t>
        </is>
      </c>
      <c r="M420" t="inlineStr">
        <is>
          <t>Obstrução do dispositivo</t>
        </is>
      </c>
      <c r="N420" t="inlineStr">
        <is>
          <t>Despositivo De Drenagem Com Avarias E Obstruido</t>
        </is>
      </c>
      <c r="O420" t="inlineStr">
        <is>
          <t>Tipo A</t>
        </is>
      </c>
      <c r="P420" t="inlineStr">
        <is>
          <t xml:space="preserve"> 47+160</t>
        </is>
      </c>
      <c r="Q420" t="inlineStr">
        <is>
          <t xml:space="preserve"> 47+160</t>
        </is>
      </c>
      <c r="R420" t="inlineStr">
        <is>
          <t>Aberta</t>
        </is>
      </c>
      <c r="T420" t="inlineStr">
        <is>
          <t>Aline Batista</t>
        </is>
      </c>
      <c r="U420" t="inlineStr">
        <is>
          <t>24/04/2026</t>
        </is>
      </c>
      <c r="V420" t="inlineStr">
        <is>
          <t>01/05/2026</t>
        </is>
      </c>
      <c r="W420">
        <v>40</v>
      </c>
      <c r="AA420" t="inlineStr">
        <is>
          <t>Aberta 30-60 dias</t>
        </is>
      </c>
    </row>
    <row r="421">
      <c r="A421">
        <v>419</v>
      </c>
      <c r="B421">
        <v>2</v>
      </c>
      <c r="C421" t="inlineStr">
        <is>
          <t>1.5</t>
        </is>
      </c>
      <c r="D421" t="inlineStr">
        <is>
          <t>C02</t>
        </is>
      </c>
      <c r="E421" t="inlineStr">
        <is>
          <t>LE</t>
        </is>
      </c>
      <c r="F421" t="inlineStr">
        <is>
          <t>ATERPA</t>
        </is>
      </c>
      <c r="G421" t="inlineStr">
        <is>
          <t>CLP-011</t>
        </is>
      </c>
      <c r="H421" t="inlineStr">
        <is>
          <t>Protocolo</t>
        </is>
      </c>
      <c r="I421">
        <v>6</v>
      </c>
      <c r="J421" t="inlineStr">
        <is>
          <t>Drenagem Superficial</t>
        </is>
      </c>
      <c r="K421" t="inlineStr">
        <is>
          <t xml:space="preserve">6.7 </t>
        </is>
      </c>
      <c r="L421" t="inlineStr">
        <is>
          <t>SZA</t>
        </is>
      </c>
      <c r="M421" t="inlineStr">
        <is>
          <t>Patologias no Concreto</t>
        </is>
      </c>
      <c r="N421" t="inlineStr">
        <is>
          <t>Presença De Trincas</t>
        </is>
      </c>
      <c r="O421" t="inlineStr">
        <is>
          <t>Tipo A</t>
        </is>
      </c>
      <c r="P421" t="inlineStr">
        <is>
          <t>47+530</t>
        </is>
      </c>
      <c r="Q421" t="inlineStr">
        <is>
          <t>47+530</t>
        </is>
      </c>
      <c r="R421" t="inlineStr">
        <is>
          <t>Aberta</t>
        </is>
      </c>
      <c r="T421" t="inlineStr">
        <is>
          <t>Aline Batista</t>
        </is>
      </c>
      <c r="U421" t="inlineStr">
        <is>
          <t>24/04/2026</t>
        </is>
      </c>
      <c r="V421" t="inlineStr">
        <is>
          <t>01/05/2026</t>
        </is>
      </c>
      <c r="W421">
        <v>40</v>
      </c>
      <c r="AA421" t="inlineStr">
        <is>
          <t>Aberta 30-60 dias</t>
        </is>
      </c>
    </row>
    <row r="422">
      <c r="A422">
        <v>420</v>
      </c>
      <c r="B422">
        <v>2</v>
      </c>
      <c r="C422" t="inlineStr">
        <is>
          <t>1.5</t>
        </is>
      </c>
      <c r="D422" t="inlineStr">
        <is>
          <t>A05</t>
        </is>
      </c>
      <c r="E422" t="inlineStr">
        <is>
          <t>LE</t>
        </is>
      </c>
      <c r="F422" t="inlineStr">
        <is>
          <t>ATERPA</t>
        </is>
      </c>
      <c r="G422" t="inlineStr">
        <is>
          <t>CLP-011</t>
        </is>
      </c>
      <c r="H422" t="inlineStr">
        <is>
          <t>Protocolo</t>
        </is>
      </c>
      <c r="I422">
        <v>6</v>
      </c>
      <c r="J422" t="inlineStr">
        <is>
          <t>Drenagem Superficial</t>
        </is>
      </c>
      <c r="K422" t="inlineStr">
        <is>
          <t xml:space="preserve">6.7 </t>
        </is>
      </c>
      <c r="L422" t="inlineStr">
        <is>
          <t>VPC</t>
        </is>
      </c>
      <c r="M422" t="inlineStr">
        <is>
          <t>Patologias no Concreto</t>
        </is>
      </c>
      <c r="N422" t="inlineStr">
        <is>
          <t>Segregação Do Concreto</t>
        </is>
      </c>
      <c r="O422" t="inlineStr">
        <is>
          <t>Tipo A</t>
        </is>
      </c>
      <c r="P422" t="inlineStr">
        <is>
          <t>49+500</t>
        </is>
      </c>
      <c r="Q422" t="inlineStr">
        <is>
          <t>49+500</t>
        </is>
      </c>
      <c r="R422" t="inlineStr">
        <is>
          <t>Aberta</t>
        </is>
      </c>
      <c r="T422" t="inlineStr">
        <is>
          <t>Aline Batista</t>
        </is>
      </c>
      <c r="U422" t="inlineStr">
        <is>
          <t>24/04/2026</t>
        </is>
      </c>
      <c r="V422" t="inlineStr">
        <is>
          <t>01/05/2026</t>
        </is>
      </c>
      <c r="W422">
        <v>40</v>
      </c>
      <c r="AA422" t="inlineStr">
        <is>
          <t>Aberta 30-60 dias</t>
        </is>
      </c>
    </row>
    <row r="423">
      <c r="A423">
        <v>421</v>
      </c>
      <c r="B423">
        <v>2</v>
      </c>
      <c r="C423" t="inlineStr">
        <is>
          <t>1.5</t>
        </is>
      </c>
      <c r="D423" t="inlineStr">
        <is>
          <t>C05</t>
        </is>
      </c>
      <c r="E423" t="inlineStr">
        <is>
          <t>LD/LE</t>
        </is>
      </c>
      <c r="F423" t="inlineStr">
        <is>
          <t>ATERPA</t>
        </is>
      </c>
      <c r="G423" t="inlineStr">
        <is>
          <t>CLP-011</t>
        </is>
      </c>
      <c r="H423" t="inlineStr">
        <is>
          <t>Protocolo</t>
        </is>
      </c>
      <c r="I423">
        <v>6</v>
      </c>
      <c r="J423" t="inlineStr">
        <is>
          <t>Drenagem Superficial</t>
        </is>
      </c>
      <c r="K423" t="inlineStr">
        <is>
          <t xml:space="preserve">6.7 </t>
        </is>
      </c>
      <c r="L423" t="inlineStr">
        <is>
          <t>SZA</t>
        </is>
      </c>
      <c r="M423" t="inlineStr">
        <is>
          <t>Patologias no Concreto</t>
        </is>
      </c>
      <c r="N423" t="inlineStr">
        <is>
          <t>Presença De Trincas</t>
        </is>
      </c>
      <c r="O423" t="inlineStr">
        <is>
          <t>Tipo A</t>
        </is>
      </c>
      <c r="P423" t="inlineStr">
        <is>
          <t>50+270</t>
        </is>
      </c>
      <c r="Q423" t="inlineStr">
        <is>
          <t>50+270</t>
        </is>
      </c>
      <c r="R423" t="inlineStr">
        <is>
          <t>Aberta</t>
        </is>
      </c>
      <c r="T423" t="inlineStr">
        <is>
          <t>Aline Batista</t>
        </is>
      </c>
      <c r="U423" t="inlineStr">
        <is>
          <t>24/04/2026</t>
        </is>
      </c>
      <c r="V423" t="inlineStr">
        <is>
          <t>01/05/2026</t>
        </is>
      </c>
      <c r="W423">
        <v>40</v>
      </c>
      <c r="AA423" t="inlineStr">
        <is>
          <t>Aberta 30-60 dias</t>
        </is>
      </c>
    </row>
    <row r="424">
      <c r="A424">
        <v>422</v>
      </c>
      <c r="B424">
        <v>2</v>
      </c>
      <c r="C424" t="inlineStr">
        <is>
          <t>1.5</t>
        </is>
      </c>
      <c r="D424" t="inlineStr">
        <is>
          <t>A07/C12</t>
        </is>
      </c>
      <c r="E424" t="inlineStr">
        <is>
          <t>LD/LE</t>
        </is>
      </c>
      <c r="F424" t="inlineStr">
        <is>
          <t>ATERPA</t>
        </is>
      </c>
      <c r="G424" t="inlineStr">
        <is>
          <t>CLP-011</t>
        </is>
      </c>
      <c r="H424" t="inlineStr">
        <is>
          <t>Protocolo</t>
        </is>
      </c>
      <c r="I424">
        <v>6</v>
      </c>
      <c r="J424" t="inlineStr">
        <is>
          <t>Drenagem Superficial</t>
        </is>
      </c>
      <c r="K424" t="inlineStr">
        <is>
          <t xml:space="preserve">6.7 </t>
        </is>
      </c>
      <c r="L424" t="inlineStr">
        <is>
          <t>SRC</t>
        </is>
      </c>
      <c r="M424" t="inlineStr">
        <is>
          <t>Acabamento do concreto</t>
        </is>
      </c>
      <c r="N424" t="inlineStr">
        <is>
          <t>Acabamento Em Avarias, Remoção Das Alças De Armação  De Movimentação Da Estrutra</t>
        </is>
      </c>
      <c r="O424" t="inlineStr">
        <is>
          <t>Tipo A</t>
        </is>
      </c>
      <c r="P424" t="inlineStr">
        <is>
          <t xml:space="preserve"> 50+550</t>
        </is>
      </c>
      <c r="Q424" t="inlineStr">
        <is>
          <t>53+320</t>
        </is>
      </c>
      <c r="R424" t="inlineStr">
        <is>
          <t>Aberta</t>
        </is>
      </c>
      <c r="T424" t="inlineStr">
        <is>
          <t>Aline Batista</t>
        </is>
      </c>
      <c r="U424" t="inlineStr">
        <is>
          <t>24/04/2026</t>
        </is>
      </c>
      <c r="V424" t="inlineStr">
        <is>
          <t>01/05/2026</t>
        </is>
      </c>
      <c r="W424">
        <v>40</v>
      </c>
      <c r="AA424" t="inlineStr">
        <is>
          <t>Aberta 30-60 dias</t>
        </is>
      </c>
    </row>
    <row r="425">
      <c r="A425">
        <v>423</v>
      </c>
      <c r="B425">
        <v>2</v>
      </c>
      <c r="C425" t="inlineStr">
        <is>
          <t>1.5</t>
        </is>
      </c>
      <c r="D425" t="inlineStr">
        <is>
          <t>A10</t>
        </is>
      </c>
      <c r="E425" t="inlineStr">
        <is>
          <t>LE</t>
        </is>
      </c>
      <c r="F425" t="inlineStr">
        <is>
          <t>ATERPA</t>
        </is>
      </c>
      <c r="G425" t="inlineStr">
        <is>
          <t>CLP-011</t>
        </is>
      </c>
      <c r="H425" t="inlineStr">
        <is>
          <t>Protocolo</t>
        </is>
      </c>
      <c r="I425">
        <v>6</v>
      </c>
      <c r="J425" t="inlineStr">
        <is>
          <t>Drenagem Superficial</t>
        </is>
      </c>
      <c r="K425" t="inlineStr">
        <is>
          <t xml:space="preserve">6.7 </t>
        </is>
      </c>
      <c r="L425" t="inlineStr">
        <is>
          <t>VPC</t>
        </is>
      </c>
      <c r="M425" t="inlineStr">
        <is>
          <t>Patologias no Concreto</t>
        </is>
      </c>
      <c r="N425" t="inlineStr">
        <is>
          <t>Segregação Do Concreto</t>
        </is>
      </c>
      <c r="O425" t="inlineStr">
        <is>
          <t>Tipo A</t>
        </is>
      </c>
      <c r="P425" t="inlineStr">
        <is>
          <t>51+800</t>
        </is>
      </c>
      <c r="Q425" t="inlineStr">
        <is>
          <t>51+800</t>
        </is>
      </c>
      <c r="R425" t="inlineStr">
        <is>
          <t>Aberta</t>
        </is>
      </c>
      <c r="T425" t="inlineStr">
        <is>
          <t>Aline Batista</t>
        </is>
      </c>
      <c r="U425" t="inlineStr">
        <is>
          <t>24/04/2026</t>
        </is>
      </c>
      <c r="V425" t="inlineStr">
        <is>
          <t>01/05/2026</t>
        </is>
      </c>
      <c r="W425">
        <v>40</v>
      </c>
      <c r="AA425" t="inlineStr">
        <is>
          <t>Aberta 30-60 dias</t>
        </is>
      </c>
    </row>
    <row r="426">
      <c r="A426">
        <v>424</v>
      </c>
      <c r="B426">
        <v>2</v>
      </c>
      <c r="C426" t="inlineStr">
        <is>
          <t>1.5</t>
        </is>
      </c>
      <c r="D426" t="inlineStr">
        <is>
          <t>A11</t>
        </is>
      </c>
      <c r="E426" t="inlineStr">
        <is>
          <t>LE</t>
        </is>
      </c>
      <c r="F426" t="inlineStr">
        <is>
          <t>ATERPA</t>
        </is>
      </c>
      <c r="G426" t="inlineStr">
        <is>
          <t>CLP-011</t>
        </is>
      </c>
      <c r="H426" t="inlineStr">
        <is>
          <t>Protocolo</t>
        </is>
      </c>
      <c r="I426">
        <v>6</v>
      </c>
      <c r="J426" t="inlineStr">
        <is>
          <t>Drenagem Superficial</t>
        </is>
      </c>
      <c r="K426" t="inlineStr">
        <is>
          <t xml:space="preserve">6.7 </t>
        </is>
      </c>
      <c r="L426" t="inlineStr">
        <is>
          <t>VPC</t>
        </is>
      </c>
      <c r="M426" t="inlineStr">
        <is>
          <t>Acabamento do concreto</t>
        </is>
      </c>
      <c r="N426" t="inlineStr">
        <is>
          <t>Avarias</t>
        </is>
      </c>
      <c r="O426" t="inlineStr">
        <is>
          <t>Tipo A</t>
        </is>
      </c>
      <c r="P426" t="inlineStr">
        <is>
          <t xml:space="preserve"> 52+350</t>
        </is>
      </c>
      <c r="Q426" t="inlineStr">
        <is>
          <t>52+380</t>
        </is>
      </c>
      <c r="R426" t="inlineStr">
        <is>
          <t>Aberta</t>
        </is>
      </c>
      <c r="T426" t="inlineStr">
        <is>
          <t>Aline Batista</t>
        </is>
      </c>
      <c r="U426" t="inlineStr">
        <is>
          <t>24/04/2026</t>
        </is>
      </c>
      <c r="V426" t="inlineStr">
        <is>
          <t>01/05/2026</t>
        </is>
      </c>
      <c r="W426">
        <v>40</v>
      </c>
      <c r="AA426" t="inlineStr">
        <is>
          <t>Aberta 30-60 dias</t>
        </is>
      </c>
    </row>
    <row r="427">
      <c r="A427">
        <v>425</v>
      </c>
      <c r="B427">
        <v>2</v>
      </c>
      <c r="C427" t="inlineStr">
        <is>
          <t>1.5</t>
        </is>
      </c>
      <c r="D427" t="inlineStr">
        <is>
          <t>A11</t>
        </is>
      </c>
      <c r="E427" t="inlineStr">
        <is>
          <t>LE</t>
        </is>
      </c>
      <c r="F427" t="inlineStr">
        <is>
          <t>ATERPA</t>
        </is>
      </c>
      <c r="G427" t="inlineStr">
        <is>
          <t>CLP-011</t>
        </is>
      </c>
      <c r="H427" t="inlineStr">
        <is>
          <t>Protocolo</t>
        </is>
      </c>
      <c r="I427">
        <v>6</v>
      </c>
      <c r="J427" t="inlineStr">
        <is>
          <t>Drenagem Superficial</t>
        </is>
      </c>
      <c r="K427" t="inlineStr">
        <is>
          <t xml:space="preserve">6.7 </t>
        </is>
      </c>
      <c r="L427" t="inlineStr">
        <is>
          <t>SZA</t>
        </is>
      </c>
      <c r="M427" t="inlineStr">
        <is>
          <t>Acabamento do concreto</t>
        </is>
      </c>
      <c r="N427" t="inlineStr">
        <is>
          <t>Avarias</t>
        </is>
      </c>
      <c r="O427" t="inlineStr">
        <is>
          <t>Tipo A</t>
        </is>
      </c>
      <c r="P427" t="inlineStr">
        <is>
          <t>52+660</t>
        </is>
      </c>
      <c r="Q427" t="inlineStr">
        <is>
          <t>52+660</t>
        </is>
      </c>
      <c r="R427" t="inlineStr">
        <is>
          <t>Aberta</t>
        </is>
      </c>
      <c r="T427" t="inlineStr">
        <is>
          <t>Aline Batista</t>
        </is>
      </c>
      <c r="U427" t="inlineStr">
        <is>
          <t>24/04/2026</t>
        </is>
      </c>
      <c r="V427" t="inlineStr">
        <is>
          <t>01/05/2026</t>
        </is>
      </c>
      <c r="W427">
        <v>40</v>
      </c>
      <c r="AA427" t="inlineStr">
        <is>
          <t>Aberta 30-60 dias</t>
        </is>
      </c>
    </row>
    <row r="428">
      <c r="A428">
        <v>426</v>
      </c>
      <c r="B428">
        <v>2</v>
      </c>
      <c r="C428" t="inlineStr">
        <is>
          <t>1.5</t>
        </is>
      </c>
      <c r="D428" t="inlineStr">
        <is>
          <t>C12</t>
        </is>
      </c>
      <c r="E428" t="inlineStr">
        <is>
          <t>LE</t>
        </is>
      </c>
      <c r="F428" t="inlineStr">
        <is>
          <t>ATERPA</t>
        </is>
      </c>
      <c r="G428" t="inlineStr">
        <is>
          <t>CLP-011</t>
        </is>
      </c>
      <c r="H428" t="inlineStr">
        <is>
          <t>Protocolo</t>
        </is>
      </c>
      <c r="I428">
        <v>6</v>
      </c>
      <c r="J428" t="inlineStr">
        <is>
          <t>Drenagem Superficial</t>
        </is>
      </c>
      <c r="K428" t="inlineStr">
        <is>
          <t xml:space="preserve">6.7 </t>
        </is>
      </c>
      <c r="L428" t="inlineStr">
        <is>
          <t>SRC</t>
        </is>
      </c>
      <c r="M428" t="inlineStr">
        <is>
          <t>Acabamento do concreto</t>
        </is>
      </c>
      <c r="N428" t="inlineStr">
        <is>
          <t>Avarias</t>
        </is>
      </c>
      <c r="O428" t="inlineStr">
        <is>
          <t>Tipo A</t>
        </is>
      </c>
      <c r="P428" t="inlineStr">
        <is>
          <t>53+440</t>
        </is>
      </c>
      <c r="Q428" t="inlineStr">
        <is>
          <t>53+440</t>
        </is>
      </c>
      <c r="R428" t="inlineStr">
        <is>
          <t>Aberta</t>
        </is>
      </c>
      <c r="T428" t="inlineStr">
        <is>
          <t>Aline Batista</t>
        </is>
      </c>
      <c r="U428" t="inlineStr">
        <is>
          <t>24/04/2026</t>
        </is>
      </c>
      <c r="V428" t="inlineStr">
        <is>
          <t>01/05/2026</t>
        </is>
      </c>
      <c r="W428">
        <v>40</v>
      </c>
      <c r="AA428" t="inlineStr">
        <is>
          <t>Aberta 30-60 dias</t>
        </is>
      </c>
    </row>
    <row r="429">
      <c r="A429">
        <v>427</v>
      </c>
      <c r="B429">
        <v>2</v>
      </c>
      <c r="C429" t="inlineStr">
        <is>
          <t>1.5</t>
        </is>
      </c>
      <c r="D429" t="inlineStr">
        <is>
          <t>C12/A12</t>
        </is>
      </c>
      <c r="E429" t="inlineStr">
        <is>
          <t>LE/LD</t>
        </is>
      </c>
      <c r="F429" t="inlineStr">
        <is>
          <t>ATERPA</t>
        </is>
      </c>
      <c r="G429" t="inlineStr">
        <is>
          <t>CLP-011</t>
        </is>
      </c>
      <c r="H429" t="inlineStr">
        <is>
          <t>Protocolo</t>
        </is>
      </c>
      <c r="I429">
        <v>6</v>
      </c>
      <c r="J429" t="inlineStr">
        <is>
          <t>Drenagem Superficial</t>
        </is>
      </c>
      <c r="K429" t="inlineStr">
        <is>
          <t xml:space="preserve">6.7 </t>
        </is>
      </c>
      <c r="L429" t="inlineStr">
        <is>
          <t>SZA</t>
        </is>
      </c>
      <c r="M429" t="inlineStr">
        <is>
          <t>Dispositivo não executado</t>
        </is>
      </c>
      <c r="N429" t="inlineStr">
        <is>
          <t>Pendente Conclusão</t>
        </is>
      </c>
      <c r="O429" t="inlineStr">
        <is>
          <t>Tipo A</t>
        </is>
      </c>
      <c r="P429" t="inlineStr">
        <is>
          <t xml:space="preserve"> 54+440</t>
        </is>
      </c>
      <c r="Q429" t="inlineStr">
        <is>
          <t>54+500</t>
        </is>
      </c>
      <c r="R429" t="inlineStr">
        <is>
          <t>Aberta</t>
        </is>
      </c>
      <c r="T429" t="inlineStr">
        <is>
          <t>Aline Batista</t>
        </is>
      </c>
      <c r="U429" t="inlineStr">
        <is>
          <t>24/04/2026</t>
        </is>
      </c>
      <c r="V429" t="inlineStr">
        <is>
          <t>01/05/2026</t>
        </is>
      </c>
      <c r="W429">
        <v>40</v>
      </c>
      <c r="AA429" t="inlineStr">
        <is>
          <t>Aberta 30-60 dias</t>
        </is>
      </c>
    </row>
    <row r="430">
      <c r="A430">
        <v>428</v>
      </c>
      <c r="B430">
        <v>2</v>
      </c>
      <c r="C430" t="inlineStr">
        <is>
          <t>1.5</t>
        </is>
      </c>
      <c r="D430" t="inlineStr">
        <is>
          <t>A01/C13</t>
        </is>
      </c>
      <c r="E430" t="inlineStr">
        <is>
          <t>LE/LD</t>
        </is>
      </c>
      <c r="F430" t="inlineStr">
        <is>
          <t>ATERPA</t>
        </is>
      </c>
      <c r="G430" t="inlineStr">
        <is>
          <t>CLP-011</t>
        </is>
      </c>
      <c r="H430" t="inlineStr">
        <is>
          <t>Protocolo</t>
        </is>
      </c>
      <c r="I430">
        <v>6</v>
      </c>
      <c r="J430" t="inlineStr">
        <is>
          <t>Drenagem Superficial</t>
        </is>
      </c>
      <c r="K430" t="inlineStr">
        <is>
          <t xml:space="preserve">6.10 </t>
        </is>
      </c>
      <c r="L430" t="inlineStr">
        <is>
          <t>Drenagem</t>
        </is>
      </c>
      <c r="M430" t="inlineStr">
        <is>
          <t>Obstrução do dispositivo</t>
        </is>
      </c>
      <c r="N430" t="inlineStr">
        <is>
          <t>Dispositivo De Drenagem Obstruido</t>
        </is>
      </c>
      <c r="O430" t="inlineStr">
        <is>
          <t>Tipo A</t>
        </is>
      </c>
      <c r="P430" t="inlineStr">
        <is>
          <t xml:space="preserve"> 46+300 </t>
        </is>
      </c>
      <c r="Q430" t="inlineStr">
        <is>
          <t xml:space="preserve"> 46+300 ao 55+230</t>
        </is>
      </c>
      <c r="R430" t="inlineStr">
        <is>
          <t>Aberta</t>
        </is>
      </c>
      <c r="T430" t="inlineStr">
        <is>
          <t>Aline Batista</t>
        </is>
      </c>
      <c r="U430" t="inlineStr">
        <is>
          <t>24/04/2026</t>
        </is>
      </c>
      <c r="V430" t="inlineStr">
        <is>
          <t>01/05/2026</t>
        </is>
      </c>
      <c r="W430">
        <v>40</v>
      </c>
      <c r="AA430" t="inlineStr">
        <is>
          <t>Aberta 30-60 dias</t>
        </is>
      </c>
      <c r="AB430" t="inlineStr">
        <is>
          <t>GSA</t>
        </is>
      </c>
    </row>
    <row r="431">
      <c r="A431">
        <v>429</v>
      </c>
      <c r="B431">
        <v>2</v>
      </c>
      <c r="C431" t="inlineStr">
        <is>
          <t>1.5</t>
        </is>
      </c>
      <c r="D431" t="inlineStr">
        <is>
          <t>A02</t>
        </is>
      </c>
      <c r="E431" t="inlineStr">
        <is>
          <t>LE/LD</t>
        </is>
      </c>
      <c r="F431" t="inlineStr">
        <is>
          <t>ATERPA</t>
        </is>
      </c>
      <c r="G431" t="inlineStr">
        <is>
          <t>CLP-011</t>
        </is>
      </c>
      <c r="H431" t="inlineStr">
        <is>
          <t>Protocolo</t>
        </is>
      </c>
      <c r="I431">
        <v>6</v>
      </c>
      <c r="J431" t="inlineStr">
        <is>
          <t>Drenagem Superficial</t>
        </is>
      </c>
      <c r="K431" t="inlineStr">
        <is>
          <t xml:space="preserve">6.10 </t>
        </is>
      </c>
      <c r="L431" t="inlineStr">
        <is>
          <t>VPC</t>
        </is>
      </c>
      <c r="M431" t="inlineStr">
        <is>
          <t>Obstrução do dispositivo</t>
        </is>
      </c>
      <c r="N431" t="inlineStr">
        <is>
          <t>Dispositivo De Drenagem Obstruido</t>
        </is>
      </c>
      <c r="O431" t="inlineStr">
        <is>
          <t>Tipo A</t>
        </is>
      </c>
      <c r="P431" t="inlineStr">
        <is>
          <t>46+780</t>
        </is>
      </c>
      <c r="Q431" t="inlineStr">
        <is>
          <t>46+780</t>
        </is>
      </c>
      <c r="R431" t="inlineStr">
        <is>
          <t>Aberta</t>
        </is>
      </c>
      <c r="T431" t="inlineStr">
        <is>
          <t>Aline Batista</t>
        </is>
      </c>
      <c r="U431" t="inlineStr">
        <is>
          <t>24/04/2026</t>
        </is>
      </c>
      <c r="V431" t="inlineStr">
        <is>
          <t>01/05/2026</t>
        </is>
      </c>
      <c r="W431">
        <v>40</v>
      </c>
      <c r="AA431" t="inlineStr">
        <is>
          <t>Aberta 30-60 dias</t>
        </is>
      </c>
      <c r="AB431" t="inlineStr">
        <is>
          <t>GSA</t>
        </is>
      </c>
    </row>
    <row r="432">
      <c r="A432">
        <v>430</v>
      </c>
      <c r="B432">
        <v>2</v>
      </c>
      <c r="C432" t="inlineStr">
        <is>
          <t>1.5</t>
        </is>
      </c>
      <c r="D432" t="inlineStr">
        <is>
          <t>A02</t>
        </is>
      </c>
      <c r="E432" t="inlineStr">
        <is>
          <t>LE</t>
        </is>
      </c>
      <c r="F432" t="inlineStr">
        <is>
          <t>ATERPA</t>
        </is>
      </c>
      <c r="G432" t="inlineStr">
        <is>
          <t>CLP-011</t>
        </is>
      </c>
      <c r="H432" t="inlineStr">
        <is>
          <t>Protocolo</t>
        </is>
      </c>
      <c r="I432">
        <v>6</v>
      </c>
      <c r="J432" t="inlineStr">
        <is>
          <t>Drenagem Superficial</t>
        </is>
      </c>
      <c r="K432" t="inlineStr">
        <is>
          <t xml:space="preserve">6.10 </t>
        </is>
      </c>
      <c r="L432" t="inlineStr">
        <is>
          <t>SZA</t>
        </is>
      </c>
      <c r="M432" t="inlineStr">
        <is>
          <t>Obstrução do dispositivo</t>
        </is>
      </c>
      <c r="N432" t="inlineStr">
        <is>
          <t>Dispositivo De Drenagem Obstruido, Falhas De Concretagem</t>
        </is>
      </c>
      <c r="O432" t="inlineStr">
        <is>
          <t>Tipo A</t>
        </is>
      </c>
      <c r="P432" t="inlineStr">
        <is>
          <t>47+020</t>
        </is>
      </c>
      <c r="Q432" t="inlineStr">
        <is>
          <t>47+020</t>
        </is>
      </c>
      <c r="R432" t="inlineStr">
        <is>
          <t>Aberta</t>
        </is>
      </c>
      <c r="T432" t="inlineStr">
        <is>
          <t>Aline Batista</t>
        </is>
      </c>
      <c r="U432" t="inlineStr">
        <is>
          <t>24/04/2026</t>
        </is>
      </c>
      <c r="V432" t="inlineStr">
        <is>
          <t>01/05/2026</t>
        </is>
      </c>
      <c r="W432">
        <v>40</v>
      </c>
      <c r="AA432" t="inlineStr">
        <is>
          <t>Aberta 30-60 dias</t>
        </is>
      </c>
    </row>
    <row r="433">
      <c r="A433">
        <v>431</v>
      </c>
      <c r="B433">
        <v>2</v>
      </c>
      <c r="C433" t="inlineStr">
        <is>
          <t>1.5</t>
        </is>
      </c>
      <c r="D433" t="inlineStr">
        <is>
          <t>C02/A04</t>
        </is>
      </c>
      <c r="E433" t="inlineStr">
        <is>
          <t>LD</t>
        </is>
      </c>
      <c r="F433" t="inlineStr">
        <is>
          <t>ATERPA</t>
        </is>
      </c>
      <c r="G433" t="inlineStr">
        <is>
          <t>CLP-011</t>
        </is>
      </c>
      <c r="H433" t="inlineStr">
        <is>
          <t>Protocolo</t>
        </is>
      </c>
      <c r="I433">
        <v>6</v>
      </c>
      <c r="J433" t="inlineStr">
        <is>
          <t>Drenagem Superficial</t>
        </is>
      </c>
      <c r="K433" t="inlineStr">
        <is>
          <t xml:space="preserve">6.10 </t>
        </is>
      </c>
      <c r="L433" t="inlineStr">
        <is>
          <t>SZA</t>
        </is>
      </c>
      <c r="M433" t="inlineStr">
        <is>
          <t>Obstrução do dispositivo</t>
        </is>
      </c>
      <c r="N433" t="inlineStr">
        <is>
          <t>Dispositivo De Drenagem Com Avarias E Obstruido</t>
        </is>
      </c>
      <c r="O433" t="inlineStr">
        <is>
          <t>Tipo A</t>
        </is>
      </c>
      <c r="P433" t="inlineStr">
        <is>
          <t xml:space="preserve"> 47+660</t>
        </is>
      </c>
      <c r="Q433" t="inlineStr">
        <is>
          <t xml:space="preserve"> 48+250</t>
        </is>
      </c>
      <c r="R433" t="inlineStr">
        <is>
          <t>Aberta</t>
        </is>
      </c>
      <c r="T433" t="inlineStr">
        <is>
          <t>Aline Batista</t>
        </is>
      </c>
      <c r="U433" t="inlineStr">
        <is>
          <t>24/04/2026</t>
        </is>
      </c>
      <c r="V433" t="inlineStr">
        <is>
          <t>01/05/2026</t>
        </is>
      </c>
      <c r="W433">
        <v>40</v>
      </c>
      <c r="AA433" t="inlineStr">
        <is>
          <t>Aberta 30-60 dias</t>
        </is>
      </c>
    </row>
    <row r="434">
      <c r="A434">
        <v>432</v>
      </c>
      <c r="B434">
        <v>2</v>
      </c>
      <c r="C434" t="inlineStr">
        <is>
          <t>1.5</t>
        </is>
      </c>
      <c r="D434" t="inlineStr">
        <is>
          <t>A04</t>
        </is>
      </c>
      <c r="E434" t="inlineStr">
        <is>
          <t>LD/LE</t>
        </is>
      </c>
      <c r="F434" t="inlineStr">
        <is>
          <t>ATERPA</t>
        </is>
      </c>
      <c r="G434" t="inlineStr">
        <is>
          <t>CLP-011</t>
        </is>
      </c>
      <c r="H434" t="inlineStr">
        <is>
          <t>Protocolo</t>
        </is>
      </c>
      <c r="I434">
        <v>6</v>
      </c>
      <c r="J434" t="inlineStr">
        <is>
          <t>Drenagem Superficial</t>
        </is>
      </c>
      <c r="K434" t="inlineStr">
        <is>
          <t xml:space="preserve">6.10 </t>
        </is>
      </c>
      <c r="L434" t="inlineStr">
        <is>
          <t>DRA</t>
        </is>
      </c>
      <c r="M434" t="inlineStr">
        <is>
          <t>Obstrução do dispositivo</t>
        </is>
      </c>
      <c r="N434" t="inlineStr">
        <is>
          <t>Dispositivo De Drenagem Obstruido</t>
        </is>
      </c>
      <c r="O434" t="inlineStr">
        <is>
          <t>Tipo A</t>
        </is>
      </c>
      <c r="P434" t="inlineStr">
        <is>
          <t xml:space="preserve"> 48+250</t>
        </is>
      </c>
      <c r="Q434" t="inlineStr">
        <is>
          <t xml:space="preserve"> 48+250</t>
        </is>
      </c>
      <c r="R434" t="inlineStr">
        <is>
          <t>Aberta</t>
        </is>
      </c>
      <c r="T434" t="inlineStr">
        <is>
          <t>Aline Batista</t>
        </is>
      </c>
      <c r="U434" t="inlineStr">
        <is>
          <t>24/04/2026</t>
        </is>
      </c>
      <c r="V434" t="inlineStr">
        <is>
          <t>01/05/2026</t>
        </is>
      </c>
      <c r="W434">
        <v>40</v>
      </c>
      <c r="AA434" t="inlineStr">
        <is>
          <t>Aberta 30-60 dias</t>
        </is>
      </c>
    </row>
    <row r="435">
      <c r="A435">
        <v>433</v>
      </c>
      <c r="B435">
        <v>2</v>
      </c>
      <c r="C435" t="inlineStr">
        <is>
          <t>1.5</t>
        </is>
      </c>
      <c r="D435" t="inlineStr">
        <is>
          <t>A04/C04</t>
        </is>
      </c>
      <c r="E435" t="inlineStr">
        <is>
          <t>LD/LE</t>
        </is>
      </c>
      <c r="F435" t="inlineStr">
        <is>
          <t>ATERPA</t>
        </is>
      </c>
      <c r="G435" t="inlineStr">
        <is>
          <t>CLP-011</t>
        </is>
      </c>
      <c r="H435" t="inlineStr">
        <is>
          <t>Protocolo</t>
        </is>
      </c>
      <c r="I435">
        <v>6</v>
      </c>
      <c r="J435" t="inlineStr">
        <is>
          <t>Drenagem Superficial</t>
        </is>
      </c>
      <c r="K435" t="inlineStr">
        <is>
          <t xml:space="preserve">6.10 </t>
        </is>
      </c>
      <c r="L435" t="inlineStr">
        <is>
          <t>DRA</t>
        </is>
      </c>
      <c r="M435" t="inlineStr">
        <is>
          <t>Acúmulo de água</t>
        </is>
      </c>
      <c r="N435" t="inlineStr">
        <is>
          <t>Acúmulo De Água No Dispositivo De Drenagem da plataforma</t>
        </is>
      </c>
      <c r="O435" t="inlineStr">
        <is>
          <t>Tipo A</t>
        </is>
      </c>
      <c r="P435" t="inlineStr">
        <is>
          <t xml:space="preserve"> 48+250</t>
        </is>
      </c>
      <c r="Q435" t="inlineStr">
        <is>
          <t>49+600</t>
        </is>
      </c>
      <c r="R435" t="inlineStr">
        <is>
          <t>Aberta</t>
        </is>
      </c>
      <c r="T435" t="inlineStr">
        <is>
          <t>Aline Batista</t>
        </is>
      </c>
      <c r="U435" t="inlineStr">
        <is>
          <t>24/04/2026</t>
        </is>
      </c>
      <c r="V435" t="inlineStr">
        <is>
          <t>01/05/2026</t>
        </is>
      </c>
      <c r="W435">
        <v>40</v>
      </c>
      <c r="AA435" t="inlineStr">
        <is>
          <t>Aberta 30-60 dias</t>
        </is>
      </c>
    </row>
    <row r="436">
      <c r="A436">
        <v>434</v>
      </c>
      <c r="B436">
        <v>2</v>
      </c>
      <c r="C436" t="inlineStr">
        <is>
          <t>1.5</t>
        </is>
      </c>
      <c r="D436" t="inlineStr">
        <is>
          <t>A04</t>
        </is>
      </c>
      <c r="E436" t="inlineStr">
        <is>
          <t>LD/LE</t>
        </is>
      </c>
      <c r="F436" t="inlineStr">
        <is>
          <t>ATERPA</t>
        </is>
      </c>
      <c r="G436" t="inlineStr">
        <is>
          <t>CLP-011</t>
        </is>
      </c>
      <c r="H436" t="inlineStr">
        <is>
          <t>Protocolo</t>
        </is>
      </c>
      <c r="I436">
        <v>6</v>
      </c>
      <c r="J436" t="inlineStr">
        <is>
          <t>Drenagem Superficial</t>
        </is>
      </c>
      <c r="K436" t="inlineStr">
        <is>
          <t xml:space="preserve">6.10 </t>
        </is>
      </c>
      <c r="L436" t="inlineStr">
        <is>
          <t>SZA</t>
        </is>
      </c>
      <c r="M436" t="inlineStr">
        <is>
          <t>Obstrução do dispositivo</t>
        </is>
      </c>
      <c r="N436" t="inlineStr">
        <is>
          <t>Eda 01 Obstruida</t>
        </is>
      </c>
      <c r="O436" t="inlineStr">
        <is>
          <t>Tipo A</t>
        </is>
      </c>
      <c r="P436" t="inlineStr">
        <is>
          <t>48+650</t>
        </is>
      </c>
      <c r="Q436" t="inlineStr">
        <is>
          <t>48+650</t>
        </is>
      </c>
      <c r="R436" t="inlineStr">
        <is>
          <t>Aberta</t>
        </is>
      </c>
      <c r="T436" t="inlineStr">
        <is>
          <t>Aline Batista</t>
        </is>
      </c>
      <c r="U436" t="inlineStr">
        <is>
          <t>24/04/2026</t>
        </is>
      </c>
      <c r="V436" t="inlineStr">
        <is>
          <t>01/05/2026</t>
        </is>
      </c>
      <c r="W436">
        <v>40</v>
      </c>
      <c r="AA436" t="inlineStr">
        <is>
          <t>Aberta 30-60 dias</t>
        </is>
      </c>
    </row>
    <row r="437">
      <c r="A437">
        <v>435</v>
      </c>
      <c r="B437">
        <v>2</v>
      </c>
      <c r="C437" t="inlineStr">
        <is>
          <t>1.5</t>
        </is>
      </c>
      <c r="D437" t="inlineStr">
        <is>
          <t>C05/A08</t>
        </is>
      </c>
      <c r="E437" t="inlineStr">
        <is>
          <t>LD/LE</t>
        </is>
      </c>
      <c r="F437" t="inlineStr">
        <is>
          <t>ATERPA</t>
        </is>
      </c>
      <c r="G437" t="inlineStr">
        <is>
          <t>CLP-011</t>
        </is>
      </c>
      <c r="H437" t="inlineStr">
        <is>
          <t>Protocolo</t>
        </is>
      </c>
      <c r="I437">
        <v>6</v>
      </c>
      <c r="J437" t="inlineStr">
        <is>
          <t>Drenagem Superficial</t>
        </is>
      </c>
      <c r="K437" t="inlineStr">
        <is>
          <t xml:space="preserve">6.10 </t>
        </is>
      </c>
      <c r="L437" t="inlineStr">
        <is>
          <t>VPC</t>
        </is>
      </c>
      <c r="M437" t="inlineStr">
        <is>
          <t>Obstrução do dispositivo</t>
        </is>
      </c>
      <c r="N437" t="inlineStr">
        <is>
          <t>Eda 01 Obstruida, Conformação Do Talude Com Dispositivo, Aplicação De Hidrossemeadura</t>
        </is>
      </c>
      <c r="O437" t="inlineStr">
        <is>
          <t>Tipo A</t>
        </is>
      </c>
      <c r="P437" t="inlineStr">
        <is>
          <t xml:space="preserve"> 50+220</t>
        </is>
      </c>
      <c r="Q437" t="inlineStr">
        <is>
          <t>51+04</t>
        </is>
      </c>
      <c r="R437" t="inlineStr">
        <is>
          <t>Aberta</t>
        </is>
      </c>
      <c r="T437" t="inlineStr">
        <is>
          <t>Aline Batista</t>
        </is>
      </c>
      <c r="U437" t="inlineStr">
        <is>
          <t>24/04/2026</t>
        </is>
      </c>
      <c r="V437" t="inlineStr">
        <is>
          <t>01/05/2026</t>
        </is>
      </c>
      <c r="W437">
        <v>40</v>
      </c>
      <c r="AA437" t="inlineStr">
        <is>
          <t>Aberta 30-60 dias</t>
        </is>
      </c>
    </row>
    <row r="438">
      <c r="A438">
        <v>436</v>
      </c>
      <c r="B438">
        <v>2</v>
      </c>
      <c r="C438" t="inlineStr">
        <is>
          <t>1.5</t>
        </is>
      </c>
      <c r="D438" t="inlineStr">
        <is>
          <t>A08/C13</t>
        </is>
      </c>
      <c r="E438" t="inlineStr">
        <is>
          <t>LD/LE</t>
        </is>
      </c>
      <c r="F438" t="inlineStr">
        <is>
          <t>ATERPA</t>
        </is>
      </c>
      <c r="G438" t="inlineStr">
        <is>
          <t>CLP-011</t>
        </is>
      </c>
      <c r="H438" t="inlineStr">
        <is>
          <t>Protocolo</t>
        </is>
      </c>
      <c r="I438">
        <v>6</v>
      </c>
      <c r="J438" t="inlineStr">
        <is>
          <t>Drenagem Superficial</t>
        </is>
      </c>
      <c r="K438" t="inlineStr">
        <is>
          <t xml:space="preserve">6.10 </t>
        </is>
      </c>
      <c r="L438" t="inlineStr">
        <is>
          <t>SZA</t>
        </is>
      </c>
      <c r="M438" t="inlineStr">
        <is>
          <t>Obstrução do dispositivo</t>
        </is>
      </c>
      <c r="N438" t="inlineStr">
        <is>
          <t>Dispositivo De Drenagem Obstruido</t>
        </is>
      </c>
      <c r="O438" t="inlineStr">
        <is>
          <t>Tipo A</t>
        </is>
      </c>
      <c r="P438" t="inlineStr">
        <is>
          <t xml:space="preserve"> 51+000</t>
        </is>
      </c>
      <c r="Q438" t="inlineStr">
        <is>
          <t>55+140</t>
        </is>
      </c>
      <c r="R438" t="inlineStr">
        <is>
          <t>Aberta</t>
        </is>
      </c>
      <c r="T438" t="inlineStr">
        <is>
          <t>Aline Batista</t>
        </is>
      </c>
      <c r="U438" t="inlineStr">
        <is>
          <t>24/04/2026</t>
        </is>
      </c>
      <c r="V438" t="inlineStr">
        <is>
          <t>01/05/2026</t>
        </is>
      </c>
      <c r="W438">
        <v>40</v>
      </c>
      <c r="AA438" t="inlineStr">
        <is>
          <t>Aberta 30-60 dias</t>
        </is>
      </c>
    </row>
    <row r="439">
      <c r="A439">
        <v>437</v>
      </c>
      <c r="B439">
        <v>2</v>
      </c>
      <c r="C439" t="inlineStr">
        <is>
          <t>1.5</t>
        </is>
      </c>
      <c r="D439" t="inlineStr">
        <is>
          <t>C09</t>
        </is>
      </c>
      <c r="E439" t="inlineStr">
        <is>
          <t>LE</t>
        </is>
      </c>
      <c r="F439" t="inlineStr">
        <is>
          <t>ATERPA</t>
        </is>
      </c>
      <c r="G439" t="inlineStr">
        <is>
          <t>CLP-011</t>
        </is>
      </c>
      <c r="H439" t="inlineStr">
        <is>
          <t>Protocolo</t>
        </is>
      </c>
      <c r="I439">
        <v>6</v>
      </c>
      <c r="J439" t="inlineStr">
        <is>
          <t>Drenagem Superficial</t>
        </is>
      </c>
      <c r="K439" t="inlineStr">
        <is>
          <t xml:space="preserve">6.10 </t>
        </is>
      </c>
      <c r="L439" t="inlineStr">
        <is>
          <t>VPC</t>
        </is>
      </c>
      <c r="M439" t="inlineStr">
        <is>
          <t>Obstrução do dispositivo</t>
        </is>
      </c>
      <c r="N439" t="inlineStr">
        <is>
          <t>Dispositivo De Drenagem Obstruido</t>
        </is>
      </c>
      <c r="O439" t="inlineStr">
        <is>
          <t>Tipo A</t>
        </is>
      </c>
      <c r="P439" t="inlineStr">
        <is>
          <t>51+750</t>
        </is>
      </c>
      <c r="Q439" t="inlineStr">
        <is>
          <t>51+750</t>
        </is>
      </c>
      <c r="R439" t="inlineStr">
        <is>
          <t>Aberta</t>
        </is>
      </c>
      <c r="T439" t="inlineStr">
        <is>
          <t>Aline Batista</t>
        </is>
      </c>
      <c r="U439" t="inlineStr">
        <is>
          <t>24/04/2026</t>
        </is>
      </c>
      <c r="V439" t="inlineStr">
        <is>
          <t>01/05/2026</t>
        </is>
      </c>
      <c r="W439">
        <v>40</v>
      </c>
      <c r="AA439" t="inlineStr">
        <is>
          <t>Aberta 30-60 dias</t>
        </is>
      </c>
    </row>
    <row r="440">
      <c r="A440">
        <v>438</v>
      </c>
      <c r="B440">
        <v>2</v>
      </c>
      <c r="C440" t="inlineStr">
        <is>
          <t>1.5</t>
        </is>
      </c>
      <c r="D440" t="inlineStr">
        <is>
          <t>C11</t>
        </is>
      </c>
      <c r="E440" t="inlineStr">
        <is>
          <t>LE/LD</t>
        </is>
      </c>
      <c r="F440" t="inlineStr">
        <is>
          <t>ATERPA</t>
        </is>
      </c>
      <c r="G440" t="inlineStr">
        <is>
          <t>CLP-011</t>
        </is>
      </c>
      <c r="H440" t="inlineStr">
        <is>
          <t>Protocolo</t>
        </is>
      </c>
      <c r="I440">
        <v>6</v>
      </c>
      <c r="J440" t="inlineStr">
        <is>
          <t>Drenagem Superficial</t>
        </is>
      </c>
      <c r="K440" t="inlineStr">
        <is>
          <t xml:space="preserve">6.10 </t>
        </is>
      </c>
      <c r="L440" t="inlineStr">
        <is>
          <t>TSS</t>
        </is>
      </c>
      <c r="M440" t="inlineStr">
        <is>
          <t>Obstrução do dispositivo</t>
        </is>
      </c>
      <c r="N440" t="inlineStr">
        <is>
          <t>Dispositivo De Drenagem Obstruido, Água Acumulada</t>
        </is>
      </c>
      <c r="O440" t="inlineStr">
        <is>
          <t>Tipo A</t>
        </is>
      </c>
      <c r="P440" t="inlineStr">
        <is>
          <t>52+040</t>
        </is>
      </c>
      <c r="Q440" t="inlineStr">
        <is>
          <t>52+040</t>
        </is>
      </c>
      <c r="R440" t="inlineStr">
        <is>
          <t>Aberta</t>
        </is>
      </c>
      <c r="T440" t="inlineStr">
        <is>
          <t>Aline Batista</t>
        </is>
      </c>
      <c r="U440" t="inlineStr">
        <is>
          <t>24/04/2026</t>
        </is>
      </c>
      <c r="V440" t="inlineStr">
        <is>
          <t>01/05/2026</t>
        </is>
      </c>
      <c r="W440">
        <v>40</v>
      </c>
      <c r="AA440" t="inlineStr">
        <is>
          <t>Aberta 30-60 dias</t>
        </is>
      </c>
    </row>
    <row r="441">
      <c r="A441">
        <v>439</v>
      </c>
      <c r="B441">
        <v>2</v>
      </c>
      <c r="C441" t="inlineStr">
        <is>
          <t>1.5</t>
        </is>
      </c>
      <c r="D441" t="inlineStr">
        <is>
          <t>A11</t>
        </is>
      </c>
      <c r="E441" t="inlineStr">
        <is>
          <t>LE</t>
        </is>
      </c>
      <c r="F441" t="inlineStr">
        <is>
          <t>ATERPA</t>
        </is>
      </c>
      <c r="G441" t="inlineStr">
        <is>
          <t>CLP-011</t>
        </is>
      </c>
      <c r="H441" t="inlineStr">
        <is>
          <t>Protocolo</t>
        </is>
      </c>
      <c r="I441">
        <v>6</v>
      </c>
      <c r="J441" t="inlineStr">
        <is>
          <t>Drenagem Superficial</t>
        </is>
      </c>
      <c r="K441" t="inlineStr">
        <is>
          <t xml:space="preserve">6.10 </t>
        </is>
      </c>
      <c r="L441" t="inlineStr">
        <is>
          <t>SZA</t>
        </is>
      </c>
      <c r="M441" t="inlineStr">
        <is>
          <t>Obstrução do dispositivo</t>
        </is>
      </c>
      <c r="N441" t="inlineStr">
        <is>
          <t>Dispositivo De Drenagem Obstruido, Água Acumulada</t>
        </is>
      </c>
      <c r="O441" t="inlineStr">
        <is>
          <t>Tipo A</t>
        </is>
      </c>
      <c r="P441" t="inlineStr">
        <is>
          <t>52+700</t>
        </is>
      </c>
      <c r="Q441" t="inlineStr">
        <is>
          <t>52+700</t>
        </is>
      </c>
      <c r="R441" t="inlineStr">
        <is>
          <t>Aberta</t>
        </is>
      </c>
      <c r="T441" t="inlineStr">
        <is>
          <t>Aline Batista</t>
        </is>
      </c>
      <c r="U441" t="inlineStr">
        <is>
          <t>24/04/2026</t>
        </is>
      </c>
      <c r="V441" t="inlineStr">
        <is>
          <t>01/05/2026</t>
        </is>
      </c>
      <c r="W441">
        <v>40</v>
      </c>
      <c r="AA441" t="inlineStr">
        <is>
          <t>Aberta 30-60 dias</t>
        </is>
      </c>
    </row>
    <row r="442">
      <c r="A442">
        <v>440</v>
      </c>
      <c r="B442">
        <v>2</v>
      </c>
      <c r="C442" t="inlineStr">
        <is>
          <t>1.5</t>
        </is>
      </c>
      <c r="D442" t="inlineStr">
        <is>
          <t>A11</t>
        </is>
      </c>
      <c r="E442" t="inlineStr">
        <is>
          <t>LE</t>
        </is>
      </c>
      <c r="F442" t="inlineStr">
        <is>
          <t>ATERPA</t>
        </is>
      </c>
      <c r="G442" t="inlineStr">
        <is>
          <t>CLP-011</t>
        </is>
      </c>
      <c r="H442" t="inlineStr">
        <is>
          <t>Protocolo</t>
        </is>
      </c>
      <c r="I442">
        <v>6</v>
      </c>
      <c r="J442" t="inlineStr">
        <is>
          <t>Drenagem Superficial</t>
        </is>
      </c>
      <c r="K442" t="inlineStr">
        <is>
          <t xml:space="preserve">6.10 </t>
        </is>
      </c>
      <c r="L442" t="inlineStr">
        <is>
          <t>VPC</t>
        </is>
      </c>
      <c r="M442" t="inlineStr">
        <is>
          <t>Obstrução do dispositivo</t>
        </is>
      </c>
      <c r="N442" t="inlineStr">
        <is>
          <t>Dispositivo De Drenagem Obstruido, Água Acumulada</t>
        </is>
      </c>
      <c r="O442" t="inlineStr">
        <is>
          <t>Tipo A</t>
        </is>
      </c>
      <c r="P442" t="inlineStr">
        <is>
          <t>53+040</t>
        </is>
      </c>
      <c r="Q442" t="inlineStr">
        <is>
          <t>53+040</t>
        </is>
      </c>
      <c r="R442" t="inlineStr">
        <is>
          <t>Aberta</t>
        </is>
      </c>
      <c r="T442" t="inlineStr">
        <is>
          <t>Aline Batista</t>
        </is>
      </c>
      <c r="U442" t="inlineStr">
        <is>
          <t>24/04/2026</t>
        </is>
      </c>
      <c r="V442" t="inlineStr">
        <is>
          <t>01/05/2026</t>
        </is>
      </c>
      <c r="W442">
        <v>40</v>
      </c>
      <c r="AA442" t="inlineStr">
        <is>
          <t>Aberta 30-60 dias</t>
        </is>
      </c>
    </row>
    <row r="443">
      <c r="A443">
        <v>441</v>
      </c>
      <c r="B443">
        <v>2</v>
      </c>
      <c r="C443" t="inlineStr">
        <is>
          <t>1.5</t>
        </is>
      </c>
      <c r="D443" t="inlineStr">
        <is>
          <t>C12</t>
        </is>
      </c>
      <c r="E443" t="inlineStr">
        <is>
          <t>LD</t>
        </is>
      </c>
      <c r="F443" t="inlineStr">
        <is>
          <t>ATERPA</t>
        </is>
      </c>
      <c r="G443" t="inlineStr">
        <is>
          <t>CLP-011</t>
        </is>
      </c>
      <c r="H443" t="inlineStr">
        <is>
          <t>Protocolo</t>
        </is>
      </c>
      <c r="I443">
        <v>6</v>
      </c>
      <c r="J443" t="inlineStr">
        <is>
          <t>Drenagem Superficial</t>
        </is>
      </c>
      <c r="K443" t="inlineStr">
        <is>
          <t xml:space="preserve">6.10 </t>
        </is>
      </c>
      <c r="L443" t="inlineStr">
        <is>
          <t>SZA</t>
        </is>
      </c>
      <c r="M443" t="inlineStr">
        <is>
          <t>Obstrução do dispositivo</t>
        </is>
      </c>
      <c r="N443" t="inlineStr">
        <is>
          <t>Dispositivo De Drenagem Obstruido, Água Acumulada</t>
        </is>
      </c>
      <c r="O443" t="inlineStr">
        <is>
          <t>Tipo A</t>
        </is>
      </c>
      <c r="P443" t="inlineStr">
        <is>
          <t>4+410</t>
        </is>
      </c>
      <c r="Q443" t="inlineStr">
        <is>
          <t>4+410</t>
        </is>
      </c>
      <c r="R443" t="inlineStr">
        <is>
          <t>Aberta</t>
        </is>
      </c>
      <c r="T443" t="inlineStr">
        <is>
          <t>Aline Batista</t>
        </is>
      </c>
      <c r="U443" t="inlineStr">
        <is>
          <t>24/04/2026</t>
        </is>
      </c>
      <c r="V443" t="inlineStr">
        <is>
          <t>01/05/2026</t>
        </is>
      </c>
      <c r="W443">
        <v>40</v>
      </c>
      <c r="AA443" t="inlineStr">
        <is>
          <t>Aberta 30-60 dias</t>
        </is>
      </c>
    </row>
    <row r="444">
      <c r="A444">
        <v>442</v>
      </c>
      <c r="B444">
        <v>2</v>
      </c>
      <c r="C444" t="inlineStr">
        <is>
          <t>1.5</t>
        </is>
      </c>
      <c r="D444" t="inlineStr">
        <is>
          <t>C12</t>
        </is>
      </c>
      <c r="E444" t="inlineStr">
        <is>
          <t>LD</t>
        </is>
      </c>
      <c r="F444" t="inlineStr">
        <is>
          <t>ATERPA</t>
        </is>
      </c>
      <c r="G444" t="inlineStr">
        <is>
          <t>CLP-011</t>
        </is>
      </c>
      <c r="H444" t="inlineStr">
        <is>
          <t>Protocolo</t>
        </is>
      </c>
      <c r="I444">
        <v>6</v>
      </c>
      <c r="J444" t="inlineStr">
        <is>
          <t>Drenagem Superficial</t>
        </is>
      </c>
      <c r="K444" t="inlineStr">
        <is>
          <t xml:space="preserve">6.10 </t>
        </is>
      </c>
      <c r="L444" t="inlineStr">
        <is>
          <t>SZA</t>
        </is>
      </c>
      <c r="M444" t="inlineStr">
        <is>
          <t>Assoreamento</t>
        </is>
      </c>
      <c r="N444" t="inlineStr">
        <is>
          <t>Assoreamento Sobre Dispositivo De Drenagem</t>
        </is>
      </c>
      <c r="O444" t="inlineStr">
        <is>
          <t>Tipo A</t>
        </is>
      </c>
      <c r="P444" t="inlineStr">
        <is>
          <t>53+120</t>
        </is>
      </c>
      <c r="Q444" t="inlineStr">
        <is>
          <t>53+980</t>
        </is>
      </c>
      <c r="R444" t="inlineStr">
        <is>
          <t>Aberta</t>
        </is>
      </c>
      <c r="T444" t="inlineStr">
        <is>
          <t>Aline Batista</t>
        </is>
      </c>
      <c r="U444" t="inlineStr">
        <is>
          <t>24/04/2026</t>
        </is>
      </c>
      <c r="V444" t="inlineStr">
        <is>
          <t>01/05/2026</t>
        </is>
      </c>
      <c r="W444">
        <v>40</v>
      </c>
      <c r="AA444" t="inlineStr">
        <is>
          <t>Aberta 30-60 dias</t>
        </is>
      </c>
    </row>
    <row r="445">
      <c r="A445">
        <v>443</v>
      </c>
      <c r="B445">
        <v>2</v>
      </c>
      <c r="C445" t="inlineStr">
        <is>
          <t>1.5</t>
        </is>
      </c>
      <c r="D445" t="inlineStr">
        <is>
          <t>A01</t>
        </is>
      </c>
      <c r="E445" t="inlineStr">
        <is>
          <t>LD/LE</t>
        </is>
      </c>
      <c r="F445" t="inlineStr">
        <is>
          <t>ATERPA</t>
        </is>
      </c>
      <c r="G445" t="inlineStr">
        <is>
          <t>CLP-011</t>
        </is>
      </c>
      <c r="H445" t="inlineStr">
        <is>
          <t>Protocolo</t>
        </is>
      </c>
      <c r="I445">
        <v>6</v>
      </c>
      <c r="J445" t="inlineStr">
        <is>
          <t>Drenagem Superficial</t>
        </is>
      </c>
      <c r="K445" t="inlineStr">
        <is>
          <t xml:space="preserve">6.10 </t>
        </is>
      </c>
      <c r="L445" t="inlineStr">
        <is>
          <t>SZA</t>
        </is>
      </c>
      <c r="M445" t="inlineStr">
        <is>
          <t>Obstrução do dispositivo</t>
        </is>
      </c>
      <c r="N445" t="inlineStr">
        <is>
          <t>Drenagem Obstruída Por Acúmulo De Material, Ambos Lados</t>
        </is>
      </c>
      <c r="O445" t="inlineStr">
        <is>
          <t>Tipo A</t>
        </is>
      </c>
      <c r="P445" t="inlineStr">
        <is>
          <t>46+300</t>
        </is>
      </c>
      <c r="Q445" t="inlineStr">
        <is>
          <t>46+300</t>
        </is>
      </c>
      <c r="R445" t="inlineStr">
        <is>
          <t>Aberta</t>
        </is>
      </c>
      <c r="T445" t="inlineStr">
        <is>
          <t>Aline Batista</t>
        </is>
      </c>
      <c r="U445" t="inlineStr">
        <is>
          <t>24/04/2026</t>
        </is>
      </c>
      <c r="V445" t="inlineStr">
        <is>
          <t>01/05/2026</t>
        </is>
      </c>
      <c r="W445">
        <v>40</v>
      </c>
      <c r="AA445" t="inlineStr">
        <is>
          <t>Aberta 30-60 dias</t>
        </is>
      </c>
      <c r="AB445" t="inlineStr">
        <is>
          <t>GSA</t>
        </is>
      </c>
    </row>
    <row r="446">
      <c r="A446">
        <v>444</v>
      </c>
      <c r="B446">
        <v>2</v>
      </c>
      <c r="C446" t="inlineStr">
        <is>
          <t>1.5</t>
        </is>
      </c>
      <c r="D446" t="inlineStr">
        <is>
          <t>A01</t>
        </is>
      </c>
      <c r="E446" t="inlineStr">
        <is>
          <t>LD/LE</t>
        </is>
      </c>
      <c r="F446" t="inlineStr">
        <is>
          <t>ATERPA</t>
        </is>
      </c>
      <c r="G446" t="inlineStr">
        <is>
          <t>CLP-011</t>
        </is>
      </c>
      <c r="H446" t="inlineStr">
        <is>
          <t>Protocolo</t>
        </is>
      </c>
      <c r="I446">
        <v>6</v>
      </c>
      <c r="J446" t="inlineStr">
        <is>
          <t>Drenagem Superficial</t>
        </is>
      </c>
      <c r="K446" t="inlineStr">
        <is>
          <t xml:space="preserve">6.10 </t>
        </is>
      </c>
      <c r="L446" t="inlineStr">
        <is>
          <t>SZA</t>
        </is>
      </c>
      <c r="M446" t="inlineStr">
        <is>
          <t>Obstrução do dispositivo</t>
        </is>
      </c>
      <c r="N446" t="inlineStr">
        <is>
          <t>Drenagem Obstruída Por Acúmulo De Material, Lado Esquerdo</t>
        </is>
      </c>
      <c r="O446" t="inlineStr">
        <is>
          <t>Tipo A</t>
        </is>
      </c>
      <c r="P446" t="inlineStr">
        <is>
          <t>46+400</t>
        </is>
      </c>
      <c r="Q446" t="inlineStr">
        <is>
          <t>46+400</t>
        </is>
      </c>
      <c r="R446" t="inlineStr">
        <is>
          <t>Aberta</t>
        </is>
      </c>
      <c r="T446" t="inlineStr">
        <is>
          <t>Aline Batista</t>
        </is>
      </c>
      <c r="U446" t="inlineStr">
        <is>
          <t>24/04/2026</t>
        </is>
      </c>
      <c r="V446" t="inlineStr">
        <is>
          <t>01/05/2026</t>
        </is>
      </c>
      <c r="W446">
        <v>40</v>
      </c>
      <c r="AA446" t="inlineStr">
        <is>
          <t>Aberta 30-60 dias</t>
        </is>
      </c>
      <c r="AB446" t="inlineStr">
        <is>
          <t>GSA</t>
        </is>
      </c>
    </row>
    <row r="447">
      <c r="A447">
        <v>445</v>
      </c>
      <c r="B447">
        <v>2</v>
      </c>
      <c r="C447" t="inlineStr">
        <is>
          <t>1.5</t>
        </is>
      </c>
      <c r="D447" t="inlineStr">
        <is>
          <t>A01</t>
        </is>
      </c>
      <c r="E447" t="inlineStr">
        <is>
          <t>LD/LE</t>
        </is>
      </c>
      <c r="F447" t="inlineStr">
        <is>
          <t>ATERPA</t>
        </is>
      </c>
      <c r="G447" t="inlineStr">
        <is>
          <t>CLP-011</t>
        </is>
      </c>
      <c r="H447" t="inlineStr">
        <is>
          <t>Protocolo</t>
        </is>
      </c>
      <c r="I447">
        <v>6</v>
      </c>
      <c r="J447" t="inlineStr">
        <is>
          <t>Drenagem Superficial</t>
        </is>
      </c>
      <c r="K447" t="inlineStr">
        <is>
          <t xml:space="preserve">6.10 </t>
        </is>
      </c>
      <c r="L447" t="inlineStr">
        <is>
          <t>SZA</t>
        </is>
      </c>
      <c r="M447" t="inlineStr">
        <is>
          <t>Obstrução do dispositivo</t>
        </is>
      </c>
      <c r="N447" t="inlineStr">
        <is>
          <t>Drenagem Obstruída Por Acúmulo De Material, Lado Direito</t>
        </is>
      </c>
      <c r="O447" t="inlineStr">
        <is>
          <t>Tipo A</t>
        </is>
      </c>
      <c r="P447" t="inlineStr">
        <is>
          <t>46+400</t>
        </is>
      </c>
      <c r="Q447" t="inlineStr">
        <is>
          <t>46+400</t>
        </is>
      </c>
      <c r="R447" t="inlineStr">
        <is>
          <t>Aberta</t>
        </is>
      </c>
      <c r="T447" t="inlineStr">
        <is>
          <t>Aline Batista</t>
        </is>
      </c>
      <c r="U447" t="inlineStr">
        <is>
          <t>24/04/2026</t>
        </is>
      </c>
      <c r="V447" t="inlineStr">
        <is>
          <t>01/05/2026</t>
        </is>
      </c>
      <c r="W447">
        <v>40</v>
      </c>
      <c r="AA447" t="inlineStr">
        <is>
          <t>Aberta 30-60 dias</t>
        </is>
      </c>
      <c r="AB447" t="inlineStr">
        <is>
          <t>GSA</t>
        </is>
      </c>
    </row>
    <row r="448">
      <c r="A448">
        <v>446</v>
      </c>
      <c r="B448">
        <v>2</v>
      </c>
      <c r="C448" t="inlineStr">
        <is>
          <t>1.5</t>
        </is>
      </c>
      <c r="D448" t="inlineStr">
        <is>
          <t>C01</t>
        </is>
      </c>
      <c r="E448" t="inlineStr">
        <is>
          <t>LD/LE</t>
        </is>
      </c>
      <c r="F448" t="inlineStr">
        <is>
          <t>ATERPA</t>
        </is>
      </c>
      <c r="G448" t="inlineStr">
        <is>
          <t>CLP-011</t>
        </is>
      </c>
      <c r="H448" t="inlineStr">
        <is>
          <t>Protocolo</t>
        </is>
      </c>
      <c r="I448">
        <v>6</v>
      </c>
      <c r="J448" t="inlineStr">
        <is>
          <t>Drenagem Superficial</t>
        </is>
      </c>
      <c r="K448" t="inlineStr">
        <is>
          <t xml:space="preserve">6.10 </t>
        </is>
      </c>
      <c r="L448" t="inlineStr">
        <is>
          <t>SZA</t>
        </is>
      </c>
      <c r="M448" t="inlineStr">
        <is>
          <t>Obstrução do dispositivo</t>
        </is>
      </c>
      <c r="N448" t="inlineStr">
        <is>
          <t>Drenagem Obstruída Por Acúmulo De Material, Ambos Lados</t>
        </is>
      </c>
      <c r="O448" t="inlineStr">
        <is>
          <t>Tipo A</t>
        </is>
      </c>
      <c r="P448" t="inlineStr">
        <is>
          <t>46+520</t>
        </is>
      </c>
      <c r="Q448" t="inlineStr">
        <is>
          <t>46+520</t>
        </is>
      </c>
      <c r="R448" t="inlineStr">
        <is>
          <t>Aberta</t>
        </is>
      </c>
      <c r="T448" t="inlineStr">
        <is>
          <t>Aline Batista</t>
        </is>
      </c>
      <c r="U448" t="inlineStr">
        <is>
          <t>24/04/2026</t>
        </is>
      </c>
      <c r="V448" t="inlineStr">
        <is>
          <t>01/05/2026</t>
        </is>
      </c>
      <c r="W448">
        <v>40</v>
      </c>
      <c r="AA448" t="inlineStr">
        <is>
          <t>Aberta 30-60 dias</t>
        </is>
      </c>
      <c r="AB448" t="inlineStr">
        <is>
          <t>GSA</t>
        </is>
      </c>
    </row>
    <row r="449">
      <c r="A449">
        <v>447</v>
      </c>
      <c r="B449">
        <v>2</v>
      </c>
      <c r="C449" t="inlineStr">
        <is>
          <t>1.5</t>
        </is>
      </c>
      <c r="D449" t="inlineStr">
        <is>
          <t>A02</t>
        </is>
      </c>
      <c r="E449" t="inlineStr">
        <is>
          <t>LD/LE</t>
        </is>
      </c>
      <c r="F449" t="inlineStr">
        <is>
          <t>ATERPA</t>
        </is>
      </c>
      <c r="G449" t="inlineStr">
        <is>
          <t>CLP-011</t>
        </is>
      </c>
      <c r="H449" t="inlineStr">
        <is>
          <t>Protocolo</t>
        </is>
      </c>
      <c r="I449">
        <v>6</v>
      </c>
      <c r="J449" t="inlineStr">
        <is>
          <t>Drenagem Superficial</t>
        </is>
      </c>
      <c r="K449" t="inlineStr">
        <is>
          <t xml:space="preserve">6.10 </t>
        </is>
      </c>
      <c r="L449" t="inlineStr">
        <is>
          <t>SZA</t>
        </is>
      </c>
      <c r="M449" t="inlineStr">
        <is>
          <t>Obstrução do dispositivo</t>
        </is>
      </c>
      <c r="N449" t="inlineStr">
        <is>
          <t>Drenagem Obstruída Por Acúmulo De Material, Lado Direito</t>
        </is>
      </c>
      <c r="O449" t="inlineStr">
        <is>
          <t>Tipo A</t>
        </is>
      </c>
      <c r="P449" t="inlineStr">
        <is>
          <t>46+800</t>
        </is>
      </c>
      <c r="Q449" t="inlineStr">
        <is>
          <t>46+800</t>
        </is>
      </c>
      <c r="R449" t="inlineStr">
        <is>
          <t>Aberta</t>
        </is>
      </c>
      <c r="T449" t="inlineStr">
        <is>
          <t>Aline Batista</t>
        </is>
      </c>
      <c r="U449" t="inlineStr">
        <is>
          <t>24/04/2026</t>
        </is>
      </c>
      <c r="V449" t="inlineStr">
        <is>
          <t>01/05/2026</t>
        </is>
      </c>
      <c r="W449">
        <v>40</v>
      </c>
      <c r="AA449" t="inlineStr">
        <is>
          <t>Aberta 30-60 dias</t>
        </is>
      </c>
      <c r="AB449" t="inlineStr">
        <is>
          <t>GSA</t>
        </is>
      </c>
    </row>
    <row r="450">
      <c r="A450">
        <v>448</v>
      </c>
      <c r="B450">
        <v>2</v>
      </c>
      <c r="C450" t="inlineStr">
        <is>
          <t>1.5</t>
        </is>
      </c>
      <c r="D450" t="inlineStr">
        <is>
          <t>A02</t>
        </is>
      </c>
      <c r="E450" t="inlineStr">
        <is>
          <t>LD/LE</t>
        </is>
      </c>
      <c r="F450" t="inlineStr">
        <is>
          <t>ATERPA</t>
        </is>
      </c>
      <c r="G450" t="inlineStr">
        <is>
          <t>CLP-011</t>
        </is>
      </c>
      <c r="H450" t="inlineStr">
        <is>
          <t>Protocolo</t>
        </is>
      </c>
      <c r="I450">
        <v>6</v>
      </c>
      <c r="J450" t="inlineStr">
        <is>
          <t>Drenagem Superficial</t>
        </is>
      </c>
      <c r="K450" t="inlineStr">
        <is>
          <t xml:space="preserve">6.10 </t>
        </is>
      </c>
      <c r="L450" t="inlineStr">
        <is>
          <t>SZA</t>
        </is>
      </c>
      <c r="M450" t="inlineStr">
        <is>
          <t>Obstrução do dispositivo</t>
        </is>
      </c>
      <c r="N450" t="inlineStr">
        <is>
          <t>Drenagem Obstruída Por Acúmulo De Material, Lado Esquerdo</t>
        </is>
      </c>
      <c r="O450" t="inlineStr">
        <is>
          <t>Tipo A</t>
        </is>
      </c>
      <c r="P450" t="inlineStr">
        <is>
          <t>46+800</t>
        </is>
      </c>
      <c r="Q450" t="inlineStr">
        <is>
          <t>46+800</t>
        </is>
      </c>
      <c r="R450" t="inlineStr">
        <is>
          <t>Aberta</t>
        </is>
      </c>
      <c r="T450" t="inlineStr">
        <is>
          <t>Aline Batista</t>
        </is>
      </c>
      <c r="U450" t="inlineStr">
        <is>
          <t>24/04/2026</t>
        </is>
      </c>
      <c r="V450" t="inlineStr">
        <is>
          <t>01/05/2026</t>
        </is>
      </c>
      <c r="W450">
        <v>40</v>
      </c>
      <c r="AA450" t="inlineStr">
        <is>
          <t>Aberta 30-60 dias</t>
        </is>
      </c>
      <c r="AB450" t="inlineStr">
        <is>
          <t>GSA</t>
        </is>
      </c>
    </row>
    <row r="451">
      <c r="A451">
        <v>449</v>
      </c>
      <c r="B451">
        <v>2</v>
      </c>
      <c r="C451" t="inlineStr">
        <is>
          <t>1.5</t>
        </is>
      </c>
      <c r="D451" t="inlineStr">
        <is>
          <t>C02</t>
        </is>
      </c>
      <c r="E451" t="inlineStr">
        <is>
          <t>LD/LE</t>
        </is>
      </c>
      <c r="F451" t="inlineStr">
        <is>
          <t>ATERPA</t>
        </is>
      </c>
      <c r="G451" t="inlineStr">
        <is>
          <t>CLP-011</t>
        </is>
      </c>
      <c r="H451" t="inlineStr">
        <is>
          <t>Fiscalização</t>
        </is>
      </c>
      <c r="I451">
        <v>6</v>
      </c>
      <c r="J451" t="inlineStr">
        <is>
          <t>Drenagem Superficial</t>
        </is>
      </c>
      <c r="K451" t="inlineStr">
        <is>
          <t xml:space="preserve">6.10 </t>
        </is>
      </c>
      <c r="L451" t="inlineStr">
        <is>
          <t>SZA</t>
        </is>
      </c>
      <c r="M451" t="inlineStr">
        <is>
          <t>Obstrução do dispositivo</t>
        </is>
      </c>
      <c r="N451" t="inlineStr">
        <is>
          <t>Drenagem Obstruída Por Acúmulo De Material, Lado Esquerdo</t>
        </is>
      </c>
      <c r="O451" t="inlineStr">
        <is>
          <t>Tipo A</t>
        </is>
      </c>
      <c r="P451" t="inlineStr">
        <is>
          <t>47+050</t>
        </is>
      </c>
      <c r="Q451" t="inlineStr">
        <is>
          <t>47+050</t>
        </is>
      </c>
      <c r="R451" t="inlineStr">
        <is>
          <t>Aberta</t>
        </is>
      </c>
      <c r="T451" t="inlineStr">
        <is>
          <t>Aline Batista</t>
        </is>
      </c>
      <c r="U451" t="inlineStr">
        <is>
          <t>24/04/2026</t>
        </is>
      </c>
      <c r="V451" t="inlineStr">
        <is>
          <t>01/05/2026</t>
        </is>
      </c>
      <c r="W451">
        <v>40</v>
      </c>
      <c r="AA451" t="inlineStr">
        <is>
          <t>Aberta 30-60 dias</t>
        </is>
      </c>
    </row>
    <row r="452">
      <c r="A452">
        <v>450</v>
      </c>
      <c r="B452">
        <v>2</v>
      </c>
      <c r="C452" t="inlineStr">
        <is>
          <t>1.5</t>
        </is>
      </c>
      <c r="D452" t="inlineStr">
        <is>
          <t>C02</t>
        </is>
      </c>
      <c r="E452" t="inlineStr">
        <is>
          <t>LD/LE</t>
        </is>
      </c>
      <c r="F452" t="inlineStr">
        <is>
          <t>ATERPA</t>
        </is>
      </c>
      <c r="G452" t="inlineStr">
        <is>
          <t>CLP-011</t>
        </is>
      </c>
      <c r="H452" t="inlineStr">
        <is>
          <t>Fiscalização</t>
        </is>
      </c>
      <c r="I452">
        <v>6</v>
      </c>
      <c r="J452" t="inlineStr">
        <is>
          <t>Drenagem Superficial</t>
        </is>
      </c>
      <c r="K452" t="inlineStr">
        <is>
          <t xml:space="preserve">6.10 </t>
        </is>
      </c>
      <c r="L452" t="inlineStr">
        <is>
          <t>SZA</t>
        </is>
      </c>
      <c r="M452" t="inlineStr">
        <is>
          <t>Obstrução do dispositivo</t>
        </is>
      </c>
      <c r="N452" t="inlineStr">
        <is>
          <t>Drenagem Obstruída Por Acúmulo De Material, Lado Direito</t>
        </is>
      </c>
      <c r="O452" t="inlineStr">
        <is>
          <t>Tipo A</t>
        </is>
      </c>
      <c r="P452" t="inlineStr">
        <is>
          <t>47+050</t>
        </is>
      </c>
      <c r="Q452" t="inlineStr">
        <is>
          <t>47+050</t>
        </is>
      </c>
      <c r="R452" t="inlineStr">
        <is>
          <t>Aberta</t>
        </is>
      </c>
      <c r="T452" t="inlineStr">
        <is>
          <t>Aline Batista</t>
        </is>
      </c>
      <c r="U452" t="inlineStr">
        <is>
          <t>24/04/2026</t>
        </is>
      </c>
      <c r="V452" t="inlineStr">
        <is>
          <t>01/05/2026</t>
        </is>
      </c>
      <c r="W452">
        <v>40</v>
      </c>
      <c r="AA452" t="inlineStr">
        <is>
          <t>Aberta 30-60 dias</t>
        </is>
      </c>
    </row>
    <row r="453">
      <c r="A453">
        <v>451</v>
      </c>
      <c r="B453">
        <v>2</v>
      </c>
      <c r="C453" t="inlineStr">
        <is>
          <t>1.5</t>
        </is>
      </c>
      <c r="D453" t="inlineStr">
        <is>
          <t>C02</t>
        </is>
      </c>
      <c r="E453" t="inlineStr">
        <is>
          <t>LD/LE</t>
        </is>
      </c>
      <c r="F453" t="inlineStr">
        <is>
          <t>ATERPA</t>
        </is>
      </c>
      <c r="G453" t="inlineStr">
        <is>
          <t>CLP-011</t>
        </is>
      </c>
      <c r="H453" t="inlineStr">
        <is>
          <t>Fiscalização</t>
        </is>
      </c>
      <c r="I453">
        <v>6</v>
      </c>
      <c r="J453" t="inlineStr">
        <is>
          <t>Drenagem Superficial</t>
        </is>
      </c>
      <c r="K453" t="inlineStr">
        <is>
          <t xml:space="preserve">6.10 </t>
        </is>
      </c>
      <c r="L453" t="inlineStr">
        <is>
          <t>SZA</t>
        </is>
      </c>
      <c r="M453" t="inlineStr">
        <is>
          <t>Obstrução do dispositivo</t>
        </is>
      </c>
      <c r="N453" t="inlineStr">
        <is>
          <t>Drenagem Obstruída Por Acúmulo De Material, Ambos Lados</t>
        </is>
      </c>
      <c r="O453" t="inlineStr">
        <is>
          <t>Tipo A</t>
        </is>
      </c>
      <c r="P453" t="inlineStr">
        <is>
          <t>47+200</t>
        </is>
      </c>
      <c r="Q453" t="inlineStr">
        <is>
          <t>47+200</t>
        </is>
      </c>
      <c r="R453" t="inlineStr">
        <is>
          <t>Aberta</t>
        </is>
      </c>
      <c r="T453" t="inlineStr">
        <is>
          <t>Aline Batista</t>
        </is>
      </c>
      <c r="U453" t="inlineStr">
        <is>
          <t>24/04/2026</t>
        </is>
      </c>
      <c r="V453" t="inlineStr">
        <is>
          <t>01/05/2026</t>
        </is>
      </c>
      <c r="W453">
        <v>40</v>
      </c>
      <c r="AA453" t="inlineStr">
        <is>
          <t>Aberta 30-60 dias</t>
        </is>
      </c>
    </row>
    <row r="454">
      <c r="A454">
        <v>452</v>
      </c>
      <c r="B454">
        <v>2</v>
      </c>
      <c r="C454" t="inlineStr">
        <is>
          <t>1.5</t>
        </is>
      </c>
      <c r="D454" t="inlineStr">
        <is>
          <t>C02</t>
        </is>
      </c>
      <c r="E454" t="inlineStr">
        <is>
          <t>LD/LE</t>
        </is>
      </c>
      <c r="F454" t="inlineStr">
        <is>
          <t>ATERPA</t>
        </is>
      </c>
      <c r="G454" t="inlineStr">
        <is>
          <t>CLP-011</t>
        </is>
      </c>
      <c r="H454" t="inlineStr">
        <is>
          <t>Fiscalização</t>
        </is>
      </c>
      <c r="I454">
        <v>6</v>
      </c>
      <c r="J454" t="inlineStr">
        <is>
          <t>Drenagem Superficial</t>
        </is>
      </c>
      <c r="K454" t="inlineStr">
        <is>
          <t xml:space="preserve">6.10 </t>
        </is>
      </c>
      <c r="L454" t="inlineStr">
        <is>
          <t>SZA</t>
        </is>
      </c>
      <c r="M454" t="inlineStr">
        <is>
          <t>Obstrução do dispositivo</t>
        </is>
      </c>
      <c r="N454" t="inlineStr">
        <is>
          <t>Drenagem Obstruída Por Acúmulo De Material, Ambos Lados</t>
        </is>
      </c>
      <c r="O454" t="inlineStr">
        <is>
          <t>Tipo A</t>
        </is>
      </c>
      <c r="P454" t="inlineStr">
        <is>
          <t>47+600</t>
        </is>
      </c>
      <c r="Q454" t="inlineStr">
        <is>
          <t>47+600</t>
        </is>
      </c>
      <c r="R454" t="inlineStr">
        <is>
          <t>Aberta</t>
        </is>
      </c>
      <c r="T454" t="inlineStr">
        <is>
          <t>Aline Batista</t>
        </is>
      </c>
      <c r="U454" t="inlineStr">
        <is>
          <t>24/04/2026</t>
        </is>
      </c>
      <c r="V454" t="inlineStr">
        <is>
          <t>01/05/2026</t>
        </is>
      </c>
      <c r="W454">
        <v>40</v>
      </c>
      <c r="AA454" t="inlineStr">
        <is>
          <t>Aberta 30-60 dias</t>
        </is>
      </c>
    </row>
    <row r="455">
      <c r="A455">
        <v>453</v>
      </c>
      <c r="B455">
        <v>2</v>
      </c>
      <c r="C455" t="inlineStr">
        <is>
          <t>1.5</t>
        </is>
      </c>
      <c r="D455" t="inlineStr">
        <is>
          <t>C02</t>
        </is>
      </c>
      <c r="E455" t="inlineStr">
        <is>
          <t>LD/LE</t>
        </is>
      </c>
      <c r="F455" t="inlineStr">
        <is>
          <t>ATERPA</t>
        </is>
      </c>
      <c r="G455" t="inlineStr">
        <is>
          <t>CLP-011</t>
        </is>
      </c>
      <c r="H455" t="inlineStr">
        <is>
          <t>Fiscalização</t>
        </is>
      </c>
      <c r="I455">
        <v>6</v>
      </c>
      <c r="J455" t="inlineStr">
        <is>
          <t>Drenagem Superficial</t>
        </is>
      </c>
      <c r="K455" t="inlineStr">
        <is>
          <t xml:space="preserve">6.10 </t>
        </is>
      </c>
      <c r="L455" t="inlineStr">
        <is>
          <t>SZA</t>
        </is>
      </c>
      <c r="M455" t="inlineStr">
        <is>
          <t>Obstrução do dispositivo</t>
        </is>
      </c>
      <c r="N455" t="inlineStr">
        <is>
          <t>Drenagem Obstruída Por Acúmulo De Material, Ambos Lados</t>
        </is>
      </c>
      <c r="O455" t="inlineStr">
        <is>
          <t>Tipo A</t>
        </is>
      </c>
      <c r="P455" t="inlineStr">
        <is>
          <t>47+660</t>
        </is>
      </c>
      <c r="Q455" t="inlineStr">
        <is>
          <t>47+660</t>
        </is>
      </c>
      <c r="R455" t="inlineStr">
        <is>
          <t>Aberta</t>
        </is>
      </c>
      <c r="T455" t="inlineStr">
        <is>
          <t>Aline Batista</t>
        </is>
      </c>
      <c r="U455" t="inlineStr">
        <is>
          <t>24/04/2026</t>
        </is>
      </c>
      <c r="V455" t="inlineStr">
        <is>
          <t>01/05/2026</t>
        </is>
      </c>
      <c r="W455">
        <v>40</v>
      </c>
      <c r="AA455" t="inlineStr">
        <is>
          <t>Aberta 30-60 dias</t>
        </is>
      </c>
    </row>
    <row r="456">
      <c r="A456">
        <v>454</v>
      </c>
      <c r="B456">
        <v>2</v>
      </c>
      <c r="C456" t="inlineStr">
        <is>
          <t>1.5</t>
        </is>
      </c>
      <c r="D456" t="inlineStr">
        <is>
          <t>C02</t>
        </is>
      </c>
      <c r="E456" t="inlineStr">
        <is>
          <t>LD/LE</t>
        </is>
      </c>
      <c r="F456" t="inlineStr">
        <is>
          <t>ATERPA</t>
        </is>
      </c>
      <c r="G456" t="inlineStr">
        <is>
          <t>CLP-011</t>
        </is>
      </c>
      <c r="H456" t="inlineStr">
        <is>
          <t>Fiscalização</t>
        </is>
      </c>
      <c r="I456">
        <v>6</v>
      </c>
      <c r="J456" t="inlineStr">
        <is>
          <t>Drenagem Superficial</t>
        </is>
      </c>
      <c r="K456" t="inlineStr">
        <is>
          <t xml:space="preserve">6.10 </t>
        </is>
      </c>
      <c r="L456" t="inlineStr">
        <is>
          <t>SZA</t>
        </is>
      </c>
      <c r="M456" t="inlineStr">
        <is>
          <t>Obstrução do dispositivo</t>
        </is>
      </c>
      <c r="N456" t="inlineStr">
        <is>
          <t>Drenagem Obstruída Por Acúmulo De Material, Lado Direito</t>
        </is>
      </c>
      <c r="O456" t="inlineStr">
        <is>
          <t>Tipo A</t>
        </is>
      </c>
      <c r="P456" t="inlineStr">
        <is>
          <t>47+880</t>
        </is>
      </c>
      <c r="Q456" t="inlineStr">
        <is>
          <t>47+880</t>
        </is>
      </c>
      <c r="R456" t="inlineStr">
        <is>
          <t>Aberta</t>
        </is>
      </c>
      <c r="T456" t="inlineStr">
        <is>
          <t>Aline Batista</t>
        </is>
      </c>
      <c r="U456" t="inlineStr">
        <is>
          <t>24/04/2026</t>
        </is>
      </c>
      <c r="V456" t="inlineStr">
        <is>
          <t>01/05/2026</t>
        </is>
      </c>
      <c r="W456">
        <v>40</v>
      </c>
      <c r="AA456" t="inlineStr">
        <is>
          <t>Aberta 30-60 dias</t>
        </is>
      </c>
    </row>
    <row r="457">
      <c r="A457">
        <v>455</v>
      </c>
      <c r="B457">
        <v>2</v>
      </c>
      <c r="C457" t="inlineStr">
        <is>
          <t>1.5</t>
        </is>
      </c>
      <c r="D457" t="inlineStr">
        <is>
          <t>C02</t>
        </is>
      </c>
      <c r="E457" t="inlineStr">
        <is>
          <t>LD/LE</t>
        </is>
      </c>
      <c r="F457" t="inlineStr">
        <is>
          <t>ATERPA</t>
        </is>
      </c>
      <c r="G457" t="inlineStr">
        <is>
          <t>CLP-011</t>
        </is>
      </c>
      <c r="H457" t="inlineStr">
        <is>
          <t>Fiscalização</t>
        </is>
      </c>
      <c r="I457">
        <v>6</v>
      </c>
      <c r="J457" t="inlineStr">
        <is>
          <t>Drenagem Superficial</t>
        </is>
      </c>
      <c r="K457" t="inlineStr">
        <is>
          <t xml:space="preserve">6.10 </t>
        </is>
      </c>
      <c r="L457" t="inlineStr">
        <is>
          <t>SZA</t>
        </is>
      </c>
      <c r="M457" t="inlineStr">
        <is>
          <t>Obstrução do dispositivo</t>
        </is>
      </c>
      <c r="N457" t="inlineStr">
        <is>
          <t>Drenagem Obstruída Por Acúmulo De Material, Lado Esquerdo</t>
        </is>
      </c>
      <c r="O457" t="inlineStr">
        <is>
          <t>Tipo A</t>
        </is>
      </c>
      <c r="P457" t="inlineStr">
        <is>
          <t>47+880</t>
        </is>
      </c>
      <c r="Q457" t="inlineStr">
        <is>
          <t>47+880</t>
        </is>
      </c>
      <c r="R457" t="inlineStr">
        <is>
          <t>Aberta</t>
        </is>
      </c>
      <c r="T457" t="inlineStr">
        <is>
          <t>Aline Batista</t>
        </is>
      </c>
      <c r="U457" t="inlineStr">
        <is>
          <t>24/04/2026</t>
        </is>
      </c>
      <c r="V457" t="inlineStr">
        <is>
          <t>01/05/2026</t>
        </is>
      </c>
      <c r="W457">
        <v>40</v>
      </c>
      <c r="AA457" t="inlineStr">
        <is>
          <t>Aberta 30-60 dias</t>
        </is>
      </c>
    </row>
    <row r="458">
      <c r="A458">
        <v>456</v>
      </c>
      <c r="B458">
        <v>2</v>
      </c>
      <c r="C458" t="inlineStr">
        <is>
          <t>1.5</t>
        </is>
      </c>
      <c r="D458" t="inlineStr">
        <is>
          <t>C02</t>
        </is>
      </c>
      <c r="E458" t="inlineStr">
        <is>
          <t>LD/LE</t>
        </is>
      </c>
      <c r="F458" t="inlineStr">
        <is>
          <t>ATERPA</t>
        </is>
      </c>
      <c r="G458" t="inlineStr">
        <is>
          <t>CLP-011</t>
        </is>
      </c>
      <c r="H458" t="inlineStr">
        <is>
          <t>Fiscalização</t>
        </is>
      </c>
      <c r="I458">
        <v>6</v>
      </c>
      <c r="J458" t="inlineStr">
        <is>
          <t>Drenagem Superficial</t>
        </is>
      </c>
      <c r="K458" t="inlineStr">
        <is>
          <t xml:space="preserve">6.10 </t>
        </is>
      </c>
      <c r="L458" t="inlineStr">
        <is>
          <t>SZA</t>
        </is>
      </c>
      <c r="M458" t="inlineStr">
        <is>
          <t>Obstrução do dispositivo</t>
        </is>
      </c>
      <c r="N458" t="inlineStr">
        <is>
          <t>Drenagem Obstruída Por Acúmulo De Material</t>
        </is>
      </c>
      <c r="O458" t="inlineStr">
        <is>
          <t>Tipo A</t>
        </is>
      </c>
      <c r="P458" t="inlineStr">
        <is>
          <t>47+900</t>
        </is>
      </c>
      <c r="Q458" t="inlineStr">
        <is>
          <t>47+900</t>
        </is>
      </c>
      <c r="R458" t="inlineStr">
        <is>
          <t>Aberta</t>
        </is>
      </c>
      <c r="T458" t="inlineStr">
        <is>
          <t>Aline Batista</t>
        </is>
      </c>
      <c r="U458" t="inlineStr">
        <is>
          <t>24/04/2026</t>
        </is>
      </c>
      <c r="V458" t="inlineStr">
        <is>
          <t>01/05/2026</t>
        </is>
      </c>
      <c r="W458">
        <v>40</v>
      </c>
      <c r="AA458" t="inlineStr">
        <is>
          <t>Aberta 30-60 dias</t>
        </is>
      </c>
    </row>
    <row r="459">
      <c r="A459">
        <v>457</v>
      </c>
      <c r="B459">
        <v>2</v>
      </c>
      <c r="C459" t="inlineStr">
        <is>
          <t>1.5</t>
        </is>
      </c>
      <c r="D459" t="inlineStr">
        <is>
          <t>C02</t>
        </is>
      </c>
      <c r="E459" t="inlineStr">
        <is>
          <t>LD/LE</t>
        </is>
      </c>
      <c r="F459" t="inlineStr">
        <is>
          <t>ATERPA</t>
        </is>
      </c>
      <c r="G459" t="inlineStr">
        <is>
          <t>CLP-011</t>
        </is>
      </c>
      <c r="H459" t="inlineStr">
        <is>
          <t>Fiscalização</t>
        </is>
      </c>
      <c r="I459">
        <v>6</v>
      </c>
      <c r="J459" t="inlineStr">
        <is>
          <t>Drenagem Superficial</t>
        </is>
      </c>
      <c r="K459" t="inlineStr">
        <is>
          <t xml:space="preserve">6.10 </t>
        </is>
      </c>
      <c r="L459" t="inlineStr">
        <is>
          <t>SZA</t>
        </is>
      </c>
      <c r="M459" t="inlineStr">
        <is>
          <t>Obstrução do dispositivo</t>
        </is>
      </c>
      <c r="N459" t="inlineStr">
        <is>
          <t>Drenagem Obstruída Por Acúmulo De Material</t>
        </is>
      </c>
      <c r="O459" t="inlineStr">
        <is>
          <t>Tipo A</t>
        </is>
      </c>
      <c r="P459" t="inlineStr">
        <is>
          <t>47+950</t>
        </is>
      </c>
      <c r="Q459" t="inlineStr">
        <is>
          <t>47+950</t>
        </is>
      </c>
      <c r="R459" t="inlineStr">
        <is>
          <t>Aberta</t>
        </is>
      </c>
      <c r="T459" t="inlineStr">
        <is>
          <t>Aline Batista</t>
        </is>
      </c>
      <c r="U459" t="inlineStr">
        <is>
          <t>24/04/2026</t>
        </is>
      </c>
      <c r="V459" t="inlineStr">
        <is>
          <t>01/05/2026</t>
        </is>
      </c>
      <c r="W459">
        <v>40</v>
      </c>
      <c r="AA459" t="inlineStr">
        <is>
          <t>Aberta 30-60 dias</t>
        </is>
      </c>
    </row>
    <row r="460">
      <c r="A460">
        <v>458</v>
      </c>
      <c r="B460">
        <v>2</v>
      </c>
      <c r="C460" t="inlineStr">
        <is>
          <t>1.5</t>
        </is>
      </c>
      <c r="D460" t="inlineStr">
        <is>
          <t>A04</t>
        </is>
      </c>
      <c r="E460" t="inlineStr">
        <is>
          <t>LD/LE</t>
        </is>
      </c>
      <c r="F460" t="inlineStr">
        <is>
          <t>ATERPA</t>
        </is>
      </c>
      <c r="G460" t="inlineStr">
        <is>
          <t>CLP-011</t>
        </is>
      </c>
      <c r="H460" t="inlineStr">
        <is>
          <t>Fiscalização</t>
        </is>
      </c>
      <c r="I460">
        <v>6</v>
      </c>
      <c r="J460" t="inlineStr">
        <is>
          <t>Drenagem Superficial</t>
        </is>
      </c>
      <c r="K460" t="inlineStr">
        <is>
          <t xml:space="preserve">6.10 </t>
        </is>
      </c>
      <c r="L460" t="inlineStr">
        <is>
          <t>SZA</t>
        </is>
      </c>
      <c r="M460" t="inlineStr">
        <is>
          <t>Obstrução do dispositivo</t>
        </is>
      </c>
      <c r="N460" t="inlineStr">
        <is>
          <t>Drenagem Obstruída Por Acúmulo De Material</t>
        </is>
      </c>
      <c r="O460" t="inlineStr">
        <is>
          <t>Tipo A</t>
        </is>
      </c>
      <c r="P460" t="inlineStr">
        <is>
          <t>48+350</t>
        </is>
      </c>
      <c r="Q460" t="inlineStr">
        <is>
          <t>48+350</t>
        </is>
      </c>
      <c r="R460" t="inlineStr">
        <is>
          <t>Aberta</t>
        </is>
      </c>
      <c r="T460" t="inlineStr">
        <is>
          <t>Aline Batista</t>
        </is>
      </c>
      <c r="U460" t="inlineStr">
        <is>
          <t>24/04/2026</t>
        </is>
      </c>
      <c r="V460" t="inlineStr">
        <is>
          <t>01/05/2026</t>
        </is>
      </c>
      <c r="W460">
        <v>40</v>
      </c>
      <c r="AA460" t="inlineStr">
        <is>
          <t>Aberta 30-60 dias</t>
        </is>
      </c>
    </row>
    <row r="461">
      <c r="A461">
        <v>459</v>
      </c>
      <c r="B461">
        <v>2</v>
      </c>
      <c r="C461" t="inlineStr">
        <is>
          <t>1.5</t>
        </is>
      </c>
      <c r="D461" t="inlineStr">
        <is>
          <t>A04</t>
        </is>
      </c>
      <c r="E461" t="inlineStr">
        <is>
          <t>LD/LE</t>
        </is>
      </c>
      <c r="F461" t="inlineStr">
        <is>
          <t>ATERPA</t>
        </is>
      </c>
      <c r="G461" t="inlineStr">
        <is>
          <t>CLP-011</t>
        </is>
      </c>
      <c r="H461" t="inlineStr">
        <is>
          <t>Protocolo</t>
        </is>
      </c>
      <c r="I461">
        <v>6</v>
      </c>
      <c r="J461" t="inlineStr">
        <is>
          <t>Drenagem Superficial</t>
        </is>
      </c>
      <c r="K461" t="inlineStr">
        <is>
          <t xml:space="preserve">6.10 </t>
        </is>
      </c>
      <c r="L461" t="inlineStr">
        <is>
          <t>SZA</t>
        </is>
      </c>
      <c r="M461" t="inlineStr">
        <is>
          <t>Obstrução do dispositivo</t>
        </is>
      </c>
      <c r="N461" t="inlineStr">
        <is>
          <t>Drenagem Obstruída Por Acúmulo De Material, Lado Direito</t>
        </is>
      </c>
      <c r="O461" t="inlineStr">
        <is>
          <t>Tipo A</t>
        </is>
      </c>
      <c r="P461" t="inlineStr">
        <is>
          <t>48+500</t>
        </is>
      </c>
      <c r="Q461" t="inlineStr">
        <is>
          <t>48+500</t>
        </is>
      </c>
      <c r="R461" t="inlineStr">
        <is>
          <t>Aberta</t>
        </is>
      </c>
      <c r="T461" t="inlineStr">
        <is>
          <t>Aline Batista</t>
        </is>
      </c>
      <c r="U461" t="inlineStr">
        <is>
          <t>24/04/2026</t>
        </is>
      </c>
      <c r="V461" t="inlineStr">
        <is>
          <t>01/05/2026</t>
        </is>
      </c>
      <c r="W461">
        <v>40</v>
      </c>
      <c r="AA461" t="inlineStr">
        <is>
          <t>Aberta 30-60 dias</t>
        </is>
      </c>
    </row>
    <row r="462">
      <c r="A462">
        <v>460</v>
      </c>
      <c r="B462">
        <v>2</v>
      </c>
      <c r="C462" t="inlineStr">
        <is>
          <t>1.5</t>
        </is>
      </c>
      <c r="D462" t="inlineStr">
        <is>
          <t>A04</t>
        </is>
      </c>
      <c r="E462" t="inlineStr">
        <is>
          <t>LD/LE</t>
        </is>
      </c>
      <c r="F462" t="inlineStr">
        <is>
          <t>ATERPA</t>
        </is>
      </c>
      <c r="G462" t="inlineStr">
        <is>
          <t>CLP-011</t>
        </is>
      </c>
      <c r="H462" t="inlineStr">
        <is>
          <t>Protocolo</t>
        </is>
      </c>
      <c r="I462">
        <v>6</v>
      </c>
      <c r="J462" t="inlineStr">
        <is>
          <t>Drenagem Superficial</t>
        </is>
      </c>
      <c r="K462" t="inlineStr">
        <is>
          <t xml:space="preserve">6.10 </t>
        </is>
      </c>
      <c r="L462" t="inlineStr">
        <is>
          <t>SZA</t>
        </is>
      </c>
      <c r="M462" t="inlineStr">
        <is>
          <t>Obstrução do dispositivo</t>
        </is>
      </c>
      <c r="N462" t="inlineStr">
        <is>
          <t>Drenagem Obstruída Por Acúmulo De Material, Lado Esquerdo</t>
        </is>
      </c>
      <c r="O462" t="inlineStr">
        <is>
          <t>Tipo A</t>
        </is>
      </c>
      <c r="P462" t="inlineStr">
        <is>
          <t>48+500</t>
        </is>
      </c>
      <c r="Q462" t="inlineStr">
        <is>
          <t>48+500</t>
        </is>
      </c>
      <c r="R462" t="inlineStr">
        <is>
          <t>Aberta</t>
        </is>
      </c>
      <c r="T462" t="inlineStr">
        <is>
          <t>Aline Batista</t>
        </is>
      </c>
      <c r="U462" t="inlineStr">
        <is>
          <t>24/04/2026</t>
        </is>
      </c>
      <c r="V462" t="inlineStr">
        <is>
          <t>01/05/2026</t>
        </is>
      </c>
      <c r="W462">
        <v>40</v>
      </c>
      <c r="AA462" t="inlineStr">
        <is>
          <t>Aberta 30-60 dias</t>
        </is>
      </c>
    </row>
    <row r="463">
      <c r="A463">
        <v>461</v>
      </c>
      <c r="B463">
        <v>2</v>
      </c>
      <c r="C463" t="inlineStr">
        <is>
          <t>1.5</t>
        </is>
      </c>
      <c r="D463" t="inlineStr">
        <is>
          <t>A04</t>
        </is>
      </c>
      <c r="E463" t="inlineStr">
        <is>
          <t>LD/LE</t>
        </is>
      </c>
      <c r="F463" t="inlineStr">
        <is>
          <t>ATERPA</t>
        </is>
      </c>
      <c r="G463" t="inlineStr">
        <is>
          <t>CLP-011</t>
        </is>
      </c>
      <c r="H463" t="inlineStr">
        <is>
          <t>Protocolo</t>
        </is>
      </c>
      <c r="I463">
        <v>6</v>
      </c>
      <c r="J463" t="inlineStr">
        <is>
          <t>Drenagem Superficial</t>
        </is>
      </c>
      <c r="K463" t="inlineStr">
        <is>
          <t xml:space="preserve">6.10 </t>
        </is>
      </c>
      <c r="L463" t="inlineStr">
        <is>
          <t>SZA</t>
        </is>
      </c>
      <c r="M463" t="inlineStr">
        <is>
          <t>Execuçao divergente do projeto</t>
        </is>
      </c>
      <c r="N463" t="inlineStr">
        <is>
          <t>Dispositivo De Drenagem Implantado Em Cota Superior À Da Plataforma, Apresentando, Adicionalmente, Trecho Com Declividade Longitudinal Inadequada.</t>
        </is>
      </c>
      <c r="O463" t="inlineStr">
        <is>
          <t>Tipo A</t>
        </is>
      </c>
      <c r="P463" t="inlineStr">
        <is>
          <t>48+650</t>
        </is>
      </c>
      <c r="Q463" t="inlineStr">
        <is>
          <t>48+650</t>
        </is>
      </c>
      <c r="R463" t="inlineStr">
        <is>
          <t>Aberta</t>
        </is>
      </c>
      <c r="T463" t="inlineStr">
        <is>
          <t>Aline Batista</t>
        </is>
      </c>
      <c r="U463" t="inlineStr">
        <is>
          <t>24/04/2026</t>
        </is>
      </c>
      <c r="V463" t="inlineStr">
        <is>
          <t>01/05/2026</t>
        </is>
      </c>
      <c r="W463">
        <v>40</v>
      </c>
      <c r="AA463" t="inlineStr">
        <is>
          <t>Aberta 30-60 dias</t>
        </is>
      </c>
    </row>
    <row r="464">
      <c r="A464">
        <v>462</v>
      </c>
      <c r="B464">
        <v>2</v>
      </c>
      <c r="C464" t="inlineStr">
        <is>
          <t>1.5</t>
        </is>
      </c>
      <c r="D464" t="inlineStr">
        <is>
          <t>A04</t>
        </is>
      </c>
      <c r="E464" t="inlineStr">
        <is>
          <t>LD/LE</t>
        </is>
      </c>
      <c r="F464" t="inlineStr">
        <is>
          <t>ATERPA</t>
        </is>
      </c>
      <c r="G464" t="inlineStr">
        <is>
          <t>CLP-011</t>
        </is>
      </c>
      <c r="H464" t="inlineStr">
        <is>
          <t>Fiscalização</t>
        </is>
      </c>
      <c r="I464">
        <v>6</v>
      </c>
      <c r="J464" t="inlineStr">
        <is>
          <t>Drenagem Superficial</t>
        </is>
      </c>
      <c r="K464" t="inlineStr">
        <is>
          <t xml:space="preserve">6.10 </t>
        </is>
      </c>
      <c r="L464" t="inlineStr">
        <is>
          <t>SZA</t>
        </is>
      </c>
      <c r="M464" t="inlineStr">
        <is>
          <t>Obstrução do dispositivo</t>
        </is>
      </c>
      <c r="N464" t="inlineStr">
        <is>
          <t>Drenagem Obstruída Por Acúmulo De Material, Lado Esquerdo</t>
        </is>
      </c>
      <c r="O464" t="inlineStr">
        <is>
          <t>Tipo A</t>
        </is>
      </c>
      <c r="P464" t="inlineStr">
        <is>
          <t>48+950</t>
        </is>
      </c>
      <c r="Q464" t="inlineStr">
        <is>
          <t>48+950</t>
        </is>
      </c>
      <c r="R464" t="inlineStr">
        <is>
          <t>Aberta</t>
        </is>
      </c>
      <c r="T464" t="inlineStr">
        <is>
          <t>Aline Batista</t>
        </is>
      </c>
      <c r="U464" t="inlineStr">
        <is>
          <t>24/04/2026</t>
        </is>
      </c>
      <c r="V464" t="inlineStr">
        <is>
          <t>01/05/2026</t>
        </is>
      </c>
      <c r="W464">
        <v>40</v>
      </c>
      <c r="AA464" t="inlineStr">
        <is>
          <t>Aberta 30-60 dias</t>
        </is>
      </c>
    </row>
    <row r="465">
      <c r="A465">
        <v>463</v>
      </c>
      <c r="B465">
        <v>2</v>
      </c>
      <c r="C465" t="inlineStr">
        <is>
          <t>1.5</t>
        </is>
      </c>
      <c r="D465" t="inlineStr">
        <is>
          <t>A04</t>
        </is>
      </c>
      <c r="E465" t="inlineStr">
        <is>
          <t>LD/LE</t>
        </is>
      </c>
      <c r="F465" t="inlineStr">
        <is>
          <t>ATERPA</t>
        </is>
      </c>
      <c r="G465" t="inlineStr">
        <is>
          <t>CLP-011</t>
        </is>
      </c>
      <c r="H465" t="inlineStr">
        <is>
          <t>Fiscalização</t>
        </is>
      </c>
      <c r="I465">
        <v>6</v>
      </c>
      <c r="J465" t="inlineStr">
        <is>
          <t>Drenagem Superficial</t>
        </is>
      </c>
      <c r="K465" t="inlineStr">
        <is>
          <t xml:space="preserve">6.10 </t>
        </is>
      </c>
      <c r="L465" t="inlineStr">
        <is>
          <t>SZA</t>
        </is>
      </c>
      <c r="M465" t="inlineStr">
        <is>
          <t>Obstrução do dispositivo</t>
        </is>
      </c>
      <c r="N465" t="inlineStr">
        <is>
          <t>Drenagem Obstruída Por Acúmulo De Material, Lado Direito</t>
        </is>
      </c>
      <c r="O465" t="inlineStr">
        <is>
          <t>Tipo A</t>
        </is>
      </c>
      <c r="P465" t="inlineStr">
        <is>
          <t>48+950</t>
        </is>
      </c>
      <c r="Q465" t="inlineStr">
        <is>
          <t>48+950</t>
        </is>
      </c>
      <c r="R465" t="inlineStr">
        <is>
          <t>Aberta</t>
        </is>
      </c>
      <c r="T465" t="inlineStr">
        <is>
          <t>Aline Batista</t>
        </is>
      </c>
      <c r="U465" t="inlineStr">
        <is>
          <t>24/04/2026</t>
        </is>
      </c>
      <c r="V465" t="inlineStr">
        <is>
          <t>01/05/2026</t>
        </is>
      </c>
      <c r="W465">
        <v>40</v>
      </c>
      <c r="AA465" t="inlineStr">
        <is>
          <t>Aberta 30-60 dias</t>
        </is>
      </c>
    </row>
    <row r="466">
      <c r="A466">
        <v>464</v>
      </c>
      <c r="B466">
        <v>2</v>
      </c>
      <c r="C466" t="inlineStr">
        <is>
          <t>1.5</t>
        </is>
      </c>
      <c r="D466" t="inlineStr">
        <is>
          <t>A04</t>
        </is>
      </c>
      <c r="E466" t="inlineStr">
        <is>
          <t>LD/LE</t>
        </is>
      </c>
      <c r="F466" t="inlineStr">
        <is>
          <t>ATERPA</t>
        </is>
      </c>
      <c r="G466" t="inlineStr">
        <is>
          <t>CLP-011</t>
        </is>
      </c>
      <c r="H466" t="inlineStr">
        <is>
          <t>Fiscalização</t>
        </is>
      </c>
      <c r="I466">
        <v>6</v>
      </c>
      <c r="J466" t="inlineStr">
        <is>
          <t>Drenagem Superficial</t>
        </is>
      </c>
      <c r="K466" t="inlineStr">
        <is>
          <t xml:space="preserve">6.10 </t>
        </is>
      </c>
      <c r="L466" t="inlineStr">
        <is>
          <t>SZA</t>
        </is>
      </c>
      <c r="M466" t="inlineStr">
        <is>
          <t>Obstrução do dispositivo</t>
        </is>
      </c>
      <c r="N466" t="inlineStr">
        <is>
          <t>Drenagem Obstruída Por Acúmulo De Material</t>
        </is>
      </c>
      <c r="O466" t="inlineStr">
        <is>
          <t>Tipo A</t>
        </is>
      </c>
      <c r="P466" t="inlineStr">
        <is>
          <t>48+950</t>
        </is>
      </c>
      <c r="Q466" t="inlineStr">
        <is>
          <t>48+950</t>
        </is>
      </c>
      <c r="R466" t="inlineStr">
        <is>
          <t>Aberta</t>
        </is>
      </c>
      <c r="T466" t="inlineStr">
        <is>
          <t>Aline Batista</t>
        </is>
      </c>
      <c r="U466" t="inlineStr">
        <is>
          <t>24/04/2026</t>
        </is>
      </c>
      <c r="V466" t="inlineStr">
        <is>
          <t>01/05/2026</t>
        </is>
      </c>
      <c r="W466">
        <v>40</v>
      </c>
      <c r="AA466" t="inlineStr">
        <is>
          <t>Aberta 30-60 dias</t>
        </is>
      </c>
    </row>
    <row r="467">
      <c r="A467">
        <v>465</v>
      </c>
      <c r="B467">
        <v>2</v>
      </c>
      <c r="C467" t="inlineStr">
        <is>
          <t>1.5</t>
        </is>
      </c>
      <c r="D467" t="inlineStr">
        <is>
          <t>C03</t>
        </is>
      </c>
      <c r="E467" t="inlineStr">
        <is>
          <t>LD/LE</t>
        </is>
      </c>
      <c r="F467" t="inlineStr">
        <is>
          <t>ATERPA</t>
        </is>
      </c>
      <c r="G467" t="inlineStr">
        <is>
          <t>CLP-011</t>
        </is>
      </c>
      <c r="H467" t="inlineStr">
        <is>
          <t>Fiscalização</t>
        </is>
      </c>
      <c r="I467">
        <v>6</v>
      </c>
      <c r="J467" t="inlineStr">
        <is>
          <t>Drenagem Superficial</t>
        </is>
      </c>
      <c r="K467" t="inlineStr">
        <is>
          <t xml:space="preserve">6.10 </t>
        </is>
      </c>
      <c r="L467" t="inlineStr">
        <is>
          <t>SZA</t>
        </is>
      </c>
      <c r="M467" t="inlineStr">
        <is>
          <t>Obstrução do dispositivo</t>
        </is>
      </c>
      <c r="N467" t="inlineStr">
        <is>
          <t>Drenagem Obstruída Por Acúmulo De Material, Lado Direito</t>
        </is>
      </c>
      <c r="O467" t="inlineStr">
        <is>
          <t>Tipo A</t>
        </is>
      </c>
      <c r="P467" t="inlineStr">
        <is>
          <t>49+250</t>
        </is>
      </c>
      <c r="Q467" t="inlineStr">
        <is>
          <t>49+250</t>
        </is>
      </c>
      <c r="R467" t="inlineStr">
        <is>
          <t>Aberta</t>
        </is>
      </c>
      <c r="T467" t="inlineStr">
        <is>
          <t>Aline Batista</t>
        </is>
      </c>
      <c r="U467" t="inlineStr">
        <is>
          <t>24/04/2026</t>
        </is>
      </c>
      <c r="V467" t="inlineStr">
        <is>
          <t>01/05/2026</t>
        </is>
      </c>
      <c r="W467">
        <v>40</v>
      </c>
      <c r="AA467" t="inlineStr">
        <is>
          <t>Aberta 30-60 dias</t>
        </is>
      </c>
    </row>
    <row r="468">
      <c r="A468">
        <v>466</v>
      </c>
      <c r="B468">
        <v>2</v>
      </c>
      <c r="C468" t="inlineStr">
        <is>
          <t>1.5</t>
        </is>
      </c>
      <c r="D468" t="inlineStr">
        <is>
          <t>C03</t>
        </is>
      </c>
      <c r="E468" t="inlineStr">
        <is>
          <t>LD/LE</t>
        </is>
      </c>
      <c r="F468" t="inlineStr">
        <is>
          <t>ATERPA</t>
        </is>
      </c>
      <c r="G468" t="inlineStr">
        <is>
          <t>CLP-011</t>
        </is>
      </c>
      <c r="H468" t="inlineStr">
        <is>
          <t>Protocolo</t>
        </is>
      </c>
      <c r="I468">
        <v>6</v>
      </c>
      <c r="J468" t="inlineStr">
        <is>
          <t>Drenagem Superficial</t>
        </is>
      </c>
      <c r="K468" t="inlineStr">
        <is>
          <t xml:space="preserve">6.10 </t>
        </is>
      </c>
      <c r="L468" t="inlineStr">
        <is>
          <t>SZA</t>
        </is>
      </c>
      <c r="M468" t="inlineStr">
        <is>
          <t>Obstrução do dispositivo</t>
        </is>
      </c>
      <c r="N468" t="inlineStr">
        <is>
          <t>Drenagem Obstruída Por Acúmulo De Material, Lado Esquerdo</t>
        </is>
      </c>
      <c r="O468" t="inlineStr">
        <is>
          <t>Tipo A</t>
        </is>
      </c>
      <c r="P468" t="inlineStr">
        <is>
          <t>49+250</t>
        </is>
      </c>
      <c r="Q468" t="inlineStr">
        <is>
          <t>49+250</t>
        </is>
      </c>
      <c r="R468" t="inlineStr">
        <is>
          <t>Aberta</t>
        </is>
      </c>
      <c r="T468" t="inlineStr">
        <is>
          <t>Aline Batista</t>
        </is>
      </c>
      <c r="U468" t="inlineStr">
        <is>
          <t>24/04/2026</t>
        </is>
      </c>
      <c r="V468" t="inlineStr">
        <is>
          <t>01/05/2026</t>
        </is>
      </c>
      <c r="W468">
        <v>40</v>
      </c>
      <c r="AA468" t="inlineStr">
        <is>
          <t>Aberta 30-60 dias</t>
        </is>
      </c>
    </row>
    <row r="469">
      <c r="A469">
        <v>467</v>
      </c>
      <c r="B469">
        <v>2</v>
      </c>
      <c r="C469" t="inlineStr">
        <is>
          <t>1.5</t>
        </is>
      </c>
      <c r="D469" t="inlineStr">
        <is>
          <t>C04</t>
        </is>
      </c>
      <c r="E469" t="inlineStr">
        <is>
          <t>LD/LE</t>
        </is>
      </c>
      <c r="F469" t="inlineStr">
        <is>
          <t>ATERPA</t>
        </is>
      </c>
      <c r="G469" t="inlineStr">
        <is>
          <t>CLP-011</t>
        </is>
      </c>
      <c r="H469" t="inlineStr">
        <is>
          <t>Protocolo</t>
        </is>
      </c>
      <c r="I469">
        <v>6</v>
      </c>
      <c r="J469" t="inlineStr">
        <is>
          <t>Drenagem Superficial</t>
        </is>
      </c>
      <c r="K469" t="inlineStr">
        <is>
          <t xml:space="preserve">6.10 </t>
        </is>
      </c>
      <c r="L469" t="inlineStr">
        <is>
          <t>SZA</t>
        </is>
      </c>
      <c r="M469" t="inlineStr">
        <is>
          <t>Obstrução do dispositivo</t>
        </is>
      </c>
      <c r="N469" t="inlineStr">
        <is>
          <t>Drenagem Obstruída Por Acúmulo De Material, Lado Direito</t>
        </is>
      </c>
      <c r="O469" t="inlineStr">
        <is>
          <t>Tipo A</t>
        </is>
      </c>
      <c r="P469" t="inlineStr">
        <is>
          <t>49+700</t>
        </is>
      </c>
      <c r="Q469" t="inlineStr">
        <is>
          <t>49+700</t>
        </is>
      </c>
      <c r="R469" t="inlineStr">
        <is>
          <t>Aberta</t>
        </is>
      </c>
      <c r="T469" t="inlineStr">
        <is>
          <t>Aline Batista</t>
        </is>
      </c>
      <c r="U469" t="inlineStr">
        <is>
          <t>24/04/2026</t>
        </is>
      </c>
      <c r="V469" t="inlineStr">
        <is>
          <t>01/05/2026</t>
        </is>
      </c>
      <c r="W469">
        <v>40</v>
      </c>
      <c r="AA469" t="inlineStr">
        <is>
          <t>Aberta 30-60 dias</t>
        </is>
      </c>
    </row>
    <row r="470">
      <c r="A470">
        <v>468</v>
      </c>
      <c r="B470">
        <v>2</v>
      </c>
      <c r="C470" t="inlineStr">
        <is>
          <t>1.5</t>
        </is>
      </c>
      <c r="D470" t="inlineStr">
        <is>
          <t>C04</t>
        </is>
      </c>
      <c r="E470" t="inlineStr">
        <is>
          <t>LD/LE</t>
        </is>
      </c>
      <c r="F470" t="inlineStr">
        <is>
          <t>ATERPA</t>
        </is>
      </c>
      <c r="G470" t="inlineStr">
        <is>
          <t>CLP-011</t>
        </is>
      </c>
      <c r="H470" t="inlineStr">
        <is>
          <t>Protocolo</t>
        </is>
      </c>
      <c r="I470">
        <v>6</v>
      </c>
      <c r="J470" t="inlineStr">
        <is>
          <t>Drenagem Superficial</t>
        </is>
      </c>
      <c r="K470" t="inlineStr">
        <is>
          <t xml:space="preserve">6.10 </t>
        </is>
      </c>
      <c r="L470" t="inlineStr">
        <is>
          <t>SZA</t>
        </is>
      </c>
      <c r="M470" t="inlineStr">
        <is>
          <t>Obstrução do dispositivo</t>
        </is>
      </c>
      <c r="N470" t="inlineStr">
        <is>
          <t>Drenagem Obstruída Por Acúmulo De Material, Lado Esquerdo</t>
        </is>
      </c>
      <c r="O470" t="inlineStr">
        <is>
          <t>Tipo A</t>
        </is>
      </c>
      <c r="P470" t="inlineStr">
        <is>
          <t>49+700</t>
        </is>
      </c>
      <c r="Q470" t="inlineStr">
        <is>
          <t>49+700</t>
        </is>
      </c>
      <c r="R470" t="inlineStr">
        <is>
          <t>Aberta</t>
        </is>
      </c>
      <c r="T470" t="inlineStr">
        <is>
          <t>Aline Batista</t>
        </is>
      </c>
      <c r="U470" t="inlineStr">
        <is>
          <t>24/04/2026</t>
        </is>
      </c>
      <c r="V470" t="inlineStr">
        <is>
          <t>01/05/2026</t>
        </is>
      </c>
      <c r="W470">
        <v>40</v>
      </c>
      <c r="AA470" t="inlineStr">
        <is>
          <t>Aberta 30-60 dias</t>
        </is>
      </c>
    </row>
    <row r="471">
      <c r="A471">
        <v>469</v>
      </c>
      <c r="B471">
        <v>2</v>
      </c>
      <c r="C471" t="inlineStr">
        <is>
          <t>1.5</t>
        </is>
      </c>
      <c r="D471" t="inlineStr">
        <is>
          <t>A06</t>
        </is>
      </c>
      <c r="E471" t="inlineStr">
        <is>
          <t>LD/LE</t>
        </is>
      </c>
      <c r="F471" t="inlineStr">
        <is>
          <t>ATERPA</t>
        </is>
      </c>
      <c r="G471" t="inlineStr">
        <is>
          <t>CLP-011</t>
        </is>
      </c>
      <c r="H471" t="inlineStr">
        <is>
          <t>Protocolo</t>
        </is>
      </c>
      <c r="I471">
        <v>6</v>
      </c>
      <c r="J471" t="inlineStr">
        <is>
          <t>Drenagem Superficial</t>
        </is>
      </c>
      <c r="K471" t="inlineStr">
        <is>
          <t xml:space="preserve">6.10 </t>
        </is>
      </c>
      <c r="L471" t="inlineStr">
        <is>
          <t>SZA</t>
        </is>
      </c>
      <c r="M471" t="inlineStr">
        <is>
          <t>Obstrução do dispositivo</t>
        </is>
      </c>
      <c r="N471" t="inlineStr">
        <is>
          <t>Drenagem Obstruída Por Acúmulo De Material, Lado Esquerdo</t>
        </is>
      </c>
      <c r="O471" t="inlineStr">
        <is>
          <t>Tipo A</t>
        </is>
      </c>
      <c r="P471" t="inlineStr">
        <is>
          <t>50+080</t>
        </is>
      </c>
      <c r="Q471" t="inlineStr">
        <is>
          <t>50+080</t>
        </is>
      </c>
      <c r="R471" t="inlineStr">
        <is>
          <t>Aberta</t>
        </is>
      </c>
      <c r="T471" t="inlineStr">
        <is>
          <t>Aline Batista</t>
        </is>
      </c>
      <c r="U471" t="inlineStr">
        <is>
          <t>24/04/2026</t>
        </is>
      </c>
      <c r="V471" t="inlineStr">
        <is>
          <t>01/05/2026</t>
        </is>
      </c>
      <c r="W471">
        <v>40</v>
      </c>
      <c r="AA471" t="inlineStr">
        <is>
          <t>Aberta 30-60 dias</t>
        </is>
      </c>
    </row>
    <row r="472">
      <c r="A472">
        <v>470</v>
      </c>
      <c r="B472">
        <v>2</v>
      </c>
      <c r="C472" t="inlineStr">
        <is>
          <t>1.5</t>
        </is>
      </c>
      <c r="D472" t="inlineStr">
        <is>
          <t>A06</t>
        </is>
      </c>
      <c r="E472" t="inlineStr">
        <is>
          <t>LD/LE</t>
        </is>
      </c>
      <c r="F472" t="inlineStr">
        <is>
          <t>ATERPA</t>
        </is>
      </c>
      <c r="G472" t="inlineStr">
        <is>
          <t>CLP-011</t>
        </is>
      </c>
      <c r="H472" t="inlineStr">
        <is>
          <t>Protocolo</t>
        </is>
      </c>
      <c r="I472">
        <v>6</v>
      </c>
      <c r="J472" t="inlineStr">
        <is>
          <t>Drenagem Superficial</t>
        </is>
      </c>
      <c r="K472" t="inlineStr">
        <is>
          <t xml:space="preserve">6.10 </t>
        </is>
      </c>
      <c r="L472" t="inlineStr">
        <is>
          <t>SZA</t>
        </is>
      </c>
      <c r="M472" t="inlineStr">
        <is>
          <t>Obstrução do dispositivo</t>
        </is>
      </c>
      <c r="N472" t="inlineStr">
        <is>
          <t>Drenagem Obstruída Por Acúmulo De Material, Lado Direito</t>
        </is>
      </c>
      <c r="O472" t="inlineStr">
        <is>
          <t>Tipo A</t>
        </is>
      </c>
      <c r="P472" t="inlineStr">
        <is>
          <t>50+080</t>
        </is>
      </c>
      <c r="Q472" t="inlineStr">
        <is>
          <t>50+080</t>
        </is>
      </c>
      <c r="R472" t="inlineStr">
        <is>
          <t>Aberta</t>
        </is>
      </c>
      <c r="T472" t="inlineStr">
        <is>
          <t>Aline Batista</t>
        </is>
      </c>
      <c r="U472" t="inlineStr">
        <is>
          <t>24/04/2026</t>
        </is>
      </c>
      <c r="V472" t="inlineStr">
        <is>
          <t>01/05/2026</t>
        </is>
      </c>
      <c r="W472">
        <v>40</v>
      </c>
      <c r="AA472" t="inlineStr">
        <is>
          <t>Aberta 30-60 dias</t>
        </is>
      </c>
    </row>
    <row r="473">
      <c r="A473">
        <v>471</v>
      </c>
      <c r="B473">
        <v>2</v>
      </c>
      <c r="C473" t="inlineStr">
        <is>
          <t>1.5</t>
        </is>
      </c>
      <c r="D473" t="inlineStr">
        <is>
          <t>C12</t>
        </is>
      </c>
      <c r="E473" t="inlineStr">
        <is>
          <t>LD/LE</t>
        </is>
      </c>
      <c r="F473" t="inlineStr">
        <is>
          <t>ATERPA</t>
        </is>
      </c>
      <c r="G473" t="inlineStr">
        <is>
          <t>CLP-011</t>
        </is>
      </c>
      <c r="H473" t="inlineStr">
        <is>
          <t>Protocolo</t>
        </is>
      </c>
      <c r="I473">
        <v>6</v>
      </c>
      <c r="J473" t="inlineStr">
        <is>
          <t>Drenagem Superficial</t>
        </is>
      </c>
      <c r="K473" t="inlineStr">
        <is>
          <t xml:space="preserve">6.10 </t>
        </is>
      </c>
      <c r="L473" t="inlineStr">
        <is>
          <t>SZA</t>
        </is>
      </c>
      <c r="M473" t="inlineStr">
        <is>
          <t>Obstrução do dispositivo</t>
        </is>
      </c>
      <c r="N473" t="inlineStr">
        <is>
          <t>Drenagem Obstruída Por Acúmulo De Material</t>
        </is>
      </c>
      <c r="O473" t="inlineStr">
        <is>
          <t>Tipo A</t>
        </is>
      </c>
      <c r="P473" t="inlineStr">
        <is>
          <t>53+560</t>
        </is>
      </c>
      <c r="Q473" t="inlineStr">
        <is>
          <t>53+560</t>
        </is>
      </c>
      <c r="R473" t="inlineStr">
        <is>
          <t>Aberta</t>
        </is>
      </c>
      <c r="T473" t="inlineStr">
        <is>
          <t>Aline Batista</t>
        </is>
      </c>
      <c r="U473" t="inlineStr">
        <is>
          <t>24/04/2026</t>
        </is>
      </c>
      <c r="V473" t="inlineStr">
        <is>
          <t>01/05/2026</t>
        </is>
      </c>
      <c r="W473">
        <v>40</v>
      </c>
      <c r="AA473" t="inlineStr">
        <is>
          <t>Aberta 30-60 dias</t>
        </is>
      </c>
    </row>
    <row r="474">
      <c r="A474">
        <v>472</v>
      </c>
      <c r="B474">
        <v>2</v>
      </c>
      <c r="C474" t="inlineStr">
        <is>
          <t>1.5</t>
        </is>
      </c>
      <c r="D474" t="inlineStr">
        <is>
          <t>C12</t>
        </is>
      </c>
      <c r="E474" t="inlineStr">
        <is>
          <t>LD/LE</t>
        </is>
      </c>
      <c r="F474" t="inlineStr">
        <is>
          <t>ATERPA</t>
        </is>
      </c>
      <c r="G474" t="inlineStr">
        <is>
          <t>CLP-011</t>
        </is>
      </c>
      <c r="H474" t="inlineStr">
        <is>
          <t>Protocolo</t>
        </is>
      </c>
      <c r="I474">
        <v>6</v>
      </c>
      <c r="J474" t="inlineStr">
        <is>
          <t>Drenagem Superficial</t>
        </is>
      </c>
      <c r="K474" t="inlineStr">
        <is>
          <t xml:space="preserve">6.10 </t>
        </is>
      </c>
      <c r="L474" t="inlineStr">
        <is>
          <t>SZA</t>
        </is>
      </c>
      <c r="M474" t="inlineStr">
        <is>
          <t>Obstrução do dispositivo</t>
        </is>
      </c>
      <c r="N474" t="inlineStr">
        <is>
          <t>Drenagem Obstruída Por Acúmulo De Material, Lado Esquerdo</t>
        </is>
      </c>
      <c r="O474" t="inlineStr">
        <is>
          <t>Tipo A</t>
        </is>
      </c>
      <c r="P474" t="inlineStr">
        <is>
          <t>53+840</t>
        </is>
      </c>
      <c r="Q474" t="inlineStr">
        <is>
          <t>53+840</t>
        </is>
      </c>
      <c r="R474" t="inlineStr">
        <is>
          <t>Aberta</t>
        </is>
      </c>
      <c r="T474" t="inlineStr">
        <is>
          <t>Aline Batista</t>
        </is>
      </c>
      <c r="U474" t="inlineStr">
        <is>
          <t>24/04/2026</t>
        </is>
      </c>
      <c r="V474" t="inlineStr">
        <is>
          <t>01/05/2026</t>
        </is>
      </c>
      <c r="W474">
        <v>40</v>
      </c>
      <c r="AA474" t="inlineStr">
        <is>
          <t>Aberta 30-60 dias</t>
        </is>
      </c>
    </row>
    <row r="475">
      <c r="A475">
        <v>473</v>
      </c>
      <c r="B475">
        <v>2</v>
      </c>
      <c r="C475" t="inlineStr">
        <is>
          <t>1.5</t>
        </is>
      </c>
      <c r="D475" t="inlineStr">
        <is>
          <t>C12</t>
        </is>
      </c>
      <c r="E475" t="inlineStr">
        <is>
          <t>LD/LE</t>
        </is>
      </c>
      <c r="F475" t="inlineStr">
        <is>
          <t>ATERPA</t>
        </is>
      </c>
      <c r="G475" t="inlineStr">
        <is>
          <t>CLP-011</t>
        </is>
      </c>
      <c r="H475" t="inlineStr">
        <is>
          <t>Protocolo</t>
        </is>
      </c>
      <c r="I475">
        <v>6</v>
      </c>
      <c r="J475" t="inlineStr">
        <is>
          <t>Drenagem Superficial</t>
        </is>
      </c>
      <c r="K475" t="inlineStr">
        <is>
          <t xml:space="preserve">6.10 </t>
        </is>
      </c>
      <c r="L475" t="inlineStr">
        <is>
          <t>SZA</t>
        </is>
      </c>
      <c r="M475" t="inlineStr">
        <is>
          <t>Obstrução do dispositivo</t>
        </is>
      </c>
      <c r="N475" t="inlineStr">
        <is>
          <t>Drenagem Obstruída Por Acúmulo De Material, Lado Direito</t>
        </is>
      </c>
      <c r="O475" t="inlineStr">
        <is>
          <t>Tipo A</t>
        </is>
      </c>
      <c r="P475" t="inlineStr">
        <is>
          <t>53+840</t>
        </is>
      </c>
      <c r="Q475" t="inlineStr">
        <is>
          <t>53+840</t>
        </is>
      </c>
      <c r="R475" t="inlineStr">
        <is>
          <t>Aberta</t>
        </is>
      </c>
      <c r="T475" t="inlineStr">
        <is>
          <t>Aline Batista</t>
        </is>
      </c>
      <c r="U475" t="inlineStr">
        <is>
          <t>24/04/2026</t>
        </is>
      </c>
      <c r="V475" t="inlineStr">
        <is>
          <t>01/05/2026</t>
        </is>
      </c>
      <c r="W475">
        <v>40</v>
      </c>
      <c r="AA475" t="inlineStr">
        <is>
          <t>Aberta 30-60 dias</t>
        </is>
      </c>
    </row>
    <row r="476">
      <c r="A476">
        <v>474</v>
      </c>
      <c r="B476">
        <v>2</v>
      </c>
      <c r="C476" t="inlineStr">
        <is>
          <t>1.5</t>
        </is>
      </c>
      <c r="D476" t="inlineStr">
        <is>
          <t>C12</t>
        </is>
      </c>
      <c r="E476" t="inlineStr">
        <is>
          <t>LD/LE</t>
        </is>
      </c>
      <c r="F476" t="inlineStr">
        <is>
          <t>ATERPA</t>
        </is>
      </c>
      <c r="G476" t="inlineStr">
        <is>
          <t>CLP-011</t>
        </is>
      </c>
      <c r="H476" t="inlineStr">
        <is>
          <t>Protocolo</t>
        </is>
      </c>
      <c r="I476">
        <v>6</v>
      </c>
      <c r="J476" t="inlineStr">
        <is>
          <t>Drenagem Superficial</t>
        </is>
      </c>
      <c r="K476" t="inlineStr">
        <is>
          <t xml:space="preserve">6.10 </t>
        </is>
      </c>
      <c r="L476" t="inlineStr">
        <is>
          <t>SZA</t>
        </is>
      </c>
      <c r="M476" t="inlineStr">
        <is>
          <t>Obstrução do dispositivo</t>
        </is>
      </c>
      <c r="N476" t="inlineStr">
        <is>
          <t>Drenagem Obstruída Por Acúmulo De Material, Lado Direito</t>
        </is>
      </c>
      <c r="O476" t="inlineStr">
        <is>
          <t>Tipo A</t>
        </is>
      </c>
      <c r="P476" t="inlineStr">
        <is>
          <t>54+260</t>
        </is>
      </c>
      <c r="Q476" t="inlineStr">
        <is>
          <t>54+260</t>
        </is>
      </c>
      <c r="R476" t="inlineStr">
        <is>
          <t>Aberta</t>
        </is>
      </c>
      <c r="T476" t="inlineStr">
        <is>
          <t>Aline Batista</t>
        </is>
      </c>
      <c r="U476" t="inlineStr">
        <is>
          <t>24/04/2026</t>
        </is>
      </c>
      <c r="V476" t="inlineStr">
        <is>
          <t>01/05/2026</t>
        </is>
      </c>
      <c r="W476">
        <v>40</v>
      </c>
      <c r="AA476" t="inlineStr">
        <is>
          <t>Aberta 30-60 dias</t>
        </is>
      </c>
    </row>
    <row r="477">
      <c r="A477">
        <v>475</v>
      </c>
      <c r="B477">
        <v>2</v>
      </c>
      <c r="C477" t="inlineStr">
        <is>
          <t>1.5</t>
        </is>
      </c>
      <c r="D477" t="inlineStr">
        <is>
          <t>C12</t>
        </is>
      </c>
      <c r="E477" t="inlineStr">
        <is>
          <t>LD/LE</t>
        </is>
      </c>
      <c r="F477" t="inlineStr">
        <is>
          <t>ATERPA</t>
        </is>
      </c>
      <c r="G477" t="inlineStr">
        <is>
          <t>CLP-011</t>
        </is>
      </c>
      <c r="H477" t="inlineStr">
        <is>
          <t>Protocolo</t>
        </is>
      </c>
      <c r="I477">
        <v>6</v>
      </c>
      <c r="J477" t="inlineStr">
        <is>
          <t>Drenagem Superficial</t>
        </is>
      </c>
      <c r="K477" t="inlineStr">
        <is>
          <t xml:space="preserve">6.10 </t>
        </is>
      </c>
      <c r="L477" t="inlineStr">
        <is>
          <t>SZA</t>
        </is>
      </c>
      <c r="M477" t="inlineStr">
        <is>
          <t>Obstrução do dispositivo</t>
        </is>
      </c>
      <c r="N477" t="inlineStr">
        <is>
          <t>Drenagem Obstruída Por Acúmulo De Material, Lado Esquerdo</t>
        </is>
      </c>
      <c r="O477" t="inlineStr">
        <is>
          <t>Tipo A</t>
        </is>
      </c>
      <c r="P477" t="inlineStr">
        <is>
          <t>54+260</t>
        </is>
      </c>
      <c r="Q477" t="inlineStr">
        <is>
          <t>54+260</t>
        </is>
      </c>
      <c r="R477" t="inlineStr">
        <is>
          <t>Aberta</t>
        </is>
      </c>
      <c r="T477" t="inlineStr">
        <is>
          <t>Aline Batista</t>
        </is>
      </c>
      <c r="U477" t="inlineStr">
        <is>
          <t>24/04/2026</t>
        </is>
      </c>
      <c r="V477" t="inlineStr">
        <is>
          <t>01/05/2026</t>
        </is>
      </c>
      <c r="W477">
        <v>40</v>
      </c>
      <c r="AA477" t="inlineStr">
        <is>
          <t>Aberta 30-60 dias</t>
        </is>
      </c>
    </row>
    <row r="478">
      <c r="A478">
        <v>476</v>
      </c>
      <c r="B478">
        <v>2</v>
      </c>
      <c r="C478" t="inlineStr">
        <is>
          <t>1.5</t>
        </is>
      </c>
      <c r="D478" t="inlineStr">
        <is>
          <t>A12</t>
        </is>
      </c>
      <c r="E478" t="inlineStr">
        <is>
          <t>LD/LE</t>
        </is>
      </c>
      <c r="F478" t="inlineStr">
        <is>
          <t>ATERPA</t>
        </is>
      </c>
      <c r="G478" t="inlineStr">
        <is>
          <t>CLP-011</t>
        </is>
      </c>
      <c r="H478" t="inlineStr">
        <is>
          <t>Protocolo</t>
        </is>
      </c>
      <c r="I478">
        <v>6</v>
      </c>
      <c r="J478" t="inlineStr">
        <is>
          <t>Drenagem Superficial</t>
        </is>
      </c>
      <c r="K478" t="inlineStr">
        <is>
          <t xml:space="preserve">6.10 </t>
        </is>
      </c>
      <c r="L478" t="inlineStr">
        <is>
          <t>SZA</t>
        </is>
      </c>
      <c r="M478" t="inlineStr">
        <is>
          <t>Obstrução do dispositivo</t>
        </is>
      </c>
      <c r="N478" t="inlineStr">
        <is>
          <t>Dispositivo De Drenagem Obstruído Por Acúmulo De Material. Adicionalmente, Observa-Se A Deposição Inadequada Do Material Proveniente Da Limpeza Dos Dispositivos Nas Suas Adjacências, Contribuindo Para A Recorrência De Obstruções.</t>
        </is>
      </c>
      <c r="O478" t="inlineStr">
        <is>
          <t>Tipo A</t>
        </is>
      </c>
      <c r="P478" t="inlineStr">
        <is>
          <t>54+560</t>
        </is>
      </c>
      <c r="Q478" t="inlineStr">
        <is>
          <t>54+560</t>
        </is>
      </c>
      <c r="R478" t="inlineStr">
        <is>
          <t>Aberta</t>
        </is>
      </c>
      <c r="T478" t="inlineStr">
        <is>
          <t>Aline Batista</t>
        </is>
      </c>
      <c r="U478" t="inlineStr">
        <is>
          <t>24/04/2026</t>
        </is>
      </c>
      <c r="V478" t="inlineStr">
        <is>
          <t>01/05/2026</t>
        </is>
      </c>
      <c r="W478">
        <v>40</v>
      </c>
      <c r="AA478" t="inlineStr">
        <is>
          <t>Aberta 30-60 dias</t>
        </is>
      </c>
    </row>
    <row r="479">
      <c r="A479">
        <v>477</v>
      </c>
      <c r="B479">
        <v>2</v>
      </c>
      <c r="C479" t="inlineStr">
        <is>
          <t>1.5</t>
        </is>
      </c>
      <c r="D479" t="inlineStr">
        <is>
          <t>A12</t>
        </is>
      </c>
      <c r="E479" t="inlineStr">
        <is>
          <t>LD/LE</t>
        </is>
      </c>
      <c r="F479" t="inlineStr">
        <is>
          <t>ATERPA</t>
        </is>
      </c>
      <c r="G479" t="inlineStr">
        <is>
          <t>CLP-011</t>
        </is>
      </c>
      <c r="H479" t="inlineStr">
        <is>
          <t>Protocolo</t>
        </is>
      </c>
      <c r="I479">
        <v>6</v>
      </c>
      <c r="J479" t="inlineStr">
        <is>
          <t>Drenagem Superficial</t>
        </is>
      </c>
      <c r="K479" t="inlineStr">
        <is>
          <t xml:space="preserve">6.10 </t>
        </is>
      </c>
      <c r="L479" t="inlineStr">
        <is>
          <t>SZA</t>
        </is>
      </c>
      <c r="M479" t="inlineStr">
        <is>
          <t>Obstrução do dispositivo</t>
        </is>
      </c>
      <c r="N479" t="inlineStr">
        <is>
          <t>Dispositivo De Drenagem Obstruído Por Acúmulo De Material. Adicionalmente, Observa-Se A Deposição Inadequada Do Material Proveniente Da Limpeza Dos Dispositivos Nas Suas Adjacências, Contribuindo Para A Recorrência De Obstruções.</t>
        </is>
      </c>
      <c r="O479" t="inlineStr">
        <is>
          <t>Tipo A</t>
        </is>
      </c>
      <c r="P479" t="inlineStr">
        <is>
          <t>54+560</t>
        </is>
      </c>
      <c r="Q479" t="inlineStr">
        <is>
          <t>54+560</t>
        </is>
      </c>
      <c r="R479" t="inlineStr">
        <is>
          <t>Aberta</t>
        </is>
      </c>
      <c r="T479" t="inlineStr">
        <is>
          <t>Aline Batista</t>
        </is>
      </c>
      <c r="U479" t="inlineStr">
        <is>
          <t>24/04/2026</t>
        </is>
      </c>
      <c r="V479" t="inlineStr">
        <is>
          <t>01/05/2026</t>
        </is>
      </c>
      <c r="W479">
        <v>40</v>
      </c>
      <c r="AA479" t="inlineStr">
        <is>
          <t>Aberta 30-60 dias</t>
        </is>
      </c>
    </row>
    <row r="480">
      <c r="A480">
        <v>478</v>
      </c>
      <c r="B480">
        <v>2</v>
      </c>
      <c r="C480" t="inlineStr">
        <is>
          <t>1.5</t>
        </is>
      </c>
      <c r="D480" t="inlineStr">
        <is>
          <t>C01</t>
        </is>
      </c>
      <c r="E480" t="inlineStr">
        <is>
          <t>LE</t>
        </is>
      </c>
      <c r="F480" t="inlineStr">
        <is>
          <t>ATERPA</t>
        </is>
      </c>
      <c r="G480" t="inlineStr">
        <is>
          <t>CLP-011</t>
        </is>
      </c>
      <c r="H480" t="inlineStr">
        <is>
          <t>Protocolo</t>
        </is>
      </c>
      <c r="I480">
        <v>6</v>
      </c>
      <c r="J480" t="inlineStr">
        <is>
          <t>Drenagem Superficial</t>
        </is>
      </c>
      <c r="K480" t="inlineStr">
        <is>
          <t>6.1</t>
        </is>
      </c>
      <c r="L480" t="inlineStr">
        <is>
          <t>CZB 03</t>
        </is>
      </c>
      <c r="M480" t="inlineStr">
        <is>
          <t>Dispositivo não executado</t>
        </is>
      </c>
      <c r="N480" t="inlineStr">
        <is>
          <t>Canaleta de banqueta não executada.</t>
        </is>
      </c>
      <c r="O480" t="inlineStr">
        <is>
          <t>Tipo A</t>
        </is>
      </c>
      <c r="P480" t="inlineStr">
        <is>
          <t>47+341</t>
        </is>
      </c>
      <c r="Q480" t="inlineStr">
        <is>
          <t>47+478</t>
        </is>
      </c>
      <c r="R480" t="inlineStr">
        <is>
          <t>Aberta</t>
        </is>
      </c>
      <c r="T480" t="inlineStr">
        <is>
          <t>Aline Batista</t>
        </is>
      </c>
      <c r="U480" t="inlineStr">
        <is>
          <t>24/04/2026</t>
        </is>
      </c>
      <c r="V480" t="inlineStr">
        <is>
          <t>01/05/2026</t>
        </is>
      </c>
      <c r="W480">
        <v>40</v>
      </c>
      <c r="AA480" t="inlineStr">
        <is>
          <t>Aberta 30-60 dias</t>
        </is>
      </c>
    </row>
    <row r="481">
      <c r="A481">
        <v>479</v>
      </c>
      <c r="B481">
        <v>2</v>
      </c>
      <c r="C481" t="inlineStr">
        <is>
          <t>1.5</t>
        </is>
      </c>
      <c r="D481" t="inlineStr">
        <is>
          <t>A02</t>
        </is>
      </c>
      <c r="E481" t="inlineStr">
        <is>
          <t>LE</t>
        </is>
      </c>
      <c r="F481" t="inlineStr">
        <is>
          <t>ATERPA</t>
        </is>
      </c>
      <c r="G481" t="inlineStr">
        <is>
          <t>CLP-011</t>
        </is>
      </c>
      <c r="H481" t="inlineStr">
        <is>
          <t>Protocolo</t>
        </is>
      </c>
      <c r="I481">
        <v>6</v>
      </c>
      <c r="J481" t="inlineStr">
        <is>
          <t>Drenagem Superficial</t>
        </is>
      </c>
      <c r="K481" t="inlineStr">
        <is>
          <t>6.1</t>
        </is>
      </c>
      <c r="L481" t="inlineStr">
        <is>
          <t>CZB 01</t>
        </is>
      </c>
      <c r="M481" t="inlineStr">
        <is>
          <t>Dispositivo não executado</t>
        </is>
      </c>
      <c r="N481" t="inlineStr">
        <is>
          <t>Canaleta de banqueta não executada.</t>
        </is>
      </c>
      <c r="O481" t="inlineStr">
        <is>
          <t>Tipo A</t>
        </is>
      </c>
      <c r="P481" t="inlineStr">
        <is>
          <t xml:space="preserve"> 47+280</t>
        </is>
      </c>
      <c r="Q481" t="inlineStr">
        <is>
          <t>47+450</t>
        </is>
      </c>
      <c r="R481" t="inlineStr">
        <is>
          <t>Aberta</t>
        </is>
      </c>
      <c r="T481" t="inlineStr">
        <is>
          <t>Aline Batista</t>
        </is>
      </c>
      <c r="U481" t="inlineStr">
        <is>
          <t>24/04/2026</t>
        </is>
      </c>
      <c r="V481" t="inlineStr">
        <is>
          <t>01/05/2026</t>
        </is>
      </c>
      <c r="W481">
        <v>40</v>
      </c>
      <c r="AA481" t="inlineStr">
        <is>
          <t>Aberta 30-60 dias</t>
        </is>
      </c>
    </row>
    <row r="482">
      <c r="A482">
        <v>480</v>
      </c>
      <c r="B482">
        <v>2</v>
      </c>
      <c r="C482" t="inlineStr">
        <is>
          <t>1.5</t>
        </is>
      </c>
      <c r="D482" t="inlineStr">
        <is>
          <t>C01</t>
        </is>
      </c>
      <c r="E482" t="inlineStr">
        <is>
          <t>LE</t>
        </is>
      </c>
      <c r="F482" t="inlineStr">
        <is>
          <t>ATERPA</t>
        </is>
      </c>
      <c r="G482" t="inlineStr">
        <is>
          <t>CLP-011</t>
        </is>
      </c>
      <c r="H482" t="inlineStr">
        <is>
          <t>Protocolo</t>
        </is>
      </c>
      <c r="I482">
        <v>6</v>
      </c>
      <c r="J482" t="inlineStr">
        <is>
          <t>Drenagem Superficial</t>
        </is>
      </c>
      <c r="K482" t="inlineStr">
        <is>
          <t>6.1</t>
        </is>
      </c>
      <c r="L482" t="inlineStr">
        <is>
          <t>CZB 01</t>
        </is>
      </c>
      <c r="M482" t="inlineStr">
        <is>
          <t>Dispositivo não executado</t>
        </is>
      </c>
      <c r="N482" t="inlineStr">
        <is>
          <t>Canaleta de banqueta não executada.</t>
        </is>
      </c>
      <c r="O482" t="inlineStr">
        <is>
          <t>Tipo A</t>
        </is>
      </c>
      <c r="P482" t="inlineStr">
        <is>
          <t>47+395</t>
        </is>
      </c>
      <c r="Q482" t="inlineStr">
        <is>
          <t>47+450</t>
        </is>
      </c>
      <c r="R482" t="inlineStr">
        <is>
          <t>Aberta</t>
        </is>
      </c>
      <c r="T482" t="inlineStr">
        <is>
          <t>Aline Batista</t>
        </is>
      </c>
      <c r="U482" t="inlineStr">
        <is>
          <t>24/04/2026</t>
        </is>
      </c>
      <c r="V482" t="inlineStr">
        <is>
          <t>01/05/2026</t>
        </is>
      </c>
      <c r="W482">
        <v>40</v>
      </c>
      <c r="AA482" t="inlineStr">
        <is>
          <t>Aberta 30-60 dias</t>
        </is>
      </c>
    </row>
    <row r="483">
      <c r="A483">
        <v>481</v>
      </c>
      <c r="B483">
        <v>2</v>
      </c>
      <c r="C483" t="inlineStr">
        <is>
          <t>1.5</t>
        </is>
      </c>
      <c r="D483" t="inlineStr">
        <is>
          <t>C02</t>
        </is>
      </c>
      <c r="E483" t="inlineStr">
        <is>
          <t>LE</t>
        </is>
      </c>
      <c r="F483" t="inlineStr">
        <is>
          <t>ATERPA</t>
        </is>
      </c>
      <c r="G483" t="inlineStr">
        <is>
          <t>CLP-011</t>
        </is>
      </c>
      <c r="H483" t="inlineStr">
        <is>
          <t>Protocolo</t>
        </is>
      </c>
      <c r="I483">
        <v>6</v>
      </c>
      <c r="J483" t="inlineStr">
        <is>
          <t>Drenagem Superficial</t>
        </is>
      </c>
      <c r="K483" t="inlineStr">
        <is>
          <t>6.1</t>
        </is>
      </c>
      <c r="L483" t="inlineStr">
        <is>
          <t>CTB 01</t>
        </is>
      </c>
      <c r="M483" t="inlineStr">
        <is>
          <t>Dispositivo não executado</t>
        </is>
      </c>
      <c r="N483" t="inlineStr">
        <is>
          <t>Canaleta de banqueta triangular não executada.</t>
        </is>
      </c>
      <c r="O483" t="inlineStr">
        <is>
          <t>Tipo A</t>
        </is>
      </c>
      <c r="P483" t="inlineStr">
        <is>
          <t>47+860</t>
        </is>
      </c>
      <c r="Q483" t="inlineStr">
        <is>
          <t xml:space="preserve"> 48+005</t>
        </is>
      </c>
      <c r="R483" t="inlineStr">
        <is>
          <t>Aberta</t>
        </is>
      </c>
      <c r="T483" t="inlineStr">
        <is>
          <t>Aline Batista</t>
        </is>
      </c>
      <c r="U483" t="inlineStr">
        <is>
          <t>24/04/2026</t>
        </is>
      </c>
      <c r="V483" t="inlineStr">
        <is>
          <t>01/05/2026</t>
        </is>
      </c>
      <c r="W483">
        <v>40</v>
      </c>
      <c r="AA483" t="inlineStr">
        <is>
          <t>Aberta 30-60 dias</t>
        </is>
      </c>
    </row>
    <row r="484">
      <c r="A484">
        <v>482</v>
      </c>
      <c r="B484">
        <v>2</v>
      </c>
      <c r="C484" t="inlineStr">
        <is>
          <t>1.5</t>
        </is>
      </c>
      <c r="D484" t="inlineStr">
        <is>
          <t>C02</t>
        </is>
      </c>
      <c r="E484" t="inlineStr">
        <is>
          <t>LD</t>
        </is>
      </c>
      <c r="F484" t="inlineStr">
        <is>
          <t>ATERPA</t>
        </is>
      </c>
      <c r="G484" t="inlineStr">
        <is>
          <t>CLP-011</t>
        </is>
      </c>
      <c r="H484" t="inlineStr">
        <is>
          <t>Protocolo</t>
        </is>
      </c>
      <c r="I484">
        <v>6</v>
      </c>
      <c r="J484" t="inlineStr">
        <is>
          <t>Drenagem Superficial</t>
        </is>
      </c>
      <c r="K484" t="inlineStr">
        <is>
          <t>6.1</t>
        </is>
      </c>
      <c r="L484" t="inlineStr">
        <is>
          <t>CTB 01</t>
        </is>
      </c>
      <c r="M484" t="inlineStr">
        <is>
          <t>Dispositivo não executado</t>
        </is>
      </c>
      <c r="N484" t="inlineStr">
        <is>
          <t>Canaleta de banqueta triangular não executada.</t>
        </is>
      </c>
      <c r="O484" t="inlineStr">
        <is>
          <t>Tipo A</t>
        </is>
      </c>
      <c r="P484" t="inlineStr">
        <is>
          <t>47+913</t>
        </is>
      </c>
      <c r="Q484" t="inlineStr">
        <is>
          <t xml:space="preserve"> 48+010</t>
        </is>
      </c>
      <c r="R484" t="inlineStr">
        <is>
          <t>Aberta</t>
        </is>
      </c>
      <c r="T484" t="inlineStr">
        <is>
          <t>Aline Batista</t>
        </is>
      </c>
      <c r="U484" t="inlineStr">
        <is>
          <t>24/04/2026</t>
        </is>
      </c>
      <c r="V484" t="inlineStr">
        <is>
          <t>01/05/2026</t>
        </is>
      </c>
      <c r="W484">
        <v>40</v>
      </c>
      <c r="AA484" t="inlineStr">
        <is>
          <t>Aberta 30-60 dias</t>
        </is>
      </c>
    </row>
    <row r="485">
      <c r="A485">
        <v>483</v>
      </c>
      <c r="B485">
        <v>2</v>
      </c>
      <c r="C485" t="inlineStr">
        <is>
          <t>1.5</t>
        </is>
      </c>
      <c r="D485" t="inlineStr">
        <is>
          <t>A08</t>
        </is>
      </c>
      <c r="E485" t="inlineStr">
        <is>
          <t>LD</t>
        </is>
      </c>
      <c r="F485" t="inlineStr">
        <is>
          <t>ATERPA</t>
        </is>
      </c>
      <c r="G485" t="inlineStr">
        <is>
          <t>CLP-011</t>
        </is>
      </c>
      <c r="H485" t="inlineStr">
        <is>
          <t>Protocolo</t>
        </is>
      </c>
      <c r="I485">
        <v>6</v>
      </c>
      <c r="J485" t="inlineStr">
        <is>
          <t>Drenagem Superficial</t>
        </is>
      </c>
      <c r="K485" t="inlineStr">
        <is>
          <t>6.1</t>
        </is>
      </c>
      <c r="L485" t="inlineStr">
        <is>
          <t>EDA 01</t>
        </is>
      </c>
      <c r="M485" t="inlineStr">
        <is>
          <t>Dispositivo não executado</t>
        </is>
      </c>
      <c r="N485" t="inlineStr">
        <is>
          <t>Entrada d'água não executada.</t>
        </is>
      </c>
      <c r="O485" t="inlineStr">
        <is>
          <t>Tipo A</t>
        </is>
      </c>
      <c r="P485" t="inlineStr">
        <is>
          <t xml:space="preserve">51+023 </t>
        </is>
      </c>
      <c r="Q485" t="inlineStr">
        <is>
          <t>51+023</t>
        </is>
      </c>
      <c r="R485" t="inlineStr">
        <is>
          <t>Aberta</t>
        </is>
      </c>
      <c r="T485" t="inlineStr">
        <is>
          <t>Aline Batista</t>
        </is>
      </c>
      <c r="U485" t="inlineStr">
        <is>
          <t>24/04/2026</t>
        </is>
      </c>
      <c r="V485" t="inlineStr">
        <is>
          <t>01/05/2026</t>
        </is>
      </c>
      <c r="W485">
        <v>40</v>
      </c>
      <c r="AA485" t="inlineStr">
        <is>
          <t>Aberta 30-60 dias</t>
        </is>
      </c>
    </row>
    <row r="486">
      <c r="A486">
        <v>484</v>
      </c>
      <c r="B486">
        <v>2</v>
      </c>
      <c r="C486" t="inlineStr">
        <is>
          <t>1.5</t>
        </is>
      </c>
      <c r="D486" t="inlineStr">
        <is>
          <t>A08</t>
        </is>
      </c>
      <c r="E486" t="inlineStr">
        <is>
          <t>LD</t>
        </is>
      </c>
      <c r="F486" t="inlineStr">
        <is>
          <t>ATERPA</t>
        </is>
      </c>
      <c r="G486" t="inlineStr">
        <is>
          <t>CLP-011</t>
        </is>
      </c>
      <c r="H486" t="inlineStr">
        <is>
          <t>Protocolo</t>
        </is>
      </c>
      <c r="I486">
        <v>6</v>
      </c>
      <c r="J486" t="inlineStr">
        <is>
          <t>Drenagem Superficial</t>
        </is>
      </c>
      <c r="K486" t="inlineStr">
        <is>
          <t>6.3</t>
        </is>
      </c>
      <c r="L486" t="inlineStr">
        <is>
          <t>DRA</t>
        </is>
      </c>
      <c r="M486" t="inlineStr">
        <is>
          <t>Dispositivo não executado</t>
        </is>
      </c>
      <c r="N486" t="inlineStr">
        <is>
          <t>Descida d'água não executada.</t>
        </is>
      </c>
      <c r="O486" t="inlineStr">
        <is>
          <t>Tipo A</t>
        </is>
      </c>
      <c r="P486" t="inlineStr">
        <is>
          <t>51+023</t>
        </is>
      </c>
      <c r="Q486" t="inlineStr">
        <is>
          <t>51+023</t>
        </is>
      </c>
      <c r="R486" t="inlineStr">
        <is>
          <t>Aberta</t>
        </is>
      </c>
      <c r="T486" t="inlineStr">
        <is>
          <t>Aline Batista</t>
        </is>
      </c>
      <c r="U486" t="inlineStr">
        <is>
          <t>24/04/2026</t>
        </is>
      </c>
      <c r="V486" t="inlineStr">
        <is>
          <t>01/05/2026</t>
        </is>
      </c>
      <c r="W486">
        <v>40</v>
      </c>
      <c r="AA486" t="inlineStr">
        <is>
          <t>Aberta 30-60 dias</t>
        </is>
      </c>
    </row>
    <row r="487">
      <c r="A487">
        <v>485</v>
      </c>
      <c r="B487">
        <v>2</v>
      </c>
      <c r="C487" t="inlineStr">
        <is>
          <t>1.5</t>
        </is>
      </c>
      <c r="D487" t="inlineStr">
        <is>
          <t>A08</t>
        </is>
      </c>
      <c r="E487" t="inlineStr">
        <is>
          <t>LD</t>
        </is>
      </c>
      <c r="F487" t="inlineStr">
        <is>
          <t>ATERPA</t>
        </is>
      </c>
      <c r="G487" t="inlineStr">
        <is>
          <t>CLP-011</t>
        </is>
      </c>
      <c r="H487" t="inlineStr">
        <is>
          <t>Protocolo</t>
        </is>
      </c>
      <c r="I487">
        <v>6</v>
      </c>
      <c r="J487" t="inlineStr">
        <is>
          <t>Drenagem Superficial</t>
        </is>
      </c>
      <c r="K487" t="inlineStr">
        <is>
          <t>6.5</t>
        </is>
      </c>
      <c r="L487" t="inlineStr">
        <is>
          <t>DEN 02</t>
        </is>
      </c>
      <c r="M487" t="inlineStr">
        <is>
          <t>Dispositivo não executado</t>
        </is>
      </c>
      <c r="N487" t="inlineStr">
        <is>
          <t>Dissipador de energia não executado.</t>
        </is>
      </c>
      <c r="O487" t="inlineStr">
        <is>
          <t>Tipo A</t>
        </is>
      </c>
      <c r="P487" t="inlineStr">
        <is>
          <t>51+023</t>
        </is>
      </c>
      <c r="Q487" t="inlineStr">
        <is>
          <t>51+023</t>
        </is>
      </c>
      <c r="R487" t="inlineStr">
        <is>
          <t>Aberta</t>
        </is>
      </c>
      <c r="T487" t="inlineStr">
        <is>
          <t>Aline Batista</t>
        </is>
      </c>
      <c r="U487" t="inlineStr">
        <is>
          <t>24/04/2026</t>
        </is>
      </c>
      <c r="V487" t="inlineStr">
        <is>
          <t>01/05/2026</t>
        </is>
      </c>
      <c r="W487">
        <v>40</v>
      </c>
      <c r="AA487" t="inlineStr">
        <is>
          <t>Aberta 30-60 dias</t>
        </is>
      </c>
    </row>
    <row r="488">
      <c r="A488">
        <v>486</v>
      </c>
      <c r="B488">
        <v>2</v>
      </c>
      <c r="C488" t="inlineStr">
        <is>
          <t>1.5</t>
        </is>
      </c>
      <c r="D488" t="inlineStr">
        <is>
          <t>A01</t>
        </is>
      </c>
      <c r="F488" t="inlineStr">
        <is>
          <t>ATERPA</t>
        </is>
      </c>
      <c r="G488" t="inlineStr">
        <is>
          <t>CLP-011</t>
        </is>
      </c>
      <c r="H488" t="inlineStr">
        <is>
          <t>Fiscalização</t>
        </is>
      </c>
      <c r="I488">
        <v>6</v>
      </c>
      <c r="J488" t="inlineStr">
        <is>
          <t>Drenagem Superficial</t>
        </is>
      </c>
      <c r="K488" t="inlineStr">
        <is>
          <t>6.10</t>
        </is>
      </c>
      <c r="L488" t="inlineStr">
        <is>
          <t>Canaletas</t>
        </is>
      </c>
      <c r="M488" t="inlineStr">
        <is>
          <t>Obstrução do dispositivo</t>
        </is>
      </c>
      <c r="N488" t="inlineStr">
        <is>
          <t>Drenagem de plataforma obstruída.</t>
        </is>
      </c>
      <c r="O488" t="inlineStr">
        <is>
          <t>Tipo A</t>
        </is>
      </c>
      <c r="P488" t="inlineStr">
        <is>
          <t xml:space="preserve">46+240 </t>
        </is>
      </c>
      <c r="Q488" t="inlineStr">
        <is>
          <t xml:space="preserve">46+240 ao 46+600 </t>
        </is>
      </c>
      <c r="R488" t="inlineStr">
        <is>
          <t>Aberta</t>
        </is>
      </c>
      <c r="T488" t="inlineStr">
        <is>
          <t>Aline Batista</t>
        </is>
      </c>
      <c r="U488" t="inlineStr">
        <is>
          <t>24/04/2026</t>
        </is>
      </c>
      <c r="V488" t="inlineStr">
        <is>
          <t>01/05/2026</t>
        </is>
      </c>
      <c r="W488">
        <v>40</v>
      </c>
      <c r="AA488" t="inlineStr">
        <is>
          <t>Aberta 30-60 dias</t>
        </is>
      </c>
      <c r="AB488" t="inlineStr">
        <is>
          <t>GSA</t>
        </is>
      </c>
    </row>
    <row r="489">
      <c r="A489">
        <v>487</v>
      </c>
      <c r="B489">
        <v>2</v>
      </c>
      <c r="C489" t="inlineStr">
        <is>
          <t>1.5</t>
        </is>
      </c>
      <c r="D489" t="inlineStr">
        <is>
          <t>C02</t>
        </is>
      </c>
      <c r="F489" t="inlineStr">
        <is>
          <t>ATERPA</t>
        </is>
      </c>
      <c r="G489" t="inlineStr">
        <is>
          <t>CLP-011</t>
        </is>
      </c>
      <c r="H489" t="inlineStr">
        <is>
          <t>Fiscalização</t>
        </is>
      </c>
      <c r="I489">
        <v>6</v>
      </c>
      <c r="J489" t="inlineStr">
        <is>
          <t>Drenagem Superficial</t>
        </is>
      </c>
      <c r="K489" t="inlineStr">
        <is>
          <t>6.5</t>
        </is>
      </c>
      <c r="L489" t="inlineStr">
        <is>
          <t>Decida D'água</t>
        </is>
      </c>
      <c r="M489" t="inlineStr">
        <is>
          <t>Dispositivo não executado</t>
        </is>
      </c>
      <c r="N489" t="inlineStr">
        <is>
          <t>Falta concluir descida d’água no lado esquerdo.</t>
        </is>
      </c>
      <c r="O489" t="inlineStr">
        <is>
          <t>Tipo A</t>
        </is>
      </c>
      <c r="P489" t="inlineStr">
        <is>
          <t xml:space="preserve">47+000 </t>
        </is>
      </c>
      <c r="Q489" t="inlineStr">
        <is>
          <t>47+000 ao 48+160</t>
        </is>
      </c>
      <c r="R489" t="inlineStr">
        <is>
          <t>Aberta</t>
        </is>
      </c>
      <c r="T489" t="inlineStr">
        <is>
          <t>Aline Batista</t>
        </is>
      </c>
      <c r="U489" t="inlineStr">
        <is>
          <t>24/04/2026</t>
        </is>
      </c>
      <c r="V489" t="inlineStr">
        <is>
          <t>01/05/2026</t>
        </is>
      </c>
      <c r="W489">
        <v>40</v>
      </c>
      <c r="AA489" t="inlineStr">
        <is>
          <t>Aberta 30-60 dias</t>
        </is>
      </c>
    </row>
    <row r="490">
      <c r="A490">
        <v>488</v>
      </c>
      <c r="B490">
        <v>2</v>
      </c>
      <c r="C490" t="inlineStr">
        <is>
          <t>1.5</t>
        </is>
      </c>
      <c r="D490" t="inlineStr">
        <is>
          <t>C02</t>
        </is>
      </c>
      <c r="F490" t="inlineStr">
        <is>
          <t>ATERPA</t>
        </is>
      </c>
      <c r="G490" t="inlineStr">
        <is>
          <t>CLP-011</t>
        </is>
      </c>
      <c r="H490" t="inlineStr">
        <is>
          <t>Fiscalização</t>
        </is>
      </c>
      <c r="I490">
        <v>6</v>
      </c>
      <c r="J490" t="inlineStr">
        <is>
          <t>Drenagem Superficial</t>
        </is>
      </c>
      <c r="K490" t="inlineStr">
        <is>
          <t>6.10</t>
        </is>
      </c>
      <c r="L490" t="inlineStr">
        <is>
          <t>Canaletas</t>
        </is>
      </c>
      <c r="M490" t="inlineStr">
        <is>
          <t>Obstrução do dispositivo</t>
        </is>
      </c>
      <c r="N490" t="inlineStr">
        <is>
          <t>Drenagem obstruída.</t>
        </is>
      </c>
      <c r="O490" t="inlineStr">
        <is>
          <t>Tipo A</t>
        </is>
      </c>
      <c r="P490" t="inlineStr">
        <is>
          <t xml:space="preserve"> 47+320</t>
        </is>
      </c>
      <c r="Q490" t="inlineStr">
        <is>
          <t>47+320</t>
        </is>
      </c>
      <c r="R490" t="inlineStr">
        <is>
          <t>Aberta</t>
        </is>
      </c>
      <c r="T490" t="inlineStr">
        <is>
          <t>Aline Batista</t>
        </is>
      </c>
      <c r="U490" t="inlineStr">
        <is>
          <t>24/04/2026</t>
        </is>
      </c>
      <c r="V490" t="inlineStr">
        <is>
          <t>01/05/2026</t>
        </is>
      </c>
      <c r="W490">
        <v>40</v>
      </c>
      <c r="AA490" t="inlineStr">
        <is>
          <t>Aberta 30-60 dias</t>
        </is>
      </c>
    </row>
    <row r="491">
      <c r="A491">
        <v>489</v>
      </c>
      <c r="B491">
        <v>2</v>
      </c>
      <c r="C491" t="inlineStr">
        <is>
          <t>1.5</t>
        </is>
      </c>
      <c r="D491" t="inlineStr">
        <is>
          <t>A04</t>
        </is>
      </c>
      <c r="F491" t="inlineStr">
        <is>
          <t>ATERPA</t>
        </is>
      </c>
      <c r="G491" t="inlineStr">
        <is>
          <t>CLP-011</t>
        </is>
      </c>
      <c r="H491" t="inlineStr">
        <is>
          <t>Protocolo</t>
        </is>
      </c>
      <c r="I491">
        <v>6</v>
      </c>
      <c r="J491" t="inlineStr">
        <is>
          <t>Drenagem Superficial</t>
        </is>
      </c>
      <c r="K491" t="inlineStr">
        <is>
          <t>6.1</t>
        </is>
      </c>
      <c r="L491" t="inlineStr">
        <is>
          <t>Canaletas</t>
        </is>
      </c>
      <c r="M491" t="inlineStr">
        <is>
          <t>Dispositivo não executado</t>
        </is>
      </c>
      <c r="N491" t="inlineStr">
        <is>
          <t>Execução de drenagem de banqueta no lado direito - Aterro 04</t>
        </is>
      </c>
      <c r="O491" t="inlineStr">
        <is>
          <t>Tipo A</t>
        </is>
      </c>
      <c r="P491" t="inlineStr">
        <is>
          <t xml:space="preserve"> 48+477 </t>
        </is>
      </c>
      <c r="Q491" t="inlineStr">
        <is>
          <t xml:space="preserve"> 48+477 </t>
        </is>
      </c>
      <c r="R491" t="inlineStr">
        <is>
          <t>Aberta</t>
        </is>
      </c>
      <c r="T491" t="inlineStr">
        <is>
          <t>Aline Batista</t>
        </is>
      </c>
      <c r="U491" t="inlineStr">
        <is>
          <t>24/04/2026</t>
        </is>
      </c>
      <c r="V491" t="inlineStr">
        <is>
          <t>01/05/2026</t>
        </is>
      </c>
      <c r="W491">
        <v>40</v>
      </c>
      <c r="AA491" t="inlineStr">
        <is>
          <t>Aberta 30-60 dias</t>
        </is>
      </c>
    </row>
    <row r="492">
      <c r="A492">
        <v>490</v>
      </c>
      <c r="B492">
        <v>2</v>
      </c>
      <c r="C492" t="inlineStr">
        <is>
          <t>1.5</t>
        </is>
      </c>
      <c r="D492" t="inlineStr">
        <is>
          <t>C04</t>
        </is>
      </c>
      <c r="F492" t="inlineStr">
        <is>
          <t>ATERPA</t>
        </is>
      </c>
      <c r="G492" t="inlineStr">
        <is>
          <t>CLP-011</t>
        </is>
      </c>
      <c r="H492" t="inlineStr">
        <is>
          <t>Fiscalização</t>
        </is>
      </c>
      <c r="I492">
        <v>6</v>
      </c>
      <c r="J492" t="inlineStr">
        <is>
          <t>Drenagem Superficial</t>
        </is>
      </c>
      <c r="K492" t="inlineStr">
        <is>
          <t>6.10</t>
        </is>
      </c>
      <c r="L492" t="inlineStr">
        <is>
          <t>Canaletas</t>
        </is>
      </c>
      <c r="M492" t="inlineStr">
        <is>
          <t>Obstrução do dispositivo</t>
        </is>
      </c>
      <c r="N492" t="inlineStr">
        <is>
          <t>Drenagens superficiais obstruídas.</t>
        </is>
      </c>
      <c r="O492" t="inlineStr">
        <is>
          <t>Tipo A</t>
        </is>
      </c>
      <c r="P492" t="inlineStr">
        <is>
          <t xml:space="preserve">49+580 </t>
        </is>
      </c>
      <c r="Q492" t="inlineStr">
        <is>
          <t>49+580 ao  49+960</t>
        </is>
      </c>
      <c r="R492" t="inlineStr">
        <is>
          <t>Aberta</t>
        </is>
      </c>
      <c r="T492" t="inlineStr">
        <is>
          <t>Aline Batista</t>
        </is>
      </c>
      <c r="U492" t="inlineStr">
        <is>
          <t>24/04/2026</t>
        </is>
      </c>
      <c r="V492" t="inlineStr">
        <is>
          <t>01/05/2026</t>
        </is>
      </c>
      <c r="W492">
        <v>40</v>
      </c>
      <c r="AA492" t="inlineStr">
        <is>
          <t>Aberta 30-60 dias</t>
        </is>
      </c>
    </row>
    <row r="493">
      <c r="A493">
        <v>491</v>
      </c>
      <c r="B493">
        <v>2</v>
      </c>
      <c r="C493" t="inlineStr">
        <is>
          <t>1.5</t>
        </is>
      </c>
      <c r="D493" t="inlineStr">
        <is>
          <t>A07/C12</t>
        </is>
      </c>
      <c r="F493" t="inlineStr">
        <is>
          <t>ATERPA</t>
        </is>
      </c>
      <c r="G493" t="inlineStr">
        <is>
          <t>CLP-011</t>
        </is>
      </c>
      <c r="H493" t="inlineStr">
        <is>
          <t>Fiscalização</t>
        </is>
      </c>
      <c r="I493">
        <v>6</v>
      </c>
      <c r="J493" t="inlineStr">
        <is>
          <t>Drenagem Superficial</t>
        </is>
      </c>
      <c r="K493" t="inlineStr">
        <is>
          <t>6.10</t>
        </is>
      </c>
      <c r="L493" t="inlineStr">
        <is>
          <t>Canaletas</t>
        </is>
      </c>
      <c r="M493" t="inlineStr">
        <is>
          <t>Obstrução do dispositivo</t>
        </is>
      </c>
      <c r="N493" t="inlineStr">
        <is>
          <t>Drenagem de plataforma obstruída.</t>
        </is>
      </c>
      <c r="O493" t="inlineStr">
        <is>
          <t>Tipo A</t>
        </is>
      </c>
      <c r="P493" t="inlineStr">
        <is>
          <t>50+762</t>
        </is>
      </c>
      <c r="Q493" t="inlineStr">
        <is>
          <t xml:space="preserve"> 50+762</t>
        </is>
      </c>
      <c r="R493" t="inlineStr">
        <is>
          <t>Aberta</t>
        </is>
      </c>
      <c r="T493" t="inlineStr">
        <is>
          <t>Aline Batista</t>
        </is>
      </c>
      <c r="U493" t="inlineStr">
        <is>
          <t>24/04/2026</t>
        </is>
      </c>
      <c r="V493" t="inlineStr">
        <is>
          <t>01/05/2026</t>
        </is>
      </c>
      <c r="W493">
        <v>40</v>
      </c>
      <c r="AA493" t="inlineStr">
        <is>
          <t>Aberta 30-60 dias</t>
        </is>
      </c>
    </row>
    <row r="494">
      <c r="A494">
        <v>492</v>
      </c>
      <c r="B494">
        <v>2</v>
      </c>
      <c r="C494" t="inlineStr">
        <is>
          <t>1.5</t>
        </is>
      </c>
      <c r="D494" t="inlineStr">
        <is>
          <t>C06</t>
        </is>
      </c>
      <c r="F494" t="inlineStr">
        <is>
          <t>ATERPA</t>
        </is>
      </c>
      <c r="G494" t="inlineStr">
        <is>
          <t>CLP-011</t>
        </is>
      </c>
      <c r="H494" t="inlineStr">
        <is>
          <t>Fiscalização</t>
        </is>
      </c>
      <c r="I494">
        <v>6</v>
      </c>
      <c r="J494" t="inlineStr">
        <is>
          <t>Drenagem Superficial</t>
        </is>
      </c>
      <c r="K494" t="inlineStr">
        <is>
          <t>6.10</t>
        </is>
      </c>
      <c r="L494" t="inlineStr">
        <is>
          <t>Canaletas</t>
        </is>
      </c>
      <c r="M494" t="inlineStr">
        <is>
          <t>Obstrução do dispositivo</t>
        </is>
      </c>
      <c r="N494" t="inlineStr">
        <is>
          <t>Drenagens de plataforma obstruídas.</t>
        </is>
      </c>
      <c r="O494" t="inlineStr">
        <is>
          <t>Tipo A</t>
        </is>
      </c>
      <c r="P494" t="inlineStr">
        <is>
          <t xml:space="preserve">50+800 </t>
        </is>
      </c>
      <c r="Q494" t="inlineStr">
        <is>
          <t xml:space="preserve"> 50+800 ao  50+980</t>
        </is>
      </c>
      <c r="R494" t="inlineStr">
        <is>
          <t>Aberta</t>
        </is>
      </c>
      <c r="T494" t="inlineStr">
        <is>
          <t>Aline Batista</t>
        </is>
      </c>
      <c r="U494" t="inlineStr">
        <is>
          <t>24/04/2026</t>
        </is>
      </c>
      <c r="V494" t="inlineStr">
        <is>
          <t>01/05/2026</t>
        </is>
      </c>
      <c r="W494">
        <v>40</v>
      </c>
      <c r="AA494" t="inlineStr">
        <is>
          <t>Aberta 30-60 dias</t>
        </is>
      </c>
    </row>
    <row r="495">
      <c r="A495">
        <v>493</v>
      </c>
      <c r="B495">
        <v>2</v>
      </c>
      <c r="C495" t="inlineStr">
        <is>
          <t>1.5</t>
        </is>
      </c>
      <c r="D495" t="inlineStr">
        <is>
          <t>C12</t>
        </is>
      </c>
      <c r="F495" t="inlineStr">
        <is>
          <t>ATERPA</t>
        </is>
      </c>
      <c r="G495" t="inlineStr">
        <is>
          <t>CLP-011</t>
        </is>
      </c>
      <c r="H495" t="inlineStr">
        <is>
          <t>Fiscalização</t>
        </is>
      </c>
      <c r="I495">
        <v>6</v>
      </c>
      <c r="J495" t="inlineStr">
        <is>
          <t>Drenagem Superficial</t>
        </is>
      </c>
      <c r="K495" t="inlineStr">
        <is>
          <t>6.10</t>
        </is>
      </c>
      <c r="L495" t="inlineStr">
        <is>
          <t>Canaletas</t>
        </is>
      </c>
      <c r="M495" t="inlineStr">
        <is>
          <t>Obstrução do dispositivo</t>
        </is>
      </c>
      <c r="N495" t="inlineStr">
        <is>
          <t>Drenagens de plataforma obstruídas.</t>
        </is>
      </c>
      <c r="O495" t="inlineStr">
        <is>
          <t>Tipo A</t>
        </is>
      </c>
      <c r="P495" t="inlineStr">
        <is>
          <t xml:space="preserve"> 53+120</t>
        </is>
      </c>
      <c r="Q495" t="inlineStr">
        <is>
          <t>53+120 ao 54+390</t>
        </is>
      </c>
      <c r="R495" t="inlineStr">
        <is>
          <t>Aberta</t>
        </is>
      </c>
      <c r="T495" t="inlineStr">
        <is>
          <t>Aline Batista</t>
        </is>
      </c>
      <c r="U495" t="inlineStr">
        <is>
          <t>24/04/2026</t>
        </is>
      </c>
      <c r="V495" t="inlineStr">
        <is>
          <t>01/05/2026</t>
        </is>
      </c>
      <c r="W495">
        <v>40</v>
      </c>
      <c r="AA495" t="inlineStr">
        <is>
          <t>Aberta 30-60 dias</t>
        </is>
      </c>
    </row>
    <row r="496">
      <c r="A496">
        <v>494</v>
      </c>
      <c r="B496">
        <v>2</v>
      </c>
      <c r="C496" t="inlineStr">
        <is>
          <t>1.5</t>
        </is>
      </c>
      <c r="D496" t="inlineStr">
        <is>
          <t>Geral</t>
        </is>
      </c>
      <c r="E496" t="inlineStr">
        <is>
          <t>LE</t>
        </is>
      </c>
      <c r="F496" t="inlineStr">
        <is>
          <t>ATERPA</t>
        </is>
      </c>
      <c r="G496" t="inlineStr">
        <is>
          <t>CLP-011</t>
        </is>
      </c>
      <c r="H496" t="inlineStr">
        <is>
          <t>Protocolo</t>
        </is>
      </c>
      <c r="I496">
        <v>6</v>
      </c>
      <c r="J496" t="inlineStr">
        <is>
          <t>Drenagem Superficial</t>
        </is>
      </c>
      <c r="K496" t="inlineStr">
        <is>
          <t>6.14</t>
        </is>
      </c>
      <c r="L496" t="inlineStr">
        <is>
          <t>RNC</t>
        </is>
      </c>
      <c r="M496" t="inlineStr">
        <is>
          <t>Documental</t>
        </is>
      </c>
      <c r="N496" t="inlineStr">
        <is>
          <t xml:space="preserve">Registro 0113-C ao 3814-C estão pendentes as informações quanto ao FCK do projeto.
Registro 03120-C e 3122-C estão pendentes as informações quanto ao FCK do projeto.
Registro 3474-C ao 8881-C estão pendentes as informações quanto ao FCK do projeto.
Registro 0156-C a 8876-C estão pendentes as informações quanto ao FCK do projeto.
Registro 0113-C ao 3814-C estão pendentes as informações das dimensões para cálculo da área da seção transversal dos CPs.
Registro 50082-C ao 0329-C estão pendentes as informações das dimensões para cálculo da área da seção transversal dos CPs.
Registro 50092-C e 50096-C Pendente rompimento aos 28 dias – TSS 07
Registro 8945-C não atingiu resistência aos 63 dias, RNC aberta
Registros 3496-C lançado com temperatura acima do especificado - 37,8°C canaleta VPC 01
Registros 3697-C lançado com temperatura acima do especificado - 38,7°C canaleta VPC 01
Registros 9121-C lançado com temperatura acima do especificado - 39,9°C sarjeta
Registros 3474-C lançado com temperatura acima do especificado – 37,3°C dissipador
Registros 3718-C lançado com temperatura acima do especificado - 37,2°C laje a montante BSCC
Registros 3142-C lançado com temperatura acima do especificado - 37,4°C laje inferior BSCC</t>
        </is>
      </c>
      <c r="O496" t="inlineStr">
        <is>
          <t>Tipo B</t>
        </is>
      </c>
      <c r="P496" t="inlineStr">
        <is>
          <t>46+100</t>
        </is>
      </c>
      <c r="Q496" t="inlineStr">
        <is>
          <t>55+050</t>
        </is>
      </c>
      <c r="R496" t="inlineStr">
        <is>
          <t>Aberta</t>
        </is>
      </c>
      <c r="T496" t="inlineStr">
        <is>
          <t>Aline Batista</t>
        </is>
      </c>
      <c r="U496" t="inlineStr">
        <is>
          <t>24/04/2026</t>
        </is>
      </c>
      <c r="V496" t="inlineStr">
        <is>
          <t>09/05/2026</t>
        </is>
      </c>
      <c r="W496">
        <v>32</v>
      </c>
      <c r="AA496" t="inlineStr">
        <is>
          <t>Aberta 30-60 dias</t>
        </is>
      </c>
      <c r="AB496" t="inlineStr">
        <is>
          <t>ATERPA</t>
        </is>
      </c>
    </row>
    <row r="497">
      <c r="A497">
        <v>495</v>
      </c>
      <c r="B497">
        <v>2</v>
      </c>
      <c r="C497" t="inlineStr">
        <is>
          <t>1.6</t>
        </is>
      </c>
      <c r="D497" t="inlineStr">
        <is>
          <t>A06</t>
        </is>
      </c>
      <c r="E497" t="inlineStr">
        <is>
          <t>LD</t>
        </is>
      </c>
      <c r="F497" t="inlineStr">
        <is>
          <t>ATERPA</t>
        </is>
      </c>
      <c r="G497" t="inlineStr">
        <is>
          <t>CLP-012</t>
        </is>
      </c>
      <c r="H497" t="inlineStr">
        <is>
          <t>Protocolo</t>
        </is>
      </c>
      <c r="I497">
        <v>1</v>
      </c>
      <c r="J497" t="inlineStr">
        <is>
          <t>Obras Complementares</t>
        </is>
      </c>
      <c r="K497" t="inlineStr">
        <is>
          <t>1.3</t>
        </is>
      </c>
      <c r="L497" t="inlineStr">
        <is>
          <t>Cerca</t>
        </is>
      </c>
      <c r="M497" t="inlineStr">
        <is>
          <t>Limpeza/ remoção de material</t>
        </is>
      </c>
      <c r="N497" t="inlineStr">
        <is>
          <t>Remoção de pré moldados</t>
        </is>
      </c>
      <c r="O497" t="inlineStr">
        <is>
          <t>Tipo A</t>
        </is>
      </c>
      <c r="P497" t="inlineStr">
        <is>
          <t xml:space="preserve"> 59+640</t>
        </is>
      </c>
      <c r="Q497" t="inlineStr">
        <is>
          <t xml:space="preserve"> 59+640</t>
        </is>
      </c>
      <c r="R497" t="inlineStr">
        <is>
          <t>Aberta</t>
        </is>
      </c>
      <c r="T497" t="inlineStr">
        <is>
          <t>Aline Batista</t>
        </is>
      </c>
      <c r="U497" t="inlineStr">
        <is>
          <t>24/04/2026</t>
        </is>
      </c>
      <c r="V497" t="inlineStr">
        <is>
          <t>01/05/2026</t>
        </is>
      </c>
      <c r="W497">
        <v>40</v>
      </c>
      <c r="AA497" t="inlineStr">
        <is>
          <t>Aberta 30-60 dias</t>
        </is>
      </c>
    </row>
    <row r="498">
      <c r="A498">
        <v>496</v>
      </c>
      <c r="B498">
        <v>2</v>
      </c>
      <c r="C498" t="inlineStr">
        <is>
          <t>1.6</t>
        </is>
      </c>
      <c r="D498" t="inlineStr">
        <is>
          <t>A08</t>
        </is>
      </c>
      <c r="E498" t="inlineStr">
        <is>
          <t>LE/LD</t>
        </is>
      </c>
      <c r="F498" t="inlineStr">
        <is>
          <t>ATERPA</t>
        </is>
      </c>
      <c r="G498" t="inlineStr">
        <is>
          <t>CLP-012</t>
        </is>
      </c>
      <c r="H498" t="inlineStr">
        <is>
          <t>Protocolo</t>
        </is>
      </c>
      <c r="I498">
        <v>1</v>
      </c>
      <c r="J498" t="inlineStr">
        <is>
          <t>Obras Complementares</t>
        </is>
      </c>
      <c r="K498" t="inlineStr">
        <is>
          <t>1.3</t>
        </is>
      </c>
      <c r="L498" t="inlineStr">
        <is>
          <t>Cerca</t>
        </is>
      </c>
      <c r="M498" t="inlineStr">
        <is>
          <t>Cercamento danificado</t>
        </is>
      </c>
      <c r="N498" t="inlineStr">
        <is>
          <t xml:space="preserve">Cercamento danificado </t>
        </is>
      </c>
      <c r="O498" t="inlineStr">
        <is>
          <t>Tipo A</t>
        </is>
      </c>
      <c r="P498" t="inlineStr">
        <is>
          <t>64+700</t>
        </is>
      </c>
      <c r="Q498" t="inlineStr">
        <is>
          <t>64+700</t>
        </is>
      </c>
      <c r="R498" t="inlineStr">
        <is>
          <t>Aberta</t>
        </is>
      </c>
      <c r="T498" t="inlineStr">
        <is>
          <t>Aline Batista</t>
        </is>
      </c>
      <c r="U498" t="inlineStr">
        <is>
          <t>24/04/2026</t>
        </is>
      </c>
      <c r="V498" t="inlineStr">
        <is>
          <t>01/05/2026</t>
        </is>
      </c>
      <c r="W498">
        <v>40</v>
      </c>
      <c r="AA498" t="inlineStr">
        <is>
          <t>Aberta 30-60 dias</t>
        </is>
      </c>
    </row>
    <row r="499">
      <c r="A499">
        <v>497</v>
      </c>
      <c r="B499">
        <v>2</v>
      </c>
      <c r="C499" t="inlineStr">
        <is>
          <t>1.6</t>
        </is>
      </c>
      <c r="D499" t="inlineStr">
        <is>
          <t>A06</t>
        </is>
      </c>
      <c r="E499" t="inlineStr">
        <is>
          <t>LE/LD</t>
        </is>
      </c>
      <c r="F499" t="inlineStr">
        <is>
          <t>ATERPA</t>
        </is>
      </c>
      <c r="G499" t="inlineStr">
        <is>
          <t>CLP-012</t>
        </is>
      </c>
      <c r="H499" t="inlineStr">
        <is>
          <t>Protocolo</t>
        </is>
      </c>
      <c r="I499">
        <v>1</v>
      </c>
      <c r="J499" t="inlineStr">
        <is>
          <t>Obras Complementares</t>
        </is>
      </c>
      <c r="K499" t="inlineStr">
        <is>
          <t>1.3</t>
        </is>
      </c>
      <c r="L499" t="inlineStr">
        <is>
          <t>Cerca</t>
        </is>
      </c>
      <c r="M499" t="inlineStr">
        <is>
          <t>Cercamento pendente</t>
        </is>
      </c>
      <c r="N499" t="inlineStr">
        <is>
          <t>Pendente a execução do corredor e conclusão da TSS.</t>
        </is>
      </c>
      <c r="O499" t="inlineStr">
        <is>
          <t>Tipo A</t>
        </is>
      </c>
      <c r="P499" t="inlineStr">
        <is>
          <t xml:space="preserve"> 61+160</t>
        </is>
      </c>
      <c r="Q499" t="inlineStr">
        <is>
          <t xml:space="preserve"> 61+160</t>
        </is>
      </c>
      <c r="R499" t="inlineStr">
        <is>
          <t>Aberta</t>
        </is>
      </c>
      <c r="T499" t="inlineStr">
        <is>
          <t>Aline Batista</t>
        </is>
      </c>
      <c r="U499" t="inlineStr">
        <is>
          <t>24/04/2026</t>
        </is>
      </c>
      <c r="V499" t="inlineStr">
        <is>
          <t>01/05/2026</t>
        </is>
      </c>
      <c r="W499">
        <v>40</v>
      </c>
      <c r="AA499" t="inlineStr">
        <is>
          <t>Aberta 30-60 dias</t>
        </is>
      </c>
    </row>
    <row r="500">
      <c r="A500">
        <v>498</v>
      </c>
      <c r="B500">
        <v>2</v>
      </c>
      <c r="C500" t="inlineStr">
        <is>
          <t>1.6</t>
        </is>
      </c>
      <c r="D500" t="inlineStr">
        <is>
          <t>A06</t>
        </is>
      </c>
      <c r="E500" t="inlineStr">
        <is>
          <t>LE/LD</t>
        </is>
      </c>
      <c r="F500" t="inlineStr">
        <is>
          <t>ATERPA</t>
        </is>
      </c>
      <c r="G500" t="inlineStr">
        <is>
          <t>CLP-012</t>
        </is>
      </c>
      <c r="H500" t="inlineStr">
        <is>
          <t>Protocolo</t>
        </is>
      </c>
      <c r="I500">
        <v>1</v>
      </c>
      <c r="J500" t="inlineStr">
        <is>
          <t>Obras Complementares</t>
        </is>
      </c>
      <c r="K500" t="inlineStr">
        <is>
          <t>1.3</t>
        </is>
      </c>
      <c r="L500" t="inlineStr">
        <is>
          <t>Cerca</t>
        </is>
      </c>
      <c r="M500" t="inlineStr">
        <is>
          <t>Cercamento pendente</t>
        </is>
      </c>
      <c r="N500" t="inlineStr">
        <is>
          <t>Cerca sem tensionamento</t>
        </is>
      </c>
      <c r="O500" t="inlineStr">
        <is>
          <t>Tipo A</t>
        </is>
      </c>
      <c r="P500" t="inlineStr">
        <is>
          <t>62+260</t>
        </is>
      </c>
      <c r="Q500" t="inlineStr">
        <is>
          <t>62+260</t>
        </is>
      </c>
      <c r="R500" t="inlineStr">
        <is>
          <t>Aberta</t>
        </is>
      </c>
      <c r="T500" t="inlineStr">
        <is>
          <t>Aline Batista</t>
        </is>
      </c>
      <c r="U500" t="inlineStr">
        <is>
          <t>24/04/2026</t>
        </is>
      </c>
      <c r="V500" t="inlineStr">
        <is>
          <t>01/05/2026</t>
        </is>
      </c>
      <c r="W500">
        <v>40</v>
      </c>
      <c r="AA500" t="inlineStr">
        <is>
          <t>Aberta 30-60 dias</t>
        </is>
      </c>
    </row>
    <row r="501">
      <c r="A501">
        <v>499</v>
      </c>
      <c r="B501">
        <v>2</v>
      </c>
      <c r="C501" t="inlineStr">
        <is>
          <t>1.6</t>
        </is>
      </c>
      <c r="D501" t="inlineStr">
        <is>
          <t>A06</t>
        </is>
      </c>
      <c r="E501" t="inlineStr">
        <is>
          <t>LE/LD</t>
        </is>
      </c>
      <c r="F501" t="inlineStr">
        <is>
          <t>ATERPA</t>
        </is>
      </c>
      <c r="G501" t="inlineStr">
        <is>
          <t>CLP-012</t>
        </is>
      </c>
      <c r="H501" t="inlineStr">
        <is>
          <t>Protocolo</t>
        </is>
      </c>
      <c r="I501">
        <v>1</v>
      </c>
      <c r="J501" t="inlineStr">
        <is>
          <t>Obras Complementares</t>
        </is>
      </c>
      <c r="K501" t="inlineStr">
        <is>
          <t>1.8</t>
        </is>
      </c>
      <c r="L501" t="inlineStr">
        <is>
          <t>Cerca</t>
        </is>
      </c>
      <c r="M501" t="inlineStr">
        <is>
          <t>Cercamento pendente</t>
        </is>
      </c>
      <c r="N501" t="inlineStr">
        <is>
          <t>Desvio de cercamento pendente</t>
        </is>
      </c>
      <c r="O501" t="inlineStr">
        <is>
          <t>Tipo A</t>
        </is>
      </c>
      <c r="P501" t="inlineStr">
        <is>
          <t>59+600</t>
        </is>
      </c>
      <c r="Q501" t="inlineStr">
        <is>
          <t>59+600</t>
        </is>
      </c>
      <c r="R501" t="inlineStr">
        <is>
          <t>Aberta</t>
        </is>
      </c>
      <c r="T501" t="inlineStr">
        <is>
          <t>Aline Batista</t>
        </is>
      </c>
      <c r="U501" t="inlineStr">
        <is>
          <t>24/04/2026</t>
        </is>
      </c>
      <c r="V501" t="inlineStr">
        <is>
          <t>01/05/2026</t>
        </is>
      </c>
      <c r="W501">
        <v>40</v>
      </c>
      <c r="AA501" t="inlineStr">
        <is>
          <t>Aberta 30-60 dias</t>
        </is>
      </c>
    </row>
    <row r="502">
      <c r="A502">
        <v>500</v>
      </c>
      <c r="B502">
        <v>2</v>
      </c>
      <c r="C502" t="inlineStr">
        <is>
          <t>1.6</t>
        </is>
      </c>
      <c r="D502" t="inlineStr">
        <is>
          <t>A06</t>
        </is>
      </c>
      <c r="E502" t="inlineStr">
        <is>
          <t>LE/LD</t>
        </is>
      </c>
      <c r="F502" t="inlineStr">
        <is>
          <t>ATERPA</t>
        </is>
      </c>
      <c r="G502" t="inlineStr">
        <is>
          <t>CLP-012</t>
        </is>
      </c>
      <c r="H502" t="inlineStr">
        <is>
          <t>Protocolo</t>
        </is>
      </c>
      <c r="I502">
        <v>1</v>
      </c>
      <c r="J502" t="inlineStr">
        <is>
          <t>Obras Complementares</t>
        </is>
      </c>
      <c r="K502" t="inlineStr">
        <is>
          <t>1.8</t>
        </is>
      </c>
      <c r="L502" t="inlineStr">
        <is>
          <t>Cerca</t>
        </is>
      </c>
      <c r="M502" t="inlineStr">
        <is>
          <t>Cercamento pendente</t>
        </is>
      </c>
      <c r="N502" t="inlineStr">
        <is>
          <t>Desvio de cercamento pendente</t>
        </is>
      </c>
      <c r="O502" t="inlineStr">
        <is>
          <t>Tipo A</t>
        </is>
      </c>
      <c r="P502" t="inlineStr">
        <is>
          <t>59+900</t>
        </is>
      </c>
      <c r="Q502" t="inlineStr">
        <is>
          <t>59+900</t>
        </is>
      </c>
      <c r="R502" t="inlineStr">
        <is>
          <t>Aberta</t>
        </is>
      </c>
      <c r="T502" t="inlineStr">
        <is>
          <t>Aline Batista</t>
        </is>
      </c>
      <c r="U502" t="inlineStr">
        <is>
          <t>24/04/2026</t>
        </is>
      </c>
      <c r="V502" t="inlineStr">
        <is>
          <t>01/05/2026</t>
        </is>
      </c>
      <c r="W502">
        <v>40</v>
      </c>
      <c r="AA502" t="inlineStr">
        <is>
          <t>Aberta 30-60 dias</t>
        </is>
      </c>
    </row>
    <row r="503">
      <c r="A503">
        <v>501</v>
      </c>
      <c r="B503">
        <v>2</v>
      </c>
      <c r="C503" t="inlineStr">
        <is>
          <t>1.6</t>
        </is>
      </c>
      <c r="D503" t="inlineStr">
        <is>
          <t>A06</t>
        </is>
      </c>
      <c r="E503" t="inlineStr">
        <is>
          <t>LE/LD</t>
        </is>
      </c>
      <c r="F503" t="inlineStr">
        <is>
          <t>ATERPA</t>
        </is>
      </c>
      <c r="G503" t="inlineStr">
        <is>
          <t>CLP-012</t>
        </is>
      </c>
      <c r="H503" t="inlineStr">
        <is>
          <t>Protocolo</t>
        </is>
      </c>
      <c r="I503">
        <v>1</v>
      </c>
      <c r="J503" t="inlineStr">
        <is>
          <t>Obras Complementares</t>
        </is>
      </c>
      <c r="K503" t="inlineStr">
        <is>
          <t>1.8</t>
        </is>
      </c>
      <c r="L503" t="inlineStr">
        <is>
          <t>Cerca</t>
        </is>
      </c>
      <c r="M503" t="inlineStr">
        <is>
          <t>Cercamento pendente</t>
        </is>
      </c>
      <c r="N503" t="inlineStr">
        <is>
          <t>Desvio de cercamento pendente</t>
        </is>
      </c>
      <c r="O503" t="inlineStr">
        <is>
          <t>Tipo A</t>
        </is>
      </c>
      <c r="P503" t="inlineStr">
        <is>
          <t xml:space="preserve"> 60+220</t>
        </is>
      </c>
      <c r="Q503" t="inlineStr">
        <is>
          <t xml:space="preserve"> 60+220</t>
        </is>
      </c>
      <c r="R503" t="inlineStr">
        <is>
          <t>Aberta</t>
        </is>
      </c>
      <c r="T503" t="inlineStr">
        <is>
          <t>Aline Batista</t>
        </is>
      </c>
      <c r="U503" t="inlineStr">
        <is>
          <t>24/04/2026</t>
        </is>
      </c>
      <c r="V503" t="inlineStr">
        <is>
          <t>01/05/2026</t>
        </is>
      </c>
      <c r="W503">
        <v>40</v>
      </c>
      <c r="AA503" t="inlineStr">
        <is>
          <t>Aberta 30-60 dias</t>
        </is>
      </c>
    </row>
    <row r="504">
      <c r="A504">
        <v>502</v>
      </c>
      <c r="B504">
        <v>2</v>
      </c>
      <c r="C504" t="inlineStr">
        <is>
          <t>1.6</t>
        </is>
      </c>
      <c r="D504" t="inlineStr">
        <is>
          <t>A06</t>
        </is>
      </c>
      <c r="E504" t="inlineStr">
        <is>
          <t>LE/LD</t>
        </is>
      </c>
      <c r="F504" t="inlineStr">
        <is>
          <t>ATERPA</t>
        </is>
      </c>
      <c r="G504" t="inlineStr">
        <is>
          <t>CLP-012</t>
        </is>
      </c>
      <c r="H504" t="inlineStr">
        <is>
          <t>Protocolo</t>
        </is>
      </c>
      <c r="I504">
        <v>1</v>
      </c>
      <c r="J504" t="inlineStr">
        <is>
          <t>Obras Complementares</t>
        </is>
      </c>
      <c r="K504" t="inlineStr">
        <is>
          <t>1.8</t>
        </is>
      </c>
      <c r="L504" t="inlineStr">
        <is>
          <t>Cerca</t>
        </is>
      </c>
      <c r="M504" t="inlineStr">
        <is>
          <t>Cercamento pendente</t>
        </is>
      </c>
      <c r="N504" t="inlineStr">
        <is>
          <t>Desvio de cercamento pendente</t>
        </is>
      </c>
      <c r="O504" t="inlineStr">
        <is>
          <t>Tipo A</t>
        </is>
      </c>
      <c r="P504" t="inlineStr">
        <is>
          <t>61+740</t>
        </is>
      </c>
      <c r="Q504" t="inlineStr">
        <is>
          <t>61+740</t>
        </is>
      </c>
      <c r="R504" t="inlineStr">
        <is>
          <t>Aberta</t>
        </is>
      </c>
      <c r="T504" t="inlineStr">
        <is>
          <t>Aline Batista</t>
        </is>
      </c>
      <c r="U504" t="inlineStr">
        <is>
          <t>24/04/2026</t>
        </is>
      </c>
      <c r="V504" t="inlineStr">
        <is>
          <t>01/05/2026</t>
        </is>
      </c>
      <c r="W504">
        <v>40</v>
      </c>
      <c r="AA504" t="inlineStr">
        <is>
          <t>Aberta 30-60 dias</t>
        </is>
      </c>
    </row>
    <row r="505">
      <c r="A505">
        <v>503</v>
      </c>
      <c r="B505">
        <v>2</v>
      </c>
      <c r="C505" t="inlineStr">
        <is>
          <t>1.6</t>
        </is>
      </c>
      <c r="D505" t="inlineStr">
        <is>
          <t>C07</t>
        </is>
      </c>
      <c r="E505" t="inlineStr">
        <is>
          <t>LE/LD</t>
        </is>
      </c>
      <c r="F505" t="inlineStr">
        <is>
          <t>ATERPA</t>
        </is>
      </c>
      <c r="G505" t="inlineStr">
        <is>
          <t>CLP-012</t>
        </is>
      </c>
      <c r="H505" t="inlineStr">
        <is>
          <t>Protocolo</t>
        </is>
      </c>
      <c r="I505">
        <v>1</v>
      </c>
      <c r="J505" t="inlineStr">
        <is>
          <t>Obras Complementares</t>
        </is>
      </c>
      <c r="K505" t="inlineStr">
        <is>
          <t>1.8</t>
        </is>
      </c>
      <c r="L505" t="inlineStr">
        <is>
          <t>Cerca</t>
        </is>
      </c>
      <c r="M505" t="inlineStr">
        <is>
          <t>Cercamento pendente</t>
        </is>
      </c>
      <c r="N505" t="inlineStr">
        <is>
          <t>Desvio de cercamento pendente</t>
        </is>
      </c>
      <c r="O505" t="inlineStr">
        <is>
          <t>Tipo A</t>
        </is>
      </c>
      <c r="P505" t="inlineStr">
        <is>
          <t xml:space="preserve"> 62+800</t>
        </is>
      </c>
      <c r="Q505" t="inlineStr">
        <is>
          <t xml:space="preserve"> 62+800</t>
        </is>
      </c>
      <c r="R505" t="inlineStr">
        <is>
          <t>Aberta</t>
        </is>
      </c>
      <c r="T505" t="inlineStr">
        <is>
          <t>Aline Batista</t>
        </is>
      </c>
      <c r="U505" t="inlineStr">
        <is>
          <t>24/04/2026</t>
        </is>
      </c>
      <c r="V505" t="inlineStr">
        <is>
          <t>01/05/2026</t>
        </is>
      </c>
      <c r="W505">
        <v>40</v>
      </c>
      <c r="AA505" t="inlineStr">
        <is>
          <t>Aberta 30-60 dias</t>
        </is>
      </c>
    </row>
    <row r="506">
      <c r="A506">
        <v>504</v>
      </c>
      <c r="B506">
        <v>2</v>
      </c>
      <c r="C506" t="inlineStr">
        <is>
          <t>1.6</t>
        </is>
      </c>
      <c r="D506" t="inlineStr">
        <is>
          <t>C08</t>
        </is>
      </c>
      <c r="E506" t="inlineStr">
        <is>
          <t>LE/LD</t>
        </is>
      </c>
      <c r="F506" t="inlineStr">
        <is>
          <t>ATERPA</t>
        </is>
      </c>
      <c r="G506" t="inlineStr">
        <is>
          <t>CLP-012</t>
        </is>
      </c>
      <c r="H506" t="inlineStr">
        <is>
          <t>Protocolo</t>
        </is>
      </c>
      <c r="I506">
        <v>1</v>
      </c>
      <c r="J506" t="inlineStr">
        <is>
          <t>Obras Complementares</t>
        </is>
      </c>
      <c r="K506" t="inlineStr">
        <is>
          <t>1.8</t>
        </is>
      </c>
      <c r="L506" t="inlineStr">
        <is>
          <t>Cerca</t>
        </is>
      </c>
      <c r="M506" t="inlineStr">
        <is>
          <t>Cercamento pendente</t>
        </is>
      </c>
      <c r="N506" t="inlineStr">
        <is>
          <t>Desvio de cercamento pendente</t>
        </is>
      </c>
      <c r="O506" t="inlineStr">
        <is>
          <t>Tipo A</t>
        </is>
      </c>
      <c r="P506" t="inlineStr">
        <is>
          <t xml:space="preserve"> 63+900</t>
        </is>
      </c>
      <c r="Q506" t="inlineStr">
        <is>
          <t xml:space="preserve"> 63+900</t>
        </is>
      </c>
      <c r="R506" t="inlineStr">
        <is>
          <t>Aberta</t>
        </is>
      </c>
      <c r="T506" t="inlineStr">
        <is>
          <t>Aline Batista</t>
        </is>
      </c>
      <c r="U506" t="inlineStr">
        <is>
          <t>24/04/2026</t>
        </is>
      </c>
      <c r="V506" t="inlineStr">
        <is>
          <t>01/05/2026</t>
        </is>
      </c>
      <c r="W506">
        <v>40</v>
      </c>
      <c r="AA506" t="inlineStr">
        <is>
          <t>Aberta 30-60 dias</t>
        </is>
      </c>
    </row>
    <row r="507">
      <c r="A507">
        <v>505</v>
      </c>
      <c r="B507">
        <v>2</v>
      </c>
      <c r="C507" t="inlineStr">
        <is>
          <t>1.6</t>
        </is>
      </c>
      <c r="D507" t="inlineStr">
        <is>
          <t>C09</t>
        </is>
      </c>
      <c r="E507" t="inlineStr">
        <is>
          <t>LE/LD</t>
        </is>
      </c>
      <c r="F507" t="inlineStr">
        <is>
          <t>ATERPA</t>
        </is>
      </c>
      <c r="G507" t="inlineStr">
        <is>
          <t>CLP-012</t>
        </is>
      </c>
      <c r="H507" t="inlineStr">
        <is>
          <t>Protocolo</t>
        </is>
      </c>
      <c r="I507">
        <v>1</v>
      </c>
      <c r="J507" t="inlineStr">
        <is>
          <t>Obras Complementares</t>
        </is>
      </c>
      <c r="K507" t="inlineStr">
        <is>
          <t>1.8</t>
        </is>
      </c>
      <c r="L507" t="inlineStr">
        <is>
          <t>Cerca</t>
        </is>
      </c>
      <c r="M507" t="inlineStr">
        <is>
          <t>Cercamento pendente</t>
        </is>
      </c>
      <c r="N507" t="inlineStr">
        <is>
          <t>Desvio de cercamento pendente</t>
        </is>
      </c>
      <c r="O507" t="inlineStr">
        <is>
          <t>Tipo A</t>
        </is>
      </c>
      <c r="P507" t="inlineStr">
        <is>
          <t xml:space="preserve"> 66+900</t>
        </is>
      </c>
      <c r="Q507" t="inlineStr">
        <is>
          <t xml:space="preserve"> 66+900</t>
        </is>
      </c>
      <c r="R507" t="inlineStr">
        <is>
          <t>Aberta</t>
        </is>
      </c>
      <c r="T507" t="inlineStr">
        <is>
          <t>Aline Batista</t>
        </is>
      </c>
      <c r="U507" t="inlineStr">
        <is>
          <t>24/04/2026</t>
        </is>
      </c>
      <c r="V507" t="inlineStr">
        <is>
          <t>01/05/2026</t>
        </is>
      </c>
      <c r="W507">
        <v>40</v>
      </c>
      <c r="AA507" t="inlineStr">
        <is>
          <t>Aberta 30-60 dias</t>
        </is>
      </c>
    </row>
    <row r="508">
      <c r="A508">
        <v>506</v>
      </c>
      <c r="B508">
        <v>2</v>
      </c>
      <c r="C508" t="inlineStr">
        <is>
          <t>1.6</t>
        </is>
      </c>
      <c r="D508" t="inlineStr">
        <is>
          <t>C08</t>
        </is>
      </c>
      <c r="E508" t="inlineStr">
        <is>
          <t>LE/LD</t>
        </is>
      </c>
      <c r="F508" t="inlineStr">
        <is>
          <t>ATERPA</t>
        </is>
      </c>
      <c r="G508" t="inlineStr">
        <is>
          <t>CLP-012</t>
        </is>
      </c>
      <c r="H508" t="inlineStr">
        <is>
          <t>Protocolo</t>
        </is>
      </c>
      <c r="I508">
        <v>1</v>
      </c>
      <c r="J508" t="inlineStr">
        <is>
          <t>Obras Complementares</t>
        </is>
      </c>
      <c r="K508" t="inlineStr">
        <is>
          <t>1.8</t>
        </is>
      </c>
      <c r="L508" t="inlineStr">
        <is>
          <t>Cerca</t>
        </is>
      </c>
      <c r="M508" t="inlineStr">
        <is>
          <t>Cercamento pendente</t>
        </is>
      </c>
      <c r="N508" t="inlineStr">
        <is>
          <t>Desvio de cercamento pendente</t>
        </is>
      </c>
      <c r="O508" t="inlineStr">
        <is>
          <t>Tipo A</t>
        </is>
      </c>
      <c r="P508" t="inlineStr">
        <is>
          <t>64+400</t>
        </is>
      </c>
      <c r="Q508" t="inlineStr">
        <is>
          <t>64+400</t>
        </is>
      </c>
      <c r="R508" t="inlineStr">
        <is>
          <t>Aberta</t>
        </is>
      </c>
      <c r="T508" t="inlineStr">
        <is>
          <t>Aline Batista</t>
        </is>
      </c>
      <c r="U508" t="inlineStr">
        <is>
          <t>24/04/2026</t>
        </is>
      </c>
      <c r="V508" t="inlineStr">
        <is>
          <t>01/05/2026</t>
        </is>
      </c>
      <c r="W508">
        <v>40</v>
      </c>
      <c r="AA508" t="inlineStr">
        <is>
          <t>Aberta 30-60 dias</t>
        </is>
      </c>
    </row>
    <row r="509">
      <c r="A509">
        <v>507</v>
      </c>
      <c r="B509">
        <v>2</v>
      </c>
      <c r="C509" t="inlineStr">
        <is>
          <t>1.6</t>
        </is>
      </c>
      <c r="D509" t="inlineStr">
        <is>
          <t>A12</t>
        </is>
      </c>
      <c r="E509" t="inlineStr">
        <is>
          <t>LE/LD</t>
        </is>
      </c>
      <c r="F509" t="inlineStr">
        <is>
          <t>ATERPA</t>
        </is>
      </c>
      <c r="G509" t="inlineStr">
        <is>
          <t>CLP-012</t>
        </is>
      </c>
      <c r="H509" t="inlineStr">
        <is>
          <t>Protocolo</t>
        </is>
      </c>
      <c r="I509">
        <v>1</v>
      </c>
      <c r="J509" t="inlineStr">
        <is>
          <t>Obras Complementares</t>
        </is>
      </c>
      <c r="K509" t="inlineStr">
        <is>
          <t>1.8</t>
        </is>
      </c>
      <c r="L509" t="inlineStr">
        <is>
          <t>Cerca</t>
        </is>
      </c>
      <c r="M509" t="inlineStr">
        <is>
          <t>Cercamento pendente</t>
        </is>
      </c>
      <c r="N509" t="inlineStr">
        <is>
          <t>Desvio de cercamento pendente</t>
        </is>
      </c>
      <c r="O509" t="inlineStr">
        <is>
          <t>Tipo A</t>
        </is>
      </c>
      <c r="P509" t="inlineStr">
        <is>
          <t xml:space="preserve"> 70+500</t>
        </is>
      </c>
      <c r="Q509" t="inlineStr">
        <is>
          <t xml:space="preserve"> 70+500</t>
        </is>
      </c>
      <c r="R509" t="inlineStr">
        <is>
          <t>Aberta</t>
        </is>
      </c>
      <c r="T509" t="inlineStr">
        <is>
          <t>Aline Batista</t>
        </is>
      </c>
      <c r="U509" t="inlineStr">
        <is>
          <t>24/04/2026</t>
        </is>
      </c>
      <c r="V509" t="inlineStr">
        <is>
          <t>01/05/2026</t>
        </is>
      </c>
      <c r="W509">
        <v>40</v>
      </c>
      <c r="AA509" t="inlineStr">
        <is>
          <t>Aberta 30-60 dias</t>
        </is>
      </c>
    </row>
    <row r="510">
      <c r="A510">
        <v>508</v>
      </c>
      <c r="B510">
        <v>2</v>
      </c>
      <c r="C510" t="inlineStr">
        <is>
          <t>1.6</t>
        </is>
      </c>
      <c r="D510" t="inlineStr">
        <is>
          <t>C10</t>
        </is>
      </c>
      <c r="E510" t="inlineStr">
        <is>
          <t>LE/LD</t>
        </is>
      </c>
      <c r="F510" t="inlineStr">
        <is>
          <t>ATERPA</t>
        </is>
      </c>
      <c r="G510" t="inlineStr">
        <is>
          <t>CLP-012</t>
        </is>
      </c>
      <c r="H510" t="inlineStr">
        <is>
          <t>Protocolo</t>
        </is>
      </c>
      <c r="I510">
        <v>1</v>
      </c>
      <c r="J510" t="inlineStr">
        <is>
          <t>Obras Complementares</t>
        </is>
      </c>
      <c r="K510" t="inlineStr">
        <is>
          <t>1.8</t>
        </is>
      </c>
      <c r="L510" t="inlineStr">
        <is>
          <t>Cerca</t>
        </is>
      </c>
      <c r="M510" t="inlineStr">
        <is>
          <t>Cercamento pendente</t>
        </is>
      </c>
      <c r="N510" t="inlineStr">
        <is>
          <t>Desvio de cercamento pendente</t>
        </is>
      </c>
      <c r="O510" t="inlineStr">
        <is>
          <t>Tipo A</t>
        </is>
      </c>
      <c r="P510" t="inlineStr">
        <is>
          <t xml:space="preserve"> 69+060</t>
        </is>
      </c>
      <c r="Q510" t="inlineStr">
        <is>
          <t xml:space="preserve"> 69+060</t>
        </is>
      </c>
      <c r="R510" t="inlineStr">
        <is>
          <t>Aberta</t>
        </is>
      </c>
      <c r="T510" t="inlineStr">
        <is>
          <t>Aline Batista</t>
        </is>
      </c>
      <c r="U510" t="inlineStr">
        <is>
          <t>24/04/2026</t>
        </is>
      </c>
      <c r="V510" t="inlineStr">
        <is>
          <t>01/05/2026</t>
        </is>
      </c>
      <c r="W510">
        <v>40</v>
      </c>
      <c r="AA510" t="inlineStr">
        <is>
          <t>Aberta 30-60 dias</t>
        </is>
      </c>
    </row>
    <row r="511">
      <c r="A511">
        <v>509</v>
      </c>
      <c r="B511">
        <v>2</v>
      </c>
      <c r="C511" t="inlineStr">
        <is>
          <t>1.6</t>
        </is>
      </c>
      <c r="D511" t="inlineStr">
        <is>
          <t>A05</t>
        </is>
      </c>
      <c r="E511" t="inlineStr">
        <is>
          <t>LE/LD</t>
        </is>
      </c>
      <c r="F511" t="inlineStr">
        <is>
          <t>ATERPA</t>
        </is>
      </c>
      <c r="G511" t="inlineStr">
        <is>
          <t>CLP-012</t>
        </is>
      </c>
      <c r="H511" t="inlineStr">
        <is>
          <t>Protocolo</t>
        </is>
      </c>
      <c r="I511">
        <v>1</v>
      </c>
      <c r="J511" t="inlineStr">
        <is>
          <t>Obras Complementares</t>
        </is>
      </c>
      <c r="K511" t="inlineStr">
        <is>
          <t>1.8</t>
        </is>
      </c>
      <c r="L511" t="inlineStr">
        <is>
          <t>Cerca</t>
        </is>
      </c>
      <c r="M511" t="inlineStr">
        <is>
          <t>Cercamento pendente</t>
        </is>
      </c>
      <c r="N511" t="inlineStr">
        <is>
          <t>Cercamento de acesso pendente</t>
        </is>
      </c>
      <c r="O511" t="inlineStr">
        <is>
          <t>Tipo A</t>
        </is>
      </c>
      <c r="P511" t="inlineStr">
        <is>
          <t xml:space="preserve"> 59+180</t>
        </is>
      </c>
      <c r="Q511" t="inlineStr">
        <is>
          <t xml:space="preserve"> 59+180</t>
        </is>
      </c>
      <c r="R511" t="inlineStr">
        <is>
          <t>Aberta</t>
        </is>
      </c>
      <c r="T511" t="inlineStr">
        <is>
          <t>Aline Batista</t>
        </is>
      </c>
      <c r="U511" t="inlineStr">
        <is>
          <t>24/04/2026</t>
        </is>
      </c>
      <c r="V511" t="inlineStr">
        <is>
          <t>01/05/2026</t>
        </is>
      </c>
      <c r="W511">
        <v>40</v>
      </c>
      <c r="AA511" t="inlineStr">
        <is>
          <t>Aberta 30-60 dias</t>
        </is>
      </c>
    </row>
    <row r="512">
      <c r="A512">
        <v>510</v>
      </c>
      <c r="B512">
        <v>2</v>
      </c>
      <c r="C512" t="inlineStr">
        <is>
          <t>1.6</t>
        </is>
      </c>
      <c r="D512" t="inlineStr">
        <is>
          <t>A06</t>
        </is>
      </c>
      <c r="E512" t="inlineStr">
        <is>
          <t>LE/LD</t>
        </is>
      </c>
      <c r="F512" t="inlineStr">
        <is>
          <t>ATERPA</t>
        </is>
      </c>
      <c r="G512" t="inlineStr">
        <is>
          <t>CLP-012</t>
        </is>
      </c>
      <c r="H512" t="inlineStr">
        <is>
          <t>Protocolo</t>
        </is>
      </c>
      <c r="I512">
        <v>1</v>
      </c>
      <c r="J512" t="inlineStr">
        <is>
          <t>Obras Complementares</t>
        </is>
      </c>
      <c r="K512" t="inlineStr">
        <is>
          <t>1.8</t>
        </is>
      </c>
      <c r="L512" t="inlineStr">
        <is>
          <t>Cerca</t>
        </is>
      </c>
      <c r="M512" t="inlineStr">
        <is>
          <t>Cercamento pendente</t>
        </is>
      </c>
      <c r="N512" t="inlineStr">
        <is>
          <t>Cercamento de acesso pendente</t>
        </is>
      </c>
      <c r="O512" t="inlineStr">
        <is>
          <t>Tipo A</t>
        </is>
      </c>
      <c r="P512" t="inlineStr">
        <is>
          <t xml:space="preserve"> 61+472</t>
        </is>
      </c>
      <c r="Q512" t="inlineStr">
        <is>
          <t xml:space="preserve"> 61+472</t>
        </is>
      </c>
      <c r="R512" t="inlineStr">
        <is>
          <t>Aberta</t>
        </is>
      </c>
      <c r="T512" t="inlineStr">
        <is>
          <t>Aline Batista</t>
        </is>
      </c>
      <c r="U512" t="inlineStr">
        <is>
          <t>24/04/2026</t>
        </is>
      </c>
      <c r="V512" t="inlineStr">
        <is>
          <t>01/05/2026</t>
        </is>
      </c>
      <c r="W512">
        <v>40</v>
      </c>
      <c r="AA512" t="inlineStr">
        <is>
          <t>Aberta 30-60 dias</t>
        </is>
      </c>
    </row>
    <row r="513">
      <c r="A513">
        <v>511</v>
      </c>
      <c r="B513">
        <v>2</v>
      </c>
      <c r="C513" t="inlineStr">
        <is>
          <t>1.6</t>
        </is>
      </c>
      <c r="D513" t="inlineStr">
        <is>
          <t>C07</t>
        </is>
      </c>
      <c r="E513" t="inlineStr">
        <is>
          <t>LE/LD</t>
        </is>
      </c>
      <c r="F513" t="inlineStr">
        <is>
          <t>ATERPA</t>
        </is>
      </c>
      <c r="G513" t="inlineStr">
        <is>
          <t>CLP-012</t>
        </is>
      </c>
      <c r="H513" t="inlineStr">
        <is>
          <t>Protocolo</t>
        </is>
      </c>
      <c r="I513">
        <v>1</v>
      </c>
      <c r="J513" t="inlineStr">
        <is>
          <t>Obras Complementares</t>
        </is>
      </c>
      <c r="K513" t="inlineStr">
        <is>
          <t>1.8</t>
        </is>
      </c>
      <c r="L513" t="inlineStr">
        <is>
          <t>Cerca</t>
        </is>
      </c>
      <c r="M513" t="inlineStr">
        <is>
          <t>Cercamento danificado</t>
        </is>
      </c>
      <c r="N513" t="inlineStr">
        <is>
          <t>Cercamento danificado</t>
        </is>
      </c>
      <c r="O513" t="inlineStr">
        <is>
          <t>Tipo A</t>
        </is>
      </c>
      <c r="P513" t="inlineStr">
        <is>
          <t xml:space="preserve"> 62+500</t>
        </is>
      </c>
      <c r="Q513" t="inlineStr">
        <is>
          <t xml:space="preserve"> 62+500</t>
        </is>
      </c>
      <c r="R513" t="inlineStr">
        <is>
          <t>Aberta</t>
        </is>
      </c>
      <c r="T513" t="inlineStr">
        <is>
          <t>Aline Batista</t>
        </is>
      </c>
      <c r="U513" t="inlineStr">
        <is>
          <t>24/04/2026</t>
        </is>
      </c>
      <c r="V513" t="inlineStr">
        <is>
          <t>01/05/2026</t>
        </is>
      </c>
      <c r="W513">
        <v>40</v>
      </c>
      <c r="AA513" t="inlineStr">
        <is>
          <t>Aberta 30-60 dias</t>
        </is>
      </c>
    </row>
    <row r="514">
      <c r="A514">
        <v>512</v>
      </c>
      <c r="B514">
        <v>2</v>
      </c>
      <c r="C514" t="inlineStr">
        <is>
          <t>1.6</t>
        </is>
      </c>
      <c r="D514" t="inlineStr">
        <is>
          <t>A08</t>
        </is>
      </c>
      <c r="E514" t="inlineStr">
        <is>
          <t>LE/LD</t>
        </is>
      </c>
      <c r="F514" t="inlineStr">
        <is>
          <t>ATERPA</t>
        </is>
      </c>
      <c r="G514" t="inlineStr">
        <is>
          <t>CLP-012</t>
        </is>
      </c>
      <c r="H514" t="inlineStr">
        <is>
          <t>Protocolo</t>
        </is>
      </c>
      <c r="I514">
        <v>1</v>
      </c>
      <c r="J514" t="inlineStr">
        <is>
          <t>Obras Complementares</t>
        </is>
      </c>
      <c r="K514" t="inlineStr">
        <is>
          <t>1.8</t>
        </is>
      </c>
      <c r="L514" t="inlineStr">
        <is>
          <t>Cerca</t>
        </is>
      </c>
      <c r="M514" t="inlineStr">
        <is>
          <t>Cercamento pendente</t>
        </is>
      </c>
      <c r="N514" t="inlineStr">
        <is>
          <t>Falta cercamento e TSS</t>
        </is>
      </c>
      <c r="O514" t="inlineStr">
        <is>
          <t>Tipo A</t>
        </is>
      </c>
      <c r="P514" t="inlineStr">
        <is>
          <t xml:space="preserve"> 65+180</t>
        </is>
      </c>
      <c r="Q514" t="inlineStr">
        <is>
          <t xml:space="preserve"> 65+180</t>
        </is>
      </c>
      <c r="R514" t="inlineStr">
        <is>
          <t>Aberta</t>
        </is>
      </c>
      <c r="T514" t="inlineStr">
        <is>
          <t>Aline Batista</t>
        </is>
      </c>
      <c r="U514" t="inlineStr">
        <is>
          <t>24/04/2026</t>
        </is>
      </c>
      <c r="V514" t="inlineStr">
        <is>
          <t>01/05/2026</t>
        </is>
      </c>
      <c r="W514">
        <v>40</v>
      </c>
      <c r="AA514" t="inlineStr">
        <is>
          <t>Aberta 30-60 dias</t>
        </is>
      </c>
      <c r="AB514" t="inlineStr">
        <is>
          <t>GSA</t>
        </is>
      </c>
    </row>
    <row r="515">
      <c r="A515">
        <v>513</v>
      </c>
      <c r="B515">
        <v>2</v>
      </c>
      <c r="C515" t="inlineStr">
        <is>
          <t>1.6</t>
        </is>
      </c>
      <c r="D515" t="inlineStr">
        <is>
          <t>A09</t>
        </is>
      </c>
      <c r="E515" t="inlineStr">
        <is>
          <t>LE/LD</t>
        </is>
      </c>
      <c r="F515" t="inlineStr">
        <is>
          <t>ATERPA</t>
        </is>
      </c>
      <c r="G515" t="inlineStr">
        <is>
          <t>CLP-012</t>
        </is>
      </c>
      <c r="H515" t="inlineStr">
        <is>
          <t>Protocolo</t>
        </is>
      </c>
      <c r="I515">
        <v>1</v>
      </c>
      <c r="J515" t="inlineStr">
        <is>
          <t>Obras Complementares</t>
        </is>
      </c>
      <c r="K515" t="inlineStr">
        <is>
          <t>1.8</t>
        </is>
      </c>
      <c r="L515" t="inlineStr">
        <is>
          <t>Cerca</t>
        </is>
      </c>
      <c r="M515" t="inlineStr">
        <is>
          <t>Cercamento pendente</t>
        </is>
      </c>
      <c r="N515" t="inlineStr">
        <is>
          <t>Falta cerca e acessos</t>
        </is>
      </c>
      <c r="O515" t="inlineStr">
        <is>
          <t>Tipo A</t>
        </is>
      </c>
      <c r="P515" t="inlineStr">
        <is>
          <t>67+186</t>
        </is>
      </c>
      <c r="Q515" t="inlineStr">
        <is>
          <t>67+186</t>
        </is>
      </c>
      <c r="R515" t="inlineStr">
        <is>
          <t>Aberta</t>
        </is>
      </c>
      <c r="T515" t="inlineStr">
        <is>
          <t>Aline Batista</t>
        </is>
      </c>
      <c r="U515" t="inlineStr">
        <is>
          <t>24/04/2026</t>
        </is>
      </c>
      <c r="V515" t="inlineStr">
        <is>
          <t>01/05/2026</t>
        </is>
      </c>
      <c r="W515">
        <v>40</v>
      </c>
      <c r="AA515" t="inlineStr">
        <is>
          <t>Aberta 30-60 dias</t>
        </is>
      </c>
      <c r="AB515" t="inlineStr">
        <is>
          <t>GSA</t>
        </is>
      </c>
    </row>
    <row r="516">
      <c r="A516">
        <v>514</v>
      </c>
      <c r="B516">
        <v>2</v>
      </c>
      <c r="C516" t="inlineStr">
        <is>
          <t>1.6</t>
        </is>
      </c>
      <c r="D516" t="inlineStr">
        <is>
          <t>C02</t>
        </is>
      </c>
      <c r="E516" t="inlineStr">
        <is>
          <t>LD</t>
        </is>
      </c>
      <c r="F516" t="inlineStr">
        <is>
          <t>ATERPA</t>
        </is>
      </c>
      <c r="G516" t="inlineStr">
        <is>
          <t>CLP-012</t>
        </is>
      </c>
      <c r="H516" t="inlineStr">
        <is>
          <t>Protocolo</t>
        </is>
      </c>
      <c r="I516">
        <v>1</v>
      </c>
      <c r="J516" t="inlineStr">
        <is>
          <t>Obras Complementares</t>
        </is>
      </c>
      <c r="K516" t="inlineStr">
        <is>
          <t>1.8</t>
        </is>
      </c>
      <c r="L516" t="inlineStr">
        <is>
          <t>Cerca</t>
        </is>
      </c>
      <c r="M516" t="inlineStr">
        <is>
          <t>Cercamento pendente</t>
        </is>
      </c>
      <c r="N516" t="inlineStr">
        <is>
          <t>Sem cerca; Acesso com ravinamento</t>
        </is>
      </c>
      <c r="O516" t="inlineStr">
        <is>
          <t>Tipo A</t>
        </is>
      </c>
      <c r="P516" t="inlineStr">
        <is>
          <t xml:space="preserve"> 55+710</t>
        </is>
      </c>
      <c r="Q516" t="inlineStr">
        <is>
          <t xml:space="preserve"> 55+710</t>
        </is>
      </c>
      <c r="R516" t="inlineStr">
        <is>
          <t>Aberta</t>
        </is>
      </c>
      <c r="T516" t="inlineStr">
        <is>
          <t>Aline Batista</t>
        </is>
      </c>
      <c r="U516" t="inlineStr">
        <is>
          <t>24/04/2026</t>
        </is>
      </c>
      <c r="V516" t="inlineStr">
        <is>
          <t>01/05/2026</t>
        </is>
      </c>
      <c r="W516">
        <v>40</v>
      </c>
      <c r="AA516" t="inlineStr">
        <is>
          <t>Aberta 30-60 dias</t>
        </is>
      </c>
      <c r="AB516" t="inlineStr">
        <is>
          <t>GSA</t>
        </is>
      </c>
    </row>
    <row r="517">
      <c r="A517">
        <v>515</v>
      </c>
      <c r="B517">
        <v>2</v>
      </c>
      <c r="C517" t="inlineStr">
        <is>
          <t>1.6</t>
        </is>
      </c>
      <c r="D517" t="inlineStr">
        <is>
          <t>A07</t>
        </is>
      </c>
      <c r="E517" t="inlineStr">
        <is>
          <t>LD</t>
        </is>
      </c>
      <c r="F517" t="inlineStr">
        <is>
          <t>ATERPA</t>
        </is>
      </c>
      <c r="G517" t="inlineStr">
        <is>
          <t>CLP-012</t>
        </is>
      </c>
      <c r="H517" t="inlineStr">
        <is>
          <t>Protocolo</t>
        </is>
      </c>
      <c r="I517">
        <v>1</v>
      </c>
      <c r="J517" t="inlineStr">
        <is>
          <t>Obras Complementares</t>
        </is>
      </c>
      <c r="K517" t="inlineStr">
        <is>
          <t>1.24</t>
        </is>
      </c>
      <c r="L517" t="inlineStr">
        <is>
          <t>Defensas Metálicas</t>
        </is>
      </c>
      <c r="M517" t="inlineStr">
        <is>
          <t>Dispositivo não executado</t>
        </is>
      </c>
      <c r="N517" t="inlineStr">
        <is>
          <t>Ausência de parafuso em defensa metálica.</t>
        </is>
      </c>
      <c r="O517" t="inlineStr">
        <is>
          <t>Tipo A</t>
        </is>
      </c>
      <c r="P517" t="inlineStr">
        <is>
          <t>63+450</t>
        </is>
      </c>
      <c r="Q517" t="inlineStr">
        <is>
          <t>63+450</t>
        </is>
      </c>
      <c r="R517" t="inlineStr">
        <is>
          <t>Aberta</t>
        </is>
      </c>
      <c r="T517" t="inlineStr">
        <is>
          <t>Aline Batista</t>
        </is>
      </c>
      <c r="U517" t="inlineStr">
        <is>
          <t>24/04/2026</t>
        </is>
      </c>
      <c r="V517" t="inlineStr">
        <is>
          <t>01/05/2026</t>
        </is>
      </c>
      <c r="W517">
        <v>40</v>
      </c>
      <c r="AA517" t="inlineStr">
        <is>
          <t>Aberta 30-60 dias</t>
        </is>
      </c>
    </row>
    <row r="518">
      <c r="A518">
        <v>516</v>
      </c>
      <c r="B518">
        <v>2</v>
      </c>
      <c r="C518" t="inlineStr">
        <is>
          <t>1.6</t>
        </is>
      </c>
      <c r="D518" t="inlineStr">
        <is>
          <t>A07</t>
        </is>
      </c>
      <c r="F518" t="inlineStr">
        <is>
          <t>ATERPA</t>
        </is>
      </c>
      <c r="G518" t="inlineStr">
        <is>
          <t>CLP-012</t>
        </is>
      </c>
      <c r="H518" t="inlineStr">
        <is>
          <t>Protocolo</t>
        </is>
      </c>
      <c r="I518">
        <v>1</v>
      </c>
      <c r="J518" t="inlineStr">
        <is>
          <t>Obras Complementares</t>
        </is>
      </c>
      <c r="K518" t="inlineStr">
        <is>
          <t>1.24</t>
        </is>
      </c>
      <c r="L518" t="inlineStr">
        <is>
          <t>Defensas Metálicas</t>
        </is>
      </c>
      <c r="M518" t="inlineStr">
        <is>
          <t>Aterramento</t>
        </is>
      </c>
      <c r="N518" t="inlineStr">
        <is>
          <t>Aterramento da defensa metálica</t>
        </is>
      </c>
      <c r="O518" t="inlineStr">
        <is>
          <t>Tipo A</t>
        </is>
      </c>
      <c r="P518" t="inlineStr">
        <is>
          <t>63+450</t>
        </is>
      </c>
      <c r="Q518" t="inlineStr">
        <is>
          <t>63+450</t>
        </is>
      </c>
      <c r="R518" t="inlineStr">
        <is>
          <t>Aberta</t>
        </is>
      </c>
      <c r="T518" t="inlineStr">
        <is>
          <t>Aline Batista</t>
        </is>
      </c>
      <c r="U518" t="inlineStr">
        <is>
          <t>24/04/2026</t>
        </is>
      </c>
      <c r="V518" t="inlineStr">
        <is>
          <t>01/05/2026</t>
        </is>
      </c>
      <c r="W518">
        <v>40</v>
      </c>
      <c r="AA518" t="inlineStr">
        <is>
          <t>Aberta 30-60 dias</t>
        </is>
      </c>
    </row>
    <row r="519">
      <c r="A519">
        <v>517</v>
      </c>
      <c r="B519">
        <v>2</v>
      </c>
      <c r="C519" t="inlineStr">
        <is>
          <t>1.6</t>
        </is>
      </c>
      <c r="D519" t="inlineStr">
        <is>
          <t>A07</t>
        </is>
      </c>
      <c r="F519" t="inlineStr">
        <is>
          <t>ATERPA</t>
        </is>
      </c>
      <c r="G519" t="inlineStr">
        <is>
          <t>CLP-012</t>
        </is>
      </c>
      <c r="H519" t="inlineStr">
        <is>
          <t>Protocolo</t>
        </is>
      </c>
      <c r="I519">
        <v>1</v>
      </c>
      <c r="J519" t="inlineStr">
        <is>
          <t>Obras Complementares</t>
        </is>
      </c>
      <c r="K519" t="inlineStr">
        <is>
          <t xml:space="preserve">1.20
</t>
        </is>
      </c>
      <c r="L519" t="inlineStr">
        <is>
          <t>Defensas Metálicas</t>
        </is>
      </c>
      <c r="M519" t="inlineStr">
        <is>
          <t>Documental</t>
        </is>
      </c>
      <c r="N519" t="inlineStr">
        <is>
          <t>Não apresentado a documentação</t>
        </is>
      </c>
      <c r="O519" t="inlineStr">
        <is>
          <t>Tipo B</t>
        </is>
      </c>
      <c r="P519" t="inlineStr">
        <is>
          <t>63+450</t>
        </is>
      </c>
      <c r="Q519" t="inlineStr">
        <is>
          <t>63+450</t>
        </is>
      </c>
      <c r="R519" t="inlineStr">
        <is>
          <t>Aberta</t>
        </is>
      </c>
      <c r="T519" t="inlineStr">
        <is>
          <t>Aline Batista</t>
        </is>
      </c>
      <c r="U519" t="inlineStr">
        <is>
          <t>24/04/2026</t>
        </is>
      </c>
      <c r="V519" t="inlineStr">
        <is>
          <t>09/05/2026</t>
        </is>
      </c>
      <c r="W519">
        <v>32</v>
      </c>
      <c r="AA519" t="inlineStr">
        <is>
          <t>Aberta 30-60 dias</t>
        </is>
      </c>
    </row>
    <row r="520">
      <c r="A520">
        <v>518</v>
      </c>
      <c r="B520">
        <v>2</v>
      </c>
      <c r="C520" t="inlineStr">
        <is>
          <t>1.6</t>
        </is>
      </c>
      <c r="D520" t="inlineStr">
        <is>
          <t>A07</t>
        </is>
      </c>
      <c r="F520" t="inlineStr">
        <is>
          <t>ATERPA</t>
        </is>
      </c>
      <c r="G520" t="inlineStr">
        <is>
          <t>CLP-012</t>
        </is>
      </c>
      <c r="H520" t="inlineStr">
        <is>
          <t>Protocolo</t>
        </is>
      </c>
      <c r="I520">
        <v>1</v>
      </c>
      <c r="J520" t="inlineStr">
        <is>
          <t>Obras Complementares</t>
        </is>
      </c>
      <c r="K520" t="inlineStr">
        <is>
          <t xml:space="preserve">1.21
</t>
        </is>
      </c>
      <c r="L520" t="inlineStr">
        <is>
          <t>Defensas Metálicas</t>
        </is>
      </c>
      <c r="M520" t="inlineStr">
        <is>
          <t>Documental</t>
        </is>
      </c>
      <c r="N520" t="inlineStr">
        <is>
          <t>Não apresentado a documentação</t>
        </is>
      </c>
      <c r="O520" t="inlineStr">
        <is>
          <t>Tipo B</t>
        </is>
      </c>
      <c r="P520" t="inlineStr">
        <is>
          <t>63+450</t>
        </is>
      </c>
      <c r="Q520" t="inlineStr">
        <is>
          <t>63+450</t>
        </is>
      </c>
      <c r="R520" t="inlineStr">
        <is>
          <t>Aberta</t>
        </is>
      </c>
      <c r="T520" t="inlineStr">
        <is>
          <t>Aline Batista</t>
        </is>
      </c>
      <c r="U520" t="inlineStr">
        <is>
          <t>24/04/2026</t>
        </is>
      </c>
      <c r="V520" t="inlineStr">
        <is>
          <t>09/05/2026</t>
        </is>
      </c>
      <c r="W520">
        <v>32</v>
      </c>
      <c r="AA520" t="inlineStr">
        <is>
          <t>Aberta 30-60 dias</t>
        </is>
      </c>
    </row>
    <row r="521">
      <c r="A521">
        <v>519</v>
      </c>
      <c r="B521">
        <v>2</v>
      </c>
      <c r="C521" t="inlineStr">
        <is>
          <t>1.6</t>
        </is>
      </c>
      <c r="D521" t="inlineStr">
        <is>
          <t>A07</t>
        </is>
      </c>
      <c r="F521" t="inlineStr">
        <is>
          <t>ATERPA</t>
        </is>
      </c>
      <c r="G521" t="inlineStr">
        <is>
          <t>CLP-012</t>
        </is>
      </c>
      <c r="H521" t="inlineStr">
        <is>
          <t>Protocolo</t>
        </is>
      </c>
      <c r="I521">
        <v>1</v>
      </c>
      <c r="J521" t="inlineStr">
        <is>
          <t>Obras Complementares</t>
        </is>
      </c>
      <c r="K521" t="inlineStr">
        <is>
          <t>1.22</t>
        </is>
      </c>
      <c r="L521" t="inlineStr">
        <is>
          <t>Defensas Metálicas</t>
        </is>
      </c>
      <c r="M521" t="inlineStr">
        <is>
          <t>Documental</t>
        </is>
      </c>
      <c r="N521" t="inlineStr">
        <is>
          <t>Não apresentado a documentação</t>
        </is>
      </c>
      <c r="O521" t="inlineStr">
        <is>
          <t>Tipo B</t>
        </is>
      </c>
      <c r="P521" t="inlineStr">
        <is>
          <t>63+450</t>
        </is>
      </c>
      <c r="Q521" t="inlineStr">
        <is>
          <t>63+450</t>
        </is>
      </c>
      <c r="R521" t="inlineStr">
        <is>
          <t>Aberta</t>
        </is>
      </c>
      <c r="T521" t="inlineStr">
        <is>
          <t>Aline Batista</t>
        </is>
      </c>
      <c r="U521" t="inlineStr">
        <is>
          <t>24/04/2026</t>
        </is>
      </c>
      <c r="V521" t="inlineStr">
        <is>
          <t>09/05/2026</t>
        </is>
      </c>
      <c r="W521">
        <v>32</v>
      </c>
      <c r="AA521" t="inlineStr">
        <is>
          <t>Aberta 30-60 dias</t>
        </is>
      </c>
    </row>
    <row r="522">
      <c r="A522">
        <v>520</v>
      </c>
      <c r="B522">
        <v>2</v>
      </c>
      <c r="C522" t="inlineStr">
        <is>
          <t>1.6</t>
        </is>
      </c>
      <c r="D522" t="inlineStr">
        <is>
          <t>A07</t>
        </is>
      </c>
      <c r="F522" t="inlineStr">
        <is>
          <t>ATERPA</t>
        </is>
      </c>
      <c r="G522" t="inlineStr">
        <is>
          <t>CLP-012</t>
        </is>
      </c>
      <c r="H522" t="inlineStr">
        <is>
          <t>Protocolo</t>
        </is>
      </c>
      <c r="I522">
        <v>1</v>
      </c>
      <c r="J522" t="inlineStr">
        <is>
          <t>Obras Complementares</t>
        </is>
      </c>
      <c r="K522" t="inlineStr">
        <is>
          <t>1.23</t>
        </is>
      </c>
      <c r="L522" t="inlineStr">
        <is>
          <t>Defensas Metálicas</t>
        </is>
      </c>
      <c r="M522" t="inlineStr">
        <is>
          <t>Documental</t>
        </is>
      </c>
      <c r="N522" t="inlineStr">
        <is>
          <t>Não apresentado a documentação</t>
        </is>
      </c>
      <c r="O522" t="inlineStr">
        <is>
          <t>Tipo B</t>
        </is>
      </c>
      <c r="P522" t="inlineStr">
        <is>
          <t>63+450</t>
        </is>
      </c>
      <c r="Q522" t="inlineStr">
        <is>
          <t>63+450</t>
        </is>
      </c>
      <c r="R522" t="inlineStr">
        <is>
          <t>Aberta</t>
        </is>
      </c>
      <c r="T522" t="inlineStr">
        <is>
          <t>Aline Batista</t>
        </is>
      </c>
      <c r="U522" t="inlineStr">
        <is>
          <t>24/04/2026</t>
        </is>
      </c>
      <c r="V522" t="inlineStr">
        <is>
          <t>09/05/2026</t>
        </is>
      </c>
      <c r="W522">
        <v>32</v>
      </c>
      <c r="AA522" t="inlineStr">
        <is>
          <t>Aberta 30-60 dias</t>
        </is>
      </c>
    </row>
    <row r="523">
      <c r="A523">
        <v>521</v>
      </c>
      <c r="B523">
        <v>2</v>
      </c>
      <c r="C523" t="inlineStr">
        <is>
          <t>1.6</t>
        </is>
      </c>
      <c r="D523" t="inlineStr">
        <is>
          <t>A07</t>
        </is>
      </c>
      <c r="F523" t="inlineStr">
        <is>
          <t>ATERPA</t>
        </is>
      </c>
      <c r="G523" t="inlineStr">
        <is>
          <t>CLP-012</t>
        </is>
      </c>
      <c r="H523" t="inlineStr">
        <is>
          <t>Protocolo</t>
        </is>
      </c>
      <c r="I523">
        <v>1</v>
      </c>
      <c r="J523" t="inlineStr">
        <is>
          <t>Obras Complementares</t>
        </is>
      </c>
      <c r="K523" t="inlineStr">
        <is>
          <t>1.24</t>
        </is>
      </c>
      <c r="L523" t="inlineStr">
        <is>
          <t>Defensas Metálicas</t>
        </is>
      </c>
      <c r="M523" t="inlineStr">
        <is>
          <t>Documental</t>
        </is>
      </c>
      <c r="N523" t="inlineStr">
        <is>
          <t>Não apresentado a documentação</t>
        </is>
      </c>
      <c r="O523" t="inlineStr">
        <is>
          <t>Tipo B</t>
        </is>
      </c>
      <c r="P523" t="inlineStr">
        <is>
          <t>63+450</t>
        </is>
      </c>
      <c r="Q523" t="inlineStr">
        <is>
          <t>63+450</t>
        </is>
      </c>
      <c r="R523" t="inlineStr">
        <is>
          <t>Aberta</t>
        </is>
      </c>
      <c r="T523" t="inlineStr">
        <is>
          <t>Aline Batista</t>
        </is>
      </c>
      <c r="U523" t="inlineStr">
        <is>
          <t>24/04/2026</t>
        </is>
      </c>
      <c r="V523" t="inlineStr">
        <is>
          <t>09/05/2026</t>
        </is>
      </c>
      <c r="W523">
        <v>32</v>
      </c>
      <c r="AA523" t="inlineStr">
        <is>
          <t>Aberta 30-60 dias</t>
        </is>
      </c>
    </row>
    <row r="524">
      <c r="A524">
        <v>522</v>
      </c>
      <c r="B524">
        <v>2</v>
      </c>
      <c r="C524" t="inlineStr">
        <is>
          <t>1.6</t>
        </is>
      </c>
      <c r="D524" t="inlineStr">
        <is>
          <t>A07</t>
        </is>
      </c>
      <c r="F524" t="inlineStr">
        <is>
          <t>ATERPA</t>
        </is>
      </c>
      <c r="G524" t="inlineStr">
        <is>
          <t>CLP-012</t>
        </is>
      </c>
      <c r="H524" t="inlineStr">
        <is>
          <t>Protocolo</t>
        </is>
      </c>
      <c r="I524">
        <v>1</v>
      </c>
      <c r="J524" t="inlineStr">
        <is>
          <t>Obras Complementares</t>
        </is>
      </c>
      <c r="K524" t="inlineStr">
        <is>
          <t>outros</t>
        </is>
      </c>
      <c r="L524" t="inlineStr">
        <is>
          <t>PAF</t>
        </is>
      </c>
      <c r="M524" t="inlineStr">
        <is>
          <t>Dispositivo não executado</t>
        </is>
      </c>
      <c r="N524" t="inlineStr">
        <is>
          <t>Não executado PAF</t>
        </is>
      </c>
      <c r="O524" t="inlineStr">
        <is>
          <t>Tipo A</t>
        </is>
      </c>
      <c r="P524" t="inlineStr">
        <is>
          <t>63+450</t>
        </is>
      </c>
      <c r="Q524" t="inlineStr">
        <is>
          <t>65+480</t>
        </is>
      </c>
      <c r="R524" t="inlineStr">
        <is>
          <t>Aberta</t>
        </is>
      </c>
      <c r="T524" t="inlineStr">
        <is>
          <t>Aline Batista</t>
        </is>
      </c>
      <c r="U524" t="inlineStr">
        <is>
          <t>24/04/2026</t>
        </is>
      </c>
      <c r="V524" t="inlineStr">
        <is>
          <t>01/05/2026</t>
        </is>
      </c>
      <c r="W524">
        <v>40</v>
      </c>
      <c r="AA524" t="inlineStr">
        <is>
          <t>Aberta 30-60 dias</t>
        </is>
      </c>
    </row>
    <row r="525">
      <c r="A525">
        <v>523</v>
      </c>
      <c r="B525">
        <v>2</v>
      </c>
      <c r="C525" t="inlineStr">
        <is>
          <t>1.6</t>
        </is>
      </c>
      <c r="D525" t="inlineStr">
        <is>
          <t>C01/A01/C02/A02/C03/A03/C04/A04/C05/A05/C06/A06/C07/A07/C08/A08/C09/A09/C10/A10/C12/A12/A13</t>
        </is>
      </c>
      <c r="F525" t="inlineStr">
        <is>
          <t>ATERPA</t>
        </is>
      </c>
      <c r="G525" t="inlineStr">
        <is>
          <t>CLP-012</t>
        </is>
      </c>
      <c r="H525" t="inlineStr">
        <is>
          <t>Protocolo</t>
        </is>
      </c>
      <c r="I525">
        <v>1</v>
      </c>
      <c r="J525" t="inlineStr">
        <is>
          <t>Obras Complementares</t>
        </is>
      </c>
      <c r="K525" t="inlineStr">
        <is>
          <t>1.6</t>
        </is>
      </c>
      <c r="L525" t="inlineStr">
        <is>
          <t>As Built</t>
        </is>
      </c>
      <c r="M525" t="inlineStr">
        <is>
          <t>Documental</t>
        </is>
      </c>
      <c r="N525" t="inlineStr">
        <is>
          <t>Não apresentado</t>
        </is>
      </c>
      <c r="O525" t="inlineStr">
        <is>
          <t>Tipo B</t>
        </is>
      </c>
      <c r="P525" t="inlineStr">
        <is>
          <t>55+050</t>
        </is>
      </c>
      <c r="Q525" t="inlineStr">
        <is>
          <t>71+150</t>
        </is>
      </c>
      <c r="R525" t="inlineStr">
        <is>
          <t>Aberta</t>
        </is>
      </c>
      <c r="T525" t="inlineStr">
        <is>
          <t>Aline Batista</t>
        </is>
      </c>
      <c r="U525" t="inlineStr">
        <is>
          <t>24/04/2026</t>
        </is>
      </c>
      <c r="V525" t="inlineStr">
        <is>
          <t>09/05/2026</t>
        </is>
      </c>
      <c r="W525">
        <v>32</v>
      </c>
      <c r="AA525" t="inlineStr">
        <is>
          <t>Aberta 30-60 dias</t>
        </is>
      </c>
    </row>
    <row r="526">
      <c r="A526">
        <v>524</v>
      </c>
      <c r="B526">
        <v>2</v>
      </c>
      <c r="C526" t="inlineStr">
        <is>
          <t>1.6</t>
        </is>
      </c>
      <c r="D526" t="inlineStr">
        <is>
          <t>C02</t>
        </is>
      </c>
      <c r="E526" t="inlineStr">
        <is>
          <t>LE/LD</t>
        </is>
      </c>
      <c r="F526" t="inlineStr">
        <is>
          <t>ATERPA</t>
        </is>
      </c>
      <c r="G526" t="inlineStr">
        <is>
          <t>CLP-012</t>
        </is>
      </c>
      <c r="H526" t="inlineStr">
        <is>
          <t>Protocolo</t>
        </is>
      </c>
      <c r="I526">
        <v>2</v>
      </c>
      <c r="J526" t="inlineStr">
        <is>
          <t>Bueiros</t>
        </is>
      </c>
      <c r="K526" t="inlineStr">
        <is>
          <t>2.10</t>
        </is>
      </c>
      <c r="L526" t="inlineStr">
        <is>
          <t>Bueiro</t>
        </is>
      </c>
      <c r="M526" t="inlineStr">
        <is>
          <t>Tratamento de junta</t>
        </is>
      </c>
      <c r="N526" t="inlineStr">
        <is>
          <t>Tratamento de juntas, armadura exposta.</t>
        </is>
      </c>
      <c r="O526" t="inlineStr">
        <is>
          <t>Tipo A</t>
        </is>
      </c>
      <c r="P526" t="inlineStr">
        <is>
          <t>48+080</t>
        </is>
      </c>
      <c r="Q526" t="inlineStr">
        <is>
          <t>48+080</t>
        </is>
      </c>
      <c r="R526" t="inlineStr">
        <is>
          <t>Aberta</t>
        </is>
      </c>
      <c r="T526" t="inlineStr">
        <is>
          <t>Aline Batista</t>
        </is>
      </c>
      <c r="U526" t="inlineStr">
        <is>
          <t>24/04/2026</t>
        </is>
      </c>
      <c r="V526" t="inlineStr">
        <is>
          <t>01/05/2026</t>
        </is>
      </c>
      <c r="W526">
        <v>40</v>
      </c>
      <c r="AA526" t="inlineStr">
        <is>
          <t>Aberta 30-60 dias</t>
        </is>
      </c>
    </row>
    <row r="527">
      <c r="A527">
        <v>525</v>
      </c>
      <c r="B527">
        <v>2</v>
      </c>
      <c r="C527" t="inlineStr">
        <is>
          <t>1.6</t>
        </is>
      </c>
      <c r="D527" t="inlineStr">
        <is>
          <t>A06</t>
        </is>
      </c>
      <c r="F527" t="inlineStr">
        <is>
          <t>ATERPA</t>
        </is>
      </c>
      <c r="G527" t="inlineStr">
        <is>
          <t>CLP-012</t>
        </is>
      </c>
      <c r="H527" t="inlineStr">
        <is>
          <t>Protocolo</t>
        </is>
      </c>
      <c r="I527">
        <v>2</v>
      </c>
      <c r="J527" t="inlineStr">
        <is>
          <t>Bueiros</t>
        </is>
      </c>
      <c r="K527" t="inlineStr">
        <is>
          <t>2.18</t>
        </is>
      </c>
      <c r="L527" t="inlineStr">
        <is>
          <t>RNCs</t>
        </is>
      </c>
      <c r="M527" t="inlineStr">
        <is>
          <t>Documental</t>
        </is>
      </c>
      <c r="N527" t="inlineStr">
        <is>
          <t>RNC-01423/26 - Durante os ensaios de compressão axial realizados em corpos de prova cilíndricos com idade de 28 dias, verificou-se que um sériee referentes à Transposição de segmento de sarjeta com laje - TSS-08 (Km 59+740) apresentaram resistência inferior ao valor mínimo exigido de 30,0 MPa. Os resultados obtidos estão anexos a este relatório (N° CP - 20278-C (03) - 28,7 MPa e 20278-C (04) 27,9MPa). Dessa forma, os ensaios não atendem ao disposto na NBR 12655:2022, item 6.2.4.</t>
        </is>
      </c>
      <c r="O527" t="inlineStr">
        <is>
          <t>Tipo B</t>
        </is>
      </c>
      <c r="P527" t="inlineStr">
        <is>
          <t>59+740</t>
        </is>
      </c>
      <c r="Q527" t="inlineStr">
        <is>
          <t>59+740</t>
        </is>
      </c>
      <c r="R527" t="inlineStr">
        <is>
          <t>Aberta</t>
        </is>
      </c>
      <c r="T527" t="inlineStr">
        <is>
          <t>Aline Batista</t>
        </is>
      </c>
      <c r="U527" t="inlineStr">
        <is>
          <t>24/04/2026</t>
        </is>
      </c>
      <c r="V527" t="inlineStr">
        <is>
          <t>09/05/2026</t>
        </is>
      </c>
      <c r="W527">
        <v>32</v>
      </c>
      <c r="AA527" t="inlineStr">
        <is>
          <t>Aberta 30-60 dias</t>
        </is>
      </c>
    </row>
    <row r="528">
      <c r="A528">
        <v>526</v>
      </c>
      <c r="B528">
        <v>2</v>
      </c>
      <c r="C528" t="inlineStr">
        <is>
          <t>1.6</t>
        </is>
      </c>
      <c r="D528" t="inlineStr">
        <is>
          <t>A06</t>
        </is>
      </c>
      <c r="E528" t="inlineStr">
        <is>
          <t>LE/LD</t>
        </is>
      </c>
      <c r="F528" t="inlineStr">
        <is>
          <t>ATERPA</t>
        </is>
      </c>
      <c r="G528" t="inlineStr">
        <is>
          <t>CLP-012</t>
        </is>
      </c>
      <c r="H528" t="inlineStr">
        <is>
          <t>Protocolo</t>
        </is>
      </c>
      <c r="I528">
        <v>2</v>
      </c>
      <c r="J528" t="inlineStr">
        <is>
          <t>Bueiros</t>
        </is>
      </c>
      <c r="K528" t="inlineStr">
        <is>
          <t>2.11</t>
        </is>
      </c>
      <c r="L528" t="inlineStr">
        <is>
          <t>(PG) Passagem de gado</t>
        </is>
      </c>
      <c r="M528" t="inlineStr">
        <is>
          <t>Dispositivo não executado</t>
        </is>
      </c>
      <c r="N528" t="inlineStr">
        <is>
          <t>Acesso a PG e conclusão da TSS</t>
        </is>
      </c>
      <c r="O528" t="inlineStr">
        <is>
          <t>Tipo A</t>
        </is>
      </c>
      <c r="P528" t="inlineStr">
        <is>
          <t xml:space="preserve"> 62+052</t>
        </is>
      </c>
      <c r="Q528" t="inlineStr">
        <is>
          <t xml:space="preserve"> 62+052</t>
        </is>
      </c>
      <c r="R528" t="inlineStr">
        <is>
          <t>Aberta</t>
        </is>
      </c>
      <c r="T528" t="inlineStr">
        <is>
          <t>Aline Batista</t>
        </is>
      </c>
      <c r="U528" t="inlineStr">
        <is>
          <t>24/04/2026</t>
        </is>
      </c>
      <c r="V528" t="inlineStr">
        <is>
          <t>01/05/2026</t>
        </is>
      </c>
      <c r="W528">
        <v>40</v>
      </c>
      <c r="AA528" t="inlineStr">
        <is>
          <t>Aberta 30-60 dias</t>
        </is>
      </c>
    </row>
    <row r="529">
      <c r="A529">
        <v>527</v>
      </c>
      <c r="B529">
        <v>2</v>
      </c>
      <c r="C529" t="inlineStr">
        <is>
          <t>1.6</t>
        </is>
      </c>
      <c r="D529" t="inlineStr">
        <is>
          <t>A12</t>
        </is>
      </c>
      <c r="E529" t="inlineStr">
        <is>
          <t>LE/LD</t>
        </is>
      </c>
      <c r="F529" t="inlineStr">
        <is>
          <t>ATERPA</t>
        </is>
      </c>
      <c r="G529" t="inlineStr">
        <is>
          <t>CLP-012</t>
        </is>
      </c>
      <c r="H529" t="inlineStr">
        <is>
          <t>Fiscalização</t>
        </is>
      </c>
      <c r="I529">
        <v>2</v>
      </c>
      <c r="J529" t="inlineStr">
        <is>
          <t>Bueiros</t>
        </is>
      </c>
      <c r="K529" t="inlineStr">
        <is>
          <t>2.11</t>
        </is>
      </c>
      <c r="L529" t="inlineStr">
        <is>
          <t>(PG) Passagem de gado</t>
        </is>
      </c>
      <c r="M529" t="inlineStr">
        <is>
          <t>Dispositivo não executado</t>
        </is>
      </c>
      <c r="N529" t="inlineStr">
        <is>
          <t>Falta concluir as TSS</t>
        </is>
      </c>
      <c r="O529" t="inlineStr">
        <is>
          <t>Tipo A</t>
        </is>
      </c>
      <c r="P529" t="inlineStr">
        <is>
          <t xml:space="preserve">70+573 </t>
        </is>
      </c>
      <c r="Q529" t="inlineStr">
        <is>
          <t xml:space="preserve">70+573 </t>
        </is>
      </c>
      <c r="R529" t="inlineStr">
        <is>
          <t>Aberta</t>
        </is>
      </c>
      <c r="T529" t="inlineStr">
        <is>
          <t>Aline Batista</t>
        </is>
      </c>
      <c r="U529" t="inlineStr">
        <is>
          <t>24/04/2026</t>
        </is>
      </c>
      <c r="V529" t="inlineStr">
        <is>
          <t>01/05/2026</t>
        </is>
      </c>
      <c r="W529">
        <v>40</v>
      </c>
      <c r="AA529" t="inlineStr">
        <is>
          <t>Aberta 30-60 dias</t>
        </is>
      </c>
    </row>
    <row r="530">
      <c r="A530">
        <v>528</v>
      </c>
      <c r="B530">
        <v>2</v>
      </c>
      <c r="C530" t="inlineStr">
        <is>
          <t>1.6</t>
        </is>
      </c>
      <c r="D530" t="inlineStr">
        <is>
          <t>C04</t>
        </is>
      </c>
      <c r="E530" t="inlineStr">
        <is>
          <t>LE/LD</t>
        </is>
      </c>
      <c r="F530" t="inlineStr">
        <is>
          <t>ATERPA</t>
        </is>
      </c>
      <c r="G530" t="inlineStr">
        <is>
          <t>CLP-012</t>
        </is>
      </c>
      <c r="H530" t="inlineStr">
        <is>
          <t>Protocolo</t>
        </is>
      </c>
      <c r="I530">
        <v>2</v>
      </c>
      <c r="J530" t="inlineStr">
        <is>
          <t>Bueiros</t>
        </is>
      </c>
      <c r="K530" t="inlineStr">
        <is>
          <t>2.11</t>
        </is>
      </c>
      <c r="L530" t="inlineStr">
        <is>
          <t>(PG) Passagem de gado</t>
        </is>
      </c>
      <c r="M530" t="inlineStr">
        <is>
          <t>Dispositivo não executado</t>
        </is>
      </c>
      <c r="N530" t="inlineStr">
        <is>
          <t>Acesso a PG e conclusão da TSS</t>
        </is>
      </c>
      <c r="O530" t="inlineStr">
        <is>
          <t>Tipo A</t>
        </is>
      </c>
      <c r="P530" t="inlineStr">
        <is>
          <t>57+230</t>
        </is>
      </c>
      <c r="Q530" t="inlineStr">
        <is>
          <t>57+230</t>
        </is>
      </c>
      <c r="R530" t="inlineStr">
        <is>
          <t>Aberta</t>
        </is>
      </c>
      <c r="T530" t="inlineStr">
        <is>
          <t>Aline Batista</t>
        </is>
      </c>
      <c r="U530" t="inlineStr">
        <is>
          <t>24/04/2026</t>
        </is>
      </c>
      <c r="V530" t="inlineStr">
        <is>
          <t>01/05/2026</t>
        </is>
      </c>
      <c r="W530">
        <v>40</v>
      </c>
      <c r="AA530" t="inlineStr">
        <is>
          <t>Aberta 30-60 dias</t>
        </is>
      </c>
    </row>
    <row r="531">
      <c r="A531">
        <v>529</v>
      </c>
      <c r="B531">
        <v>2</v>
      </c>
      <c r="C531" t="inlineStr">
        <is>
          <t>1.6</t>
        </is>
      </c>
      <c r="D531" t="inlineStr">
        <is>
          <t>A06</t>
        </is>
      </c>
      <c r="E531" t="inlineStr">
        <is>
          <t>LE/LD</t>
        </is>
      </c>
      <c r="F531" t="inlineStr">
        <is>
          <t>ATERPA</t>
        </is>
      </c>
      <c r="G531" t="inlineStr">
        <is>
          <t>CLP-012</t>
        </is>
      </c>
      <c r="H531" t="inlineStr">
        <is>
          <t>Protocolo</t>
        </is>
      </c>
      <c r="I531">
        <v>2</v>
      </c>
      <c r="J531" t="inlineStr">
        <is>
          <t>Bueiros</t>
        </is>
      </c>
      <c r="K531" t="inlineStr">
        <is>
          <t>2.11</t>
        </is>
      </c>
      <c r="L531" t="inlineStr">
        <is>
          <t>(PG) Passagem de gado</t>
        </is>
      </c>
      <c r="M531" t="inlineStr">
        <is>
          <t>Dispositivo não executado</t>
        </is>
      </c>
      <c r="N531" t="inlineStr">
        <is>
          <t>Acesso a PG e conclusão da TSS</t>
        </is>
      </c>
      <c r="O531" t="inlineStr">
        <is>
          <t>Tipo A</t>
        </is>
      </c>
      <c r="P531" t="inlineStr">
        <is>
          <t>61+160</t>
        </is>
      </c>
      <c r="Q531" t="inlineStr">
        <is>
          <t>61+160</t>
        </is>
      </c>
      <c r="R531" t="inlineStr">
        <is>
          <t>Aberta</t>
        </is>
      </c>
      <c r="T531" t="inlineStr">
        <is>
          <t>Aline Batista</t>
        </is>
      </c>
      <c r="U531" t="inlineStr">
        <is>
          <t>24/04/2026</t>
        </is>
      </c>
      <c r="V531" t="inlineStr">
        <is>
          <t>01/05/2026</t>
        </is>
      </c>
      <c r="W531">
        <v>40</v>
      </c>
      <c r="AA531" t="inlineStr">
        <is>
          <t>Aberta 30-60 dias</t>
        </is>
      </c>
    </row>
    <row r="532">
      <c r="A532">
        <v>530</v>
      </c>
      <c r="B532">
        <v>2</v>
      </c>
      <c r="C532" t="inlineStr">
        <is>
          <t>1.6</t>
        </is>
      </c>
      <c r="D532" t="inlineStr">
        <is>
          <t>Geral</t>
        </is>
      </c>
      <c r="E532" t="inlineStr">
        <is>
          <t>LE/LD</t>
        </is>
      </c>
      <c r="F532" t="inlineStr">
        <is>
          <t>ATERPA</t>
        </is>
      </c>
      <c r="G532" t="inlineStr">
        <is>
          <t>CLP-012</t>
        </is>
      </c>
      <c r="H532" t="inlineStr">
        <is>
          <t>Protocolo</t>
        </is>
      </c>
      <c r="I532">
        <v>2</v>
      </c>
      <c r="J532" t="inlineStr">
        <is>
          <t>Bueiros</t>
        </is>
      </c>
      <c r="K532" t="inlineStr">
        <is>
          <t>2.14</t>
        </is>
      </c>
      <c r="L532" t="inlineStr">
        <is>
          <t>Ensaios</t>
        </is>
      </c>
      <c r="M532" t="inlineStr">
        <is>
          <t>Documental</t>
        </is>
      </c>
      <c r="N532" t="inlineStr">
        <is>
          <t xml:space="preserve">Registros 2x 0175-C lançado com temperatura acima do especificado – 37,4°C BDCC
Registro 0509-C pendente informações de rompimento de 7, 28 dias BSCC
Registro 0772-C pendente informações de rompimento de 7, 28 dias BSCC
Registro 0504-C lançado com temperatura acima do especificado - 39,0°C ala
Registro 0506-C lançado com temperatura acima do especificado – 36,8°C BSCC
Registro 0619-C lançado com temperatura acima do especificado - 37,5°C parede
Registros 4x 0977-C lançado com temperatura acima do especificado – 39,2°C, 40,1°C, 41,1°C, 38,0ºC parede
Registros 0979-C lançado com temperatura acima do especificado - 36,5°C ala
</t>
        </is>
      </c>
      <c r="O532" t="inlineStr">
        <is>
          <t>Tipo B</t>
        </is>
      </c>
      <c r="P532" t="inlineStr">
        <is>
          <t>55+231</t>
        </is>
      </c>
      <c r="Q532" t="inlineStr">
        <is>
          <t>71+150</t>
        </is>
      </c>
      <c r="R532" t="inlineStr">
        <is>
          <t>Aberta</t>
        </is>
      </c>
      <c r="T532" t="inlineStr">
        <is>
          <t>Aline Batista</t>
        </is>
      </c>
      <c r="U532" t="inlineStr">
        <is>
          <t>24/04/2026</t>
        </is>
      </c>
      <c r="V532" t="inlineStr">
        <is>
          <t>09/05/2026</t>
        </is>
      </c>
      <c r="W532">
        <v>32</v>
      </c>
      <c r="AA532" t="inlineStr">
        <is>
          <t>Aberta 30-60 dias</t>
        </is>
      </c>
    </row>
    <row r="533">
      <c r="A533">
        <v>531</v>
      </c>
      <c r="B533">
        <v>2</v>
      </c>
      <c r="C533" t="inlineStr">
        <is>
          <t>1.6</t>
        </is>
      </c>
      <c r="D533" t="inlineStr">
        <is>
          <t>C02</t>
        </is>
      </c>
      <c r="E533" t="inlineStr">
        <is>
          <t>LE/LD</t>
        </is>
      </c>
      <c r="F533" t="inlineStr">
        <is>
          <t>ATERPA</t>
        </is>
      </c>
      <c r="G533" t="inlineStr">
        <is>
          <t>CLP-012</t>
        </is>
      </c>
      <c r="H533" t="inlineStr">
        <is>
          <t>Protocolo</t>
        </is>
      </c>
      <c r="I533">
        <v>2</v>
      </c>
      <c r="J533" t="inlineStr">
        <is>
          <t>Bueiros</t>
        </is>
      </c>
      <c r="K533" t="inlineStr">
        <is>
          <t>2.11</t>
        </is>
      </c>
      <c r="L533" t="inlineStr">
        <is>
          <t>(PG) Passagem de gado</t>
        </is>
      </c>
      <c r="M533" t="inlineStr">
        <is>
          <t>Erosões</t>
        </is>
      </c>
      <c r="N533" t="inlineStr">
        <is>
          <t>Processo erosivo LD e LE, remoção das alças das TSS.</t>
        </is>
      </c>
      <c r="O533" t="inlineStr">
        <is>
          <t>Tipo A</t>
        </is>
      </c>
      <c r="P533" t="inlineStr">
        <is>
          <t>55+710</t>
        </is>
      </c>
      <c r="Q533" t="inlineStr">
        <is>
          <t>55+710</t>
        </is>
      </c>
      <c r="R533" t="inlineStr">
        <is>
          <t>Aberta</t>
        </is>
      </c>
      <c r="T533" t="inlineStr">
        <is>
          <t>Aline Batista</t>
        </is>
      </c>
      <c r="U533" t="inlineStr">
        <is>
          <t>24/04/2026</t>
        </is>
      </c>
      <c r="V533" t="inlineStr">
        <is>
          <t>01/05/2026</t>
        </is>
      </c>
      <c r="W533">
        <v>40</v>
      </c>
      <c r="AA533" t="inlineStr">
        <is>
          <t>Aberta 30-60 dias</t>
        </is>
      </c>
      <c r="AB533" t="inlineStr">
        <is>
          <t>GSA</t>
        </is>
      </c>
    </row>
    <row r="534">
      <c r="A534">
        <v>532</v>
      </c>
      <c r="B534">
        <v>2</v>
      </c>
      <c r="C534" t="inlineStr">
        <is>
          <t>1.6</t>
        </is>
      </c>
      <c r="D534" t="inlineStr">
        <is>
          <t>A02</t>
        </is>
      </c>
      <c r="E534" t="inlineStr">
        <is>
          <t>LE/LD</t>
        </is>
      </c>
      <c r="F534" t="inlineStr">
        <is>
          <t>ATERPA</t>
        </is>
      </c>
      <c r="G534" t="inlineStr">
        <is>
          <t>CLP-012</t>
        </is>
      </c>
      <c r="H534" t="inlineStr">
        <is>
          <t>Protocolo</t>
        </is>
      </c>
      <c r="I534">
        <v>2</v>
      </c>
      <c r="J534" t="inlineStr">
        <is>
          <t>Bueiros</t>
        </is>
      </c>
      <c r="K534" t="inlineStr">
        <is>
          <t>2.12</t>
        </is>
      </c>
      <c r="L534" t="inlineStr">
        <is>
          <t>Dissipador de energia</t>
        </is>
      </c>
      <c r="M534" t="inlineStr">
        <is>
          <t>Dispositivo não executado</t>
        </is>
      </c>
      <c r="N534" t="inlineStr">
        <is>
          <t xml:space="preserve">Dissipador de energia não executado (DED-04). </t>
        </is>
      </c>
      <c r="O534" t="inlineStr">
        <is>
          <t>Tipo A</t>
        </is>
      </c>
      <c r="P534" t="inlineStr">
        <is>
          <t>55+996</t>
        </is>
      </c>
      <c r="Q534" t="inlineStr">
        <is>
          <t>55+996</t>
        </is>
      </c>
      <c r="R534" t="inlineStr">
        <is>
          <t>Aberta</t>
        </is>
      </c>
      <c r="T534" t="inlineStr">
        <is>
          <t>Aline Batista</t>
        </is>
      </c>
      <c r="U534" t="inlineStr">
        <is>
          <t>24/04/2026</t>
        </is>
      </c>
      <c r="V534" t="inlineStr">
        <is>
          <t>01/05/2026</t>
        </is>
      </c>
      <c r="W534">
        <v>40</v>
      </c>
      <c r="AA534" t="inlineStr">
        <is>
          <t>Aberta 30-60 dias</t>
        </is>
      </c>
    </row>
    <row r="535">
      <c r="A535">
        <v>533</v>
      </c>
      <c r="B535">
        <v>2</v>
      </c>
      <c r="C535" t="inlineStr">
        <is>
          <t>1.6</t>
        </is>
      </c>
      <c r="D535" t="inlineStr">
        <is>
          <t>A03</t>
        </is>
      </c>
      <c r="E535" t="inlineStr">
        <is>
          <t>LE/LD</t>
        </is>
      </c>
      <c r="F535" t="inlineStr">
        <is>
          <t>ATERPA</t>
        </is>
      </c>
      <c r="G535" t="inlineStr">
        <is>
          <t>CLP-012</t>
        </is>
      </c>
      <c r="H535" t="inlineStr">
        <is>
          <t>Protocolo</t>
        </is>
      </c>
      <c r="I535">
        <v>2</v>
      </c>
      <c r="J535" t="inlineStr">
        <is>
          <t>Bueiros</t>
        </is>
      </c>
      <c r="K535" t="inlineStr">
        <is>
          <t>2.12</t>
        </is>
      </c>
      <c r="L535" t="inlineStr">
        <is>
          <t>Bueiro</t>
        </is>
      </c>
      <c r="M535" t="inlineStr">
        <is>
          <t>Dispositivo não executado</t>
        </is>
      </c>
      <c r="N535" t="inlineStr">
        <is>
          <t xml:space="preserve">Dispositivos a jusante não executados DDA-05 e DED-04. </t>
        </is>
      </c>
      <c r="O535" t="inlineStr">
        <is>
          <t>Tipo A</t>
        </is>
      </c>
      <c r="P535" t="inlineStr">
        <is>
          <t>56+192</t>
        </is>
      </c>
      <c r="Q535" t="inlineStr">
        <is>
          <t>56+192</t>
        </is>
      </c>
      <c r="R535" t="inlineStr">
        <is>
          <t>Aberta</t>
        </is>
      </c>
      <c r="T535" t="inlineStr">
        <is>
          <t>Aline Batista</t>
        </is>
      </c>
      <c r="U535" t="inlineStr">
        <is>
          <t>24/04/2026</t>
        </is>
      </c>
      <c r="V535" t="inlineStr">
        <is>
          <t>01/05/2026</t>
        </is>
      </c>
      <c r="W535">
        <v>40</v>
      </c>
      <c r="AA535" t="inlineStr">
        <is>
          <t>Aberta 30-60 dias</t>
        </is>
      </c>
    </row>
    <row r="536">
      <c r="A536">
        <v>534</v>
      </c>
      <c r="B536">
        <v>2</v>
      </c>
      <c r="C536" t="inlineStr">
        <is>
          <t>1.6</t>
        </is>
      </c>
      <c r="D536" t="inlineStr">
        <is>
          <t>A06</t>
        </is>
      </c>
      <c r="E536" t="inlineStr">
        <is>
          <t>LE/LD</t>
        </is>
      </c>
      <c r="F536" t="inlineStr">
        <is>
          <t>ATERPA</t>
        </is>
      </c>
      <c r="G536" t="inlineStr">
        <is>
          <t>CLP-012</t>
        </is>
      </c>
      <c r="H536" t="inlineStr">
        <is>
          <t>Protocolo</t>
        </is>
      </c>
      <c r="I536">
        <v>2</v>
      </c>
      <c r="J536" t="inlineStr">
        <is>
          <t>Bueiros</t>
        </is>
      </c>
      <c r="K536" t="inlineStr">
        <is>
          <t>2.11</t>
        </is>
      </c>
      <c r="L536" t="inlineStr">
        <is>
          <t>PG</t>
        </is>
      </c>
      <c r="M536" t="inlineStr">
        <is>
          <t>Erosões</t>
        </is>
      </c>
      <c r="N536" t="inlineStr">
        <is>
          <t xml:space="preserve">
Processo erosivo LD e LE</t>
        </is>
      </c>
      <c r="O536" t="inlineStr">
        <is>
          <t>Tipo A</t>
        </is>
      </c>
      <c r="P536" t="inlineStr">
        <is>
          <t>61+160</t>
        </is>
      </c>
      <c r="Q536" t="inlineStr">
        <is>
          <t>61+160</t>
        </is>
      </c>
      <c r="R536" t="inlineStr">
        <is>
          <t>Aberta</t>
        </is>
      </c>
      <c r="T536" t="inlineStr">
        <is>
          <t>Aline Batista</t>
        </is>
      </c>
      <c r="U536" t="inlineStr">
        <is>
          <t>24/04/2026</t>
        </is>
      </c>
      <c r="V536" t="inlineStr">
        <is>
          <t>01/05/2026</t>
        </is>
      </c>
      <c r="W536">
        <v>40</v>
      </c>
      <c r="AA536" t="inlineStr">
        <is>
          <t>Aberta 30-60 dias</t>
        </is>
      </c>
    </row>
    <row r="537">
      <c r="A537">
        <v>535</v>
      </c>
      <c r="B537">
        <v>2</v>
      </c>
      <c r="C537" t="inlineStr">
        <is>
          <t>1.6</t>
        </is>
      </c>
      <c r="D537" t="inlineStr">
        <is>
          <t>A05</t>
        </is>
      </c>
      <c r="E537" t="inlineStr">
        <is>
          <t>LE/LD</t>
        </is>
      </c>
      <c r="F537" t="inlineStr">
        <is>
          <t>ATERPA</t>
        </is>
      </c>
      <c r="G537" t="inlineStr">
        <is>
          <t>CLP-012</t>
        </is>
      </c>
      <c r="H537" t="inlineStr">
        <is>
          <t>Fiscalização</t>
        </is>
      </c>
      <c r="I537">
        <v>2</v>
      </c>
      <c r="J537" t="inlineStr">
        <is>
          <t>Bueiros</t>
        </is>
      </c>
      <c r="K537" t="inlineStr">
        <is>
          <t>2.11</t>
        </is>
      </c>
      <c r="L537" t="inlineStr">
        <is>
          <t>BSCC</t>
        </is>
      </c>
      <c r="M537" t="inlineStr">
        <is>
          <t>Obstrução do dispositivo</t>
        </is>
      </c>
      <c r="N537" t="inlineStr">
        <is>
          <t xml:space="preserve">Jusante da OAC com acúmulo de sedimentos impossibilitando identificar a execução do DBSCC-04. </t>
        </is>
      </c>
      <c r="O537" t="inlineStr">
        <is>
          <t>Tipo A</t>
        </is>
      </c>
      <c r="P537" t="inlineStr">
        <is>
          <t>59+069</t>
        </is>
      </c>
      <c r="Q537" t="inlineStr">
        <is>
          <t>59+069</t>
        </is>
      </c>
      <c r="R537" t="inlineStr">
        <is>
          <t>Aberta</t>
        </is>
      </c>
      <c r="T537" t="inlineStr">
        <is>
          <t>Aline Batista</t>
        </is>
      </c>
      <c r="U537" t="inlineStr">
        <is>
          <t>24/04/2026</t>
        </is>
      </c>
      <c r="V537" t="inlineStr">
        <is>
          <t>01/05/2026</t>
        </is>
      </c>
      <c r="W537">
        <v>40</v>
      </c>
      <c r="AA537" t="inlineStr">
        <is>
          <t>Aberta 30-60 dias</t>
        </is>
      </c>
    </row>
    <row r="538">
      <c r="A538">
        <v>536</v>
      </c>
      <c r="B538">
        <v>2</v>
      </c>
      <c r="C538" t="inlineStr">
        <is>
          <t>1.6</t>
        </is>
      </c>
      <c r="D538" t="inlineStr">
        <is>
          <t>A05</t>
        </is>
      </c>
      <c r="E538" t="inlineStr">
        <is>
          <t>LE/LD</t>
        </is>
      </c>
      <c r="F538" t="inlineStr">
        <is>
          <t>ATERPA</t>
        </is>
      </c>
      <c r="G538" t="inlineStr">
        <is>
          <t>CLP-012</t>
        </is>
      </c>
      <c r="H538" t="inlineStr">
        <is>
          <t>Fiscalização</t>
        </is>
      </c>
      <c r="I538">
        <v>2</v>
      </c>
      <c r="J538" t="inlineStr">
        <is>
          <t>Bueiros</t>
        </is>
      </c>
      <c r="K538" t="inlineStr">
        <is>
          <t>2.11</t>
        </is>
      </c>
      <c r="L538" t="inlineStr">
        <is>
          <t>Bueiro</t>
        </is>
      </c>
      <c r="M538" t="inlineStr">
        <is>
          <t>Assoreamento</t>
        </is>
      </c>
      <c r="N538" t="inlineStr">
        <is>
          <t>Bueiro assoreado com carreamento de material.</t>
        </is>
      </c>
      <c r="O538" t="inlineStr">
        <is>
          <t>Tipo A</t>
        </is>
      </c>
      <c r="P538" t="inlineStr">
        <is>
          <t xml:space="preserve"> 59+069</t>
        </is>
      </c>
      <c r="Q538" t="inlineStr">
        <is>
          <t xml:space="preserve"> 59+069</t>
        </is>
      </c>
      <c r="R538" t="inlineStr">
        <is>
          <t>Aberta</t>
        </is>
      </c>
      <c r="T538" t="inlineStr">
        <is>
          <t>Aline Batista</t>
        </is>
      </c>
      <c r="U538" t="inlineStr">
        <is>
          <t>24/04/2026</t>
        </is>
      </c>
      <c r="V538" t="inlineStr">
        <is>
          <t>01/05/2026</t>
        </is>
      </c>
      <c r="W538">
        <v>40</v>
      </c>
      <c r="AA538" t="inlineStr">
        <is>
          <t>Aberta 30-60 dias</t>
        </is>
      </c>
    </row>
    <row r="539">
      <c r="A539">
        <v>537</v>
      </c>
      <c r="B539">
        <v>2</v>
      </c>
      <c r="C539" t="inlineStr">
        <is>
          <t>1.6</t>
        </is>
      </c>
      <c r="D539" t="inlineStr">
        <is>
          <t>A06</t>
        </is>
      </c>
      <c r="E539" t="inlineStr">
        <is>
          <t>LE/LD</t>
        </is>
      </c>
      <c r="F539" t="inlineStr">
        <is>
          <t>ATERPA</t>
        </is>
      </c>
      <c r="G539" t="inlineStr">
        <is>
          <t>CLP-012</t>
        </is>
      </c>
      <c r="H539" t="inlineStr">
        <is>
          <t>Fiscalização</t>
        </is>
      </c>
      <c r="I539">
        <v>2</v>
      </c>
      <c r="J539" t="inlineStr">
        <is>
          <t>Bueiros</t>
        </is>
      </c>
      <c r="K539" t="inlineStr">
        <is>
          <t>2.11</t>
        </is>
      </c>
      <c r="L539" t="inlineStr">
        <is>
          <t>Bueiro</t>
        </is>
      </c>
      <c r="M539" t="inlineStr">
        <is>
          <t>Assoreamento</t>
        </is>
      </c>
      <c r="N539" t="inlineStr">
        <is>
          <t>Bueiro assoreado com carreamento de material.</t>
        </is>
      </c>
      <c r="O539" t="inlineStr">
        <is>
          <t>Tipo A</t>
        </is>
      </c>
      <c r="P539" t="inlineStr">
        <is>
          <t>60+861</t>
        </is>
      </c>
      <c r="Q539" t="inlineStr">
        <is>
          <t>60+861</t>
        </is>
      </c>
      <c r="R539" t="inlineStr">
        <is>
          <t>Aberta</t>
        </is>
      </c>
      <c r="T539" t="inlineStr">
        <is>
          <t>Aline Batista</t>
        </is>
      </c>
      <c r="U539" t="inlineStr">
        <is>
          <t>24/04/2026</t>
        </is>
      </c>
      <c r="V539" t="inlineStr">
        <is>
          <t>01/05/2026</t>
        </is>
      </c>
      <c r="W539">
        <v>40</v>
      </c>
      <c r="AA539" t="inlineStr">
        <is>
          <t>Aberta 30-60 dias</t>
        </is>
      </c>
    </row>
    <row r="540">
      <c r="A540">
        <v>538</v>
      </c>
      <c r="B540">
        <v>2</v>
      </c>
      <c r="C540" t="inlineStr">
        <is>
          <t>1.6</t>
        </is>
      </c>
      <c r="D540" t="inlineStr">
        <is>
          <t>A06</t>
        </is>
      </c>
      <c r="E540" t="inlineStr">
        <is>
          <t>LE/LD</t>
        </is>
      </c>
      <c r="F540" t="inlineStr">
        <is>
          <t>ATERPA</t>
        </is>
      </c>
      <c r="G540" t="inlineStr">
        <is>
          <t>CLP-012</t>
        </is>
      </c>
      <c r="H540" t="inlineStr">
        <is>
          <t>Fiscalização</t>
        </is>
      </c>
      <c r="I540">
        <v>2</v>
      </c>
      <c r="J540" t="inlineStr">
        <is>
          <t>Bueiros</t>
        </is>
      </c>
      <c r="K540" t="inlineStr">
        <is>
          <t>2.11</t>
        </is>
      </c>
      <c r="L540" t="inlineStr">
        <is>
          <t>Bueiro</t>
        </is>
      </c>
      <c r="M540" t="inlineStr">
        <is>
          <t>Assoreamento</t>
        </is>
      </c>
      <c r="N540" t="inlineStr">
        <is>
          <t>Bueiro assoreado com carreamento de material.</t>
        </is>
      </c>
      <c r="O540" t="inlineStr">
        <is>
          <t>Tipo A</t>
        </is>
      </c>
      <c r="P540" t="inlineStr">
        <is>
          <t>61+845</t>
        </is>
      </c>
      <c r="Q540" t="inlineStr">
        <is>
          <t>61+845</t>
        </is>
      </c>
      <c r="R540" t="inlineStr">
        <is>
          <t>Aberta</t>
        </is>
      </c>
      <c r="T540" t="inlineStr">
        <is>
          <t>Aline Batista</t>
        </is>
      </c>
      <c r="U540" t="inlineStr">
        <is>
          <t>24/04/2026</t>
        </is>
      </c>
      <c r="V540" t="inlineStr">
        <is>
          <t>01/05/2026</t>
        </is>
      </c>
      <c r="W540">
        <v>40</v>
      </c>
      <c r="AA540" t="inlineStr">
        <is>
          <t>Aberta 30-60 dias</t>
        </is>
      </c>
    </row>
    <row r="541">
      <c r="A541">
        <v>539</v>
      </c>
      <c r="B541">
        <v>2</v>
      </c>
      <c r="C541" t="inlineStr">
        <is>
          <t>1.6</t>
        </is>
      </c>
      <c r="D541" t="inlineStr">
        <is>
          <t>A09</t>
        </is>
      </c>
      <c r="E541" t="inlineStr">
        <is>
          <t>LE/LD</t>
        </is>
      </c>
      <c r="F541" t="inlineStr">
        <is>
          <t>ATERPA</t>
        </is>
      </c>
      <c r="G541" t="inlineStr">
        <is>
          <t>CLP-012</t>
        </is>
      </c>
      <c r="H541" t="inlineStr">
        <is>
          <t>Fiscalização</t>
        </is>
      </c>
      <c r="I541">
        <v>2</v>
      </c>
      <c r="J541" t="inlineStr">
        <is>
          <t>Bueiros</t>
        </is>
      </c>
      <c r="K541" t="inlineStr">
        <is>
          <t>2.11</t>
        </is>
      </c>
      <c r="L541" t="inlineStr">
        <is>
          <t>Bueiro</t>
        </is>
      </c>
      <c r="M541" t="inlineStr">
        <is>
          <t>Assoreamento</t>
        </is>
      </c>
      <c r="N541" t="inlineStr">
        <is>
          <t>Assoreamento crítico de bueiro e passagem de gado, com erosões acentuadas.</t>
        </is>
      </c>
      <c r="O541" t="inlineStr">
        <is>
          <t>Tipo A</t>
        </is>
      </c>
      <c r="P541" t="inlineStr">
        <is>
          <t>67+140</t>
        </is>
      </c>
      <c r="Q541" t="inlineStr">
        <is>
          <t>67+260</t>
        </is>
      </c>
      <c r="R541" t="inlineStr">
        <is>
          <t>Aberta</t>
        </is>
      </c>
      <c r="T541" t="inlineStr">
        <is>
          <t>Aline Batista</t>
        </is>
      </c>
      <c r="U541" t="inlineStr">
        <is>
          <t>24/04/2026</t>
        </is>
      </c>
      <c r="V541" t="inlineStr">
        <is>
          <t>01/05/2026</t>
        </is>
      </c>
      <c r="W541">
        <v>40</v>
      </c>
      <c r="AA541" t="inlineStr">
        <is>
          <t>Aberta 30-60 dias</t>
        </is>
      </c>
    </row>
    <row r="542">
      <c r="A542">
        <v>540</v>
      </c>
      <c r="B542">
        <v>2</v>
      </c>
      <c r="C542" t="inlineStr">
        <is>
          <t>1.6</t>
        </is>
      </c>
      <c r="D542" t="inlineStr">
        <is>
          <t>A10</t>
        </is>
      </c>
      <c r="E542" t="inlineStr">
        <is>
          <t>LE/LD</t>
        </is>
      </c>
      <c r="F542" t="inlineStr">
        <is>
          <t>ATERPA</t>
        </is>
      </c>
      <c r="G542" t="inlineStr">
        <is>
          <t>CLP-012</t>
        </is>
      </c>
      <c r="H542" t="inlineStr">
        <is>
          <t>Fiscalização</t>
        </is>
      </c>
      <c r="I542">
        <v>2</v>
      </c>
      <c r="J542" t="inlineStr">
        <is>
          <t>Bueiros</t>
        </is>
      </c>
      <c r="K542" t="inlineStr">
        <is>
          <t>2.11</t>
        </is>
      </c>
      <c r="L542" t="inlineStr">
        <is>
          <t>Bueiro</t>
        </is>
      </c>
      <c r="M542" t="inlineStr">
        <is>
          <t>Obstrução do dispositivo</t>
        </is>
      </c>
      <c r="N542" t="inlineStr">
        <is>
          <t>Boca de saída da drenagem profunda obstruída no lado direito.</t>
        </is>
      </c>
      <c r="O542" t="inlineStr">
        <is>
          <t>Tipo A</t>
        </is>
      </c>
      <c r="P542" t="inlineStr">
        <is>
          <t xml:space="preserve"> 69+300</t>
        </is>
      </c>
      <c r="Q542" t="inlineStr">
        <is>
          <t xml:space="preserve"> 69+300</t>
        </is>
      </c>
      <c r="R542" t="inlineStr">
        <is>
          <t>Aberta</t>
        </is>
      </c>
      <c r="T542" t="inlineStr">
        <is>
          <t>Aline Batista</t>
        </is>
      </c>
      <c r="U542" t="inlineStr">
        <is>
          <t>24/04/2026</t>
        </is>
      </c>
      <c r="V542" t="inlineStr">
        <is>
          <t>01/05/2026</t>
        </is>
      </c>
      <c r="W542">
        <v>40</v>
      </c>
      <c r="AA542" t="inlineStr">
        <is>
          <t>Aberta 30-60 dias</t>
        </is>
      </c>
    </row>
    <row r="543">
      <c r="A543">
        <v>541</v>
      </c>
      <c r="B543">
        <v>2</v>
      </c>
      <c r="C543" t="inlineStr">
        <is>
          <t>1.6</t>
        </is>
      </c>
      <c r="D543" t="inlineStr">
        <is>
          <t>A12</t>
        </is>
      </c>
      <c r="E543" t="inlineStr">
        <is>
          <t>LE/LD</t>
        </is>
      </c>
      <c r="F543" t="inlineStr">
        <is>
          <t>ATERPA</t>
        </is>
      </c>
      <c r="G543" t="inlineStr">
        <is>
          <t>CLP-012</t>
        </is>
      </c>
      <c r="H543" t="inlineStr">
        <is>
          <t>Fiscalização</t>
        </is>
      </c>
      <c r="I543">
        <v>2</v>
      </c>
      <c r="J543" t="inlineStr">
        <is>
          <t>Bueiros</t>
        </is>
      </c>
      <c r="K543" t="inlineStr">
        <is>
          <t>2.11</t>
        </is>
      </c>
      <c r="L543" t="inlineStr">
        <is>
          <t>Bueiro</t>
        </is>
      </c>
      <c r="M543" t="inlineStr">
        <is>
          <t>Obstrução do dispositivo</t>
        </is>
      </c>
      <c r="N543" t="inlineStr">
        <is>
          <t>Bueiro obstruído</t>
        </is>
      </c>
      <c r="O543" t="inlineStr">
        <is>
          <t>Tipo A</t>
        </is>
      </c>
      <c r="P543" t="inlineStr">
        <is>
          <t>70+635</t>
        </is>
      </c>
      <c r="Q543" t="inlineStr">
        <is>
          <t>70+635</t>
        </is>
      </c>
      <c r="R543" t="inlineStr">
        <is>
          <t>Aberta</t>
        </is>
      </c>
      <c r="T543" t="inlineStr">
        <is>
          <t>Aline Batista</t>
        </is>
      </c>
      <c r="U543" t="inlineStr">
        <is>
          <t>24/04/2026</t>
        </is>
      </c>
      <c r="V543" t="inlineStr">
        <is>
          <t>01/05/2026</t>
        </is>
      </c>
      <c r="W543">
        <v>40</v>
      </c>
      <c r="AA543" t="inlineStr">
        <is>
          <t>Aberta 30-60 dias</t>
        </is>
      </c>
    </row>
    <row r="544">
      <c r="A544">
        <v>542</v>
      </c>
      <c r="B544">
        <v>2</v>
      </c>
      <c r="C544" t="inlineStr">
        <is>
          <t>1.6</t>
        </is>
      </c>
      <c r="D544" t="inlineStr">
        <is>
          <t>A13</t>
        </is>
      </c>
      <c r="E544" t="inlineStr">
        <is>
          <t>LE/LD</t>
        </is>
      </c>
      <c r="F544" t="inlineStr">
        <is>
          <t>ATERPA</t>
        </is>
      </c>
      <c r="G544" t="inlineStr">
        <is>
          <t>CLP-012</t>
        </is>
      </c>
      <c r="H544" t="inlineStr">
        <is>
          <t>Protocolo</t>
        </is>
      </c>
      <c r="I544">
        <v>2</v>
      </c>
      <c r="J544" t="inlineStr">
        <is>
          <t>Bueiros</t>
        </is>
      </c>
      <c r="K544" t="inlineStr">
        <is>
          <t>2.11</t>
        </is>
      </c>
      <c r="L544" t="inlineStr">
        <is>
          <t>BSTC</t>
        </is>
      </c>
      <c r="M544" t="inlineStr">
        <is>
          <t>Execuçao divergente do projeto</t>
        </is>
      </c>
      <c r="N544" t="inlineStr">
        <is>
          <t>Foi executado valeta substituindo o BSTC previsto em projeto. Não foi encontrado SIT relacionada a mudança - (Acesso km 59+740)</t>
        </is>
      </c>
      <c r="O544" t="inlineStr">
        <is>
          <t>Tipo A</t>
        </is>
      </c>
      <c r="P544" t="inlineStr">
        <is>
          <t>200+420</t>
        </is>
      </c>
      <c r="Q544" t="inlineStr">
        <is>
          <t>200+420</t>
        </is>
      </c>
      <c r="R544" t="inlineStr">
        <is>
          <t>Aberta</t>
        </is>
      </c>
      <c r="T544" t="inlineStr">
        <is>
          <t>Aline Batista</t>
        </is>
      </c>
      <c r="U544" t="inlineStr">
        <is>
          <t>24/04/2026</t>
        </is>
      </c>
      <c r="V544" t="inlineStr">
        <is>
          <t>01/05/2026</t>
        </is>
      </c>
      <c r="W544">
        <v>40</v>
      </c>
      <c r="AA544" t="inlineStr">
        <is>
          <t>Aberta 30-60 dias</t>
        </is>
      </c>
    </row>
    <row r="545">
      <c r="A545">
        <v>543</v>
      </c>
      <c r="B545">
        <v>2</v>
      </c>
      <c r="C545" t="inlineStr">
        <is>
          <t>1.6</t>
        </is>
      </c>
      <c r="D545" t="inlineStr">
        <is>
          <t>A06</t>
        </is>
      </c>
      <c r="E545" t="inlineStr">
        <is>
          <t>LE/LD</t>
        </is>
      </c>
      <c r="F545" t="inlineStr">
        <is>
          <t>ATERPA</t>
        </is>
      </c>
      <c r="G545" t="inlineStr">
        <is>
          <t>CLP-012</t>
        </is>
      </c>
      <c r="H545" t="inlineStr">
        <is>
          <t>Protocolo</t>
        </is>
      </c>
      <c r="I545">
        <v>2</v>
      </c>
      <c r="J545" t="inlineStr">
        <is>
          <t>Bueiros</t>
        </is>
      </c>
      <c r="K545" t="inlineStr">
        <is>
          <t>2.11</t>
        </is>
      </c>
      <c r="L545" t="inlineStr">
        <is>
          <t>BDCC</t>
        </is>
      </c>
      <c r="M545" t="inlineStr">
        <is>
          <t>Acúmulo de água</t>
        </is>
      </c>
      <c r="N545" t="inlineStr">
        <is>
          <t xml:space="preserve">Jusante da OAC com acúmulo de água impossibilitando identificar a execução do DBDCC-11. </t>
        </is>
      </c>
      <c r="O545" t="inlineStr">
        <is>
          <t>Tipo A</t>
        </is>
      </c>
      <c r="P545" t="inlineStr">
        <is>
          <t>60+190</t>
        </is>
      </c>
      <c r="Q545" t="inlineStr">
        <is>
          <t>60+190</t>
        </is>
      </c>
      <c r="R545" t="inlineStr">
        <is>
          <t>Aberta</t>
        </is>
      </c>
      <c r="T545" t="inlineStr">
        <is>
          <t>Aline Batista</t>
        </is>
      </c>
      <c r="U545" t="inlineStr">
        <is>
          <t>24/04/2026</t>
        </is>
      </c>
      <c r="V545" t="inlineStr">
        <is>
          <t>01/05/2026</t>
        </is>
      </c>
      <c r="W545">
        <v>40</v>
      </c>
      <c r="AA545" t="inlineStr">
        <is>
          <t>Aberta 30-60 dias</t>
        </is>
      </c>
    </row>
    <row r="546">
      <c r="A546">
        <v>544</v>
      </c>
      <c r="B546">
        <v>2</v>
      </c>
      <c r="C546" t="inlineStr">
        <is>
          <t>1.6</t>
        </is>
      </c>
      <c r="D546" t="inlineStr">
        <is>
          <t>A06</t>
        </is>
      </c>
      <c r="E546" t="inlineStr">
        <is>
          <t>LE/LD</t>
        </is>
      </c>
      <c r="F546" t="inlineStr">
        <is>
          <t>ATERPA</t>
        </is>
      </c>
      <c r="G546" t="inlineStr">
        <is>
          <t>CLP-012</t>
        </is>
      </c>
      <c r="H546" t="inlineStr">
        <is>
          <t>Fiscalização</t>
        </is>
      </c>
      <c r="I546">
        <v>2</v>
      </c>
      <c r="J546" t="inlineStr">
        <is>
          <t>Bueiros</t>
        </is>
      </c>
      <c r="K546" t="inlineStr">
        <is>
          <t>2.11</t>
        </is>
      </c>
      <c r="L546" t="inlineStr">
        <is>
          <t>BSCC</t>
        </is>
      </c>
      <c r="M546" t="inlineStr">
        <is>
          <t>Acúmulo de água</t>
        </is>
      </c>
      <c r="N546" t="inlineStr">
        <is>
          <t xml:space="preserve">Jusante da OAC com acúmulo de água/sedimentos impossibilitando identificar a execução do DBSCC-06.  </t>
        </is>
      </c>
      <c r="O546" t="inlineStr">
        <is>
          <t>Tipo A</t>
        </is>
      </c>
      <c r="P546" t="inlineStr">
        <is>
          <t>61+845</t>
        </is>
      </c>
      <c r="Q546" t="inlineStr">
        <is>
          <t>61+845</t>
        </is>
      </c>
      <c r="R546" t="inlineStr">
        <is>
          <t>Aberta</t>
        </is>
      </c>
      <c r="T546" t="inlineStr">
        <is>
          <t>Aline Batista</t>
        </is>
      </c>
      <c r="U546" t="inlineStr">
        <is>
          <t>24/04/2026</t>
        </is>
      </c>
      <c r="V546" t="inlineStr">
        <is>
          <t>01/05/2026</t>
        </is>
      </c>
      <c r="W546">
        <v>40</v>
      </c>
      <c r="AA546" t="inlineStr">
        <is>
          <t>Aberta 30-60 dias</t>
        </is>
      </c>
    </row>
    <row r="547">
      <c r="A547">
        <v>545</v>
      </c>
      <c r="B547">
        <v>2</v>
      </c>
      <c r="C547" t="inlineStr">
        <is>
          <t>1.6</t>
        </is>
      </c>
      <c r="D547" t="inlineStr">
        <is>
          <t>A07</t>
        </is>
      </c>
      <c r="E547" t="inlineStr">
        <is>
          <t>LE/LD</t>
        </is>
      </c>
      <c r="F547" t="inlineStr">
        <is>
          <t>ATERPA</t>
        </is>
      </c>
      <c r="G547" t="inlineStr">
        <is>
          <t>CLP-012</t>
        </is>
      </c>
      <c r="H547" t="inlineStr">
        <is>
          <t>Protocolo</t>
        </is>
      </c>
      <c r="I547">
        <v>2</v>
      </c>
      <c r="J547" t="inlineStr">
        <is>
          <t>Bueiros</t>
        </is>
      </c>
      <c r="K547" t="inlineStr">
        <is>
          <t>2.11</t>
        </is>
      </c>
      <c r="L547" t="inlineStr">
        <is>
          <t>BSCC</t>
        </is>
      </c>
      <c r="M547" t="inlineStr">
        <is>
          <t>Acúmulo de água</t>
        </is>
      </c>
      <c r="N547" t="inlineStr">
        <is>
          <t>Jusante da OAC com acúmulo de água/sedimentos impossibilitando identificar a execução do DBSCC-08 e Bueiro assoerado..</t>
        </is>
      </c>
      <c r="O547" t="inlineStr">
        <is>
          <t>Tipo A</t>
        </is>
      </c>
      <c r="P547" t="inlineStr">
        <is>
          <t>63+523</t>
        </is>
      </c>
      <c r="Q547" t="inlineStr">
        <is>
          <t>63+523</t>
        </is>
      </c>
      <c r="R547" t="inlineStr">
        <is>
          <t>Aberta</t>
        </is>
      </c>
      <c r="T547" t="inlineStr">
        <is>
          <t>Aline Batista</t>
        </is>
      </c>
      <c r="U547" t="inlineStr">
        <is>
          <t>24/04/2026</t>
        </is>
      </c>
      <c r="V547" t="inlineStr">
        <is>
          <t>01/05/2026</t>
        </is>
      </c>
      <c r="W547">
        <v>40</v>
      </c>
      <c r="AA547" t="inlineStr">
        <is>
          <t>Aberta 30-60 dias</t>
        </is>
      </c>
    </row>
    <row r="548">
      <c r="A548">
        <v>546</v>
      </c>
      <c r="B548">
        <v>2</v>
      </c>
      <c r="C548" t="inlineStr">
        <is>
          <t>1.6</t>
        </is>
      </c>
      <c r="D548" t="inlineStr">
        <is>
          <t>C10</t>
        </is>
      </c>
      <c r="E548" t="inlineStr">
        <is>
          <t>LE/LD</t>
        </is>
      </c>
      <c r="F548" t="inlineStr">
        <is>
          <t>ATERPA</t>
        </is>
      </c>
      <c r="G548" t="inlineStr">
        <is>
          <t>CLP-012</t>
        </is>
      </c>
      <c r="H548" t="inlineStr">
        <is>
          <t>Protocolo</t>
        </is>
      </c>
      <c r="I548">
        <v>2</v>
      </c>
      <c r="J548" t="inlineStr">
        <is>
          <t>Bueiros</t>
        </is>
      </c>
      <c r="K548" t="inlineStr">
        <is>
          <t>2.11</t>
        </is>
      </c>
      <c r="L548" t="inlineStr">
        <is>
          <t>BSCC</t>
        </is>
      </c>
      <c r="M548" t="inlineStr">
        <is>
          <t>Acúmulo de água</t>
        </is>
      </c>
      <c r="N548" t="inlineStr">
        <is>
          <t xml:space="preserve">Jusante da OAC com acúmulo de sedimentos impossibilitando identificar a execução do DBSCC-08. </t>
        </is>
      </c>
      <c r="O548" t="inlineStr">
        <is>
          <t>Tipo A</t>
        </is>
      </c>
      <c r="P548" t="inlineStr">
        <is>
          <t xml:space="preserve"> 67+200</t>
        </is>
      </c>
      <c r="Q548" t="inlineStr">
        <is>
          <t xml:space="preserve"> 67+200</t>
        </is>
      </c>
      <c r="R548" t="inlineStr">
        <is>
          <t>Aberta</t>
        </is>
      </c>
      <c r="T548" t="inlineStr">
        <is>
          <t>Aline Batista</t>
        </is>
      </c>
      <c r="U548" t="inlineStr">
        <is>
          <t>24/04/2026</t>
        </is>
      </c>
      <c r="V548" t="inlineStr">
        <is>
          <t>01/05/2026</t>
        </is>
      </c>
      <c r="W548">
        <v>40</v>
      </c>
      <c r="AA548" t="inlineStr">
        <is>
          <t>Aberta 30-60 dias</t>
        </is>
      </c>
    </row>
    <row r="549">
      <c r="A549">
        <v>547</v>
      </c>
      <c r="B549">
        <v>2</v>
      </c>
      <c r="C549" t="inlineStr">
        <is>
          <t>1.6</t>
        </is>
      </c>
      <c r="D549" t="inlineStr">
        <is>
          <t>A09</t>
        </is>
      </c>
      <c r="E549" t="inlineStr">
        <is>
          <t>LE/LD</t>
        </is>
      </c>
      <c r="F549" t="inlineStr">
        <is>
          <t>ATERPA</t>
        </is>
      </c>
      <c r="G549" t="inlineStr">
        <is>
          <t>CLP-012</t>
        </is>
      </c>
      <c r="H549" t="inlineStr">
        <is>
          <t>Protocolo</t>
        </is>
      </c>
      <c r="I549">
        <v>2</v>
      </c>
      <c r="J549" t="inlineStr">
        <is>
          <t>Bueiros</t>
        </is>
      </c>
      <c r="K549" t="inlineStr">
        <is>
          <t>2.11</t>
        </is>
      </c>
      <c r="L549" t="inlineStr">
        <is>
          <t>BSTC</t>
        </is>
      </c>
      <c r="M549" t="inlineStr">
        <is>
          <t>Acúmulo de água</t>
        </is>
      </c>
      <c r="N549" t="inlineStr">
        <is>
          <t>Jusante da OAC com acúmulo de sedimentos impossibilitando identificar a execução do DEB-03 - (Acesso km 67+260)</t>
        </is>
      </c>
      <c r="O549" t="inlineStr">
        <is>
          <t>Tipo A</t>
        </is>
      </c>
      <c r="P549" t="inlineStr">
        <is>
          <t xml:space="preserve">100+572
</t>
        </is>
      </c>
      <c r="Q549" t="inlineStr">
        <is>
          <t xml:space="preserve">100+572
</t>
        </is>
      </c>
      <c r="R549" t="inlineStr">
        <is>
          <t>Aberta</t>
        </is>
      </c>
      <c r="T549" t="inlineStr">
        <is>
          <t>Aline Batista</t>
        </is>
      </c>
      <c r="U549" t="inlineStr">
        <is>
          <t>24/04/2026</t>
        </is>
      </c>
      <c r="V549" t="inlineStr">
        <is>
          <t>01/05/2026</t>
        </is>
      </c>
      <c r="W549">
        <v>40</v>
      </c>
      <c r="AA549" t="inlineStr">
        <is>
          <t>Aberta 30-60 dias</t>
        </is>
      </c>
    </row>
    <row r="550">
      <c r="A550">
        <v>548</v>
      </c>
      <c r="B550">
        <v>2</v>
      </c>
      <c r="C550" t="inlineStr">
        <is>
          <t>1.6</t>
        </is>
      </c>
      <c r="D550" t="inlineStr">
        <is>
          <t>A10</t>
        </is>
      </c>
      <c r="E550" t="inlineStr">
        <is>
          <t>LE/LD</t>
        </is>
      </c>
      <c r="F550" t="inlineStr">
        <is>
          <t>ATERPA</t>
        </is>
      </c>
      <c r="G550" t="inlineStr">
        <is>
          <t>CLP-012</t>
        </is>
      </c>
      <c r="H550" t="inlineStr">
        <is>
          <t>Protocolo</t>
        </is>
      </c>
      <c r="I550">
        <v>2</v>
      </c>
      <c r="J550" t="inlineStr">
        <is>
          <t>Bueiros</t>
        </is>
      </c>
      <c r="K550" t="inlineStr">
        <is>
          <t>2.11</t>
        </is>
      </c>
      <c r="L550" t="inlineStr">
        <is>
          <t>BSTC</t>
        </is>
      </c>
      <c r="M550" t="inlineStr">
        <is>
          <t>Dispositivo descalçado</t>
        </is>
      </c>
      <c r="N550" t="inlineStr">
        <is>
          <t>Dissipador descalçado, ausencia da descida de agua e colchão reno.</t>
        </is>
      </c>
      <c r="O550" t="inlineStr">
        <is>
          <t>Tipo A</t>
        </is>
      </c>
      <c r="P550" t="inlineStr">
        <is>
          <t>69+499</t>
        </is>
      </c>
      <c r="Q550" t="inlineStr">
        <is>
          <t>69+499</t>
        </is>
      </c>
      <c r="R550" t="inlineStr">
        <is>
          <t>Aberta</t>
        </is>
      </c>
      <c r="T550" t="inlineStr">
        <is>
          <t>Aline Batista</t>
        </is>
      </c>
      <c r="U550" t="inlineStr">
        <is>
          <t>24/04/2026</t>
        </is>
      </c>
      <c r="V550" t="inlineStr">
        <is>
          <t>01/05/2026</t>
        </is>
      </c>
      <c r="W550">
        <v>40</v>
      </c>
      <c r="AA550" t="inlineStr">
        <is>
          <t>Aberta 30-60 dias</t>
        </is>
      </c>
    </row>
    <row r="551">
      <c r="A551">
        <v>549</v>
      </c>
      <c r="B551">
        <v>2</v>
      </c>
      <c r="C551" t="inlineStr">
        <is>
          <t>1.6</t>
        </is>
      </c>
      <c r="D551" t="inlineStr">
        <is>
          <t>C01</t>
        </is>
      </c>
      <c r="E551" t="inlineStr">
        <is>
          <t>LD/LE</t>
        </is>
      </c>
      <c r="F551" t="inlineStr">
        <is>
          <t>ATERPA</t>
        </is>
      </c>
      <c r="G551" t="inlineStr">
        <is>
          <t>CLP-012</t>
        </is>
      </c>
      <c r="H551" t="inlineStr">
        <is>
          <t>Protocolo</t>
        </is>
      </c>
      <c r="I551">
        <v>4</v>
      </c>
      <c r="J551" t="inlineStr">
        <is>
          <t>Terraplenagem</t>
        </is>
      </c>
      <c r="K551" t="inlineStr">
        <is>
          <t>4.4</t>
        </is>
      </c>
      <c r="L551" t="inlineStr">
        <is>
          <t>Sublastro</t>
        </is>
      </c>
      <c r="M551" t="inlineStr">
        <is>
          <t>Material Solto</t>
        </is>
      </c>
      <c r="N551" t="inlineStr">
        <is>
          <t>Plataforma com diversos pontos de material solto</t>
        </is>
      </c>
      <c r="O551" t="inlineStr">
        <is>
          <t>Tipo A</t>
        </is>
      </c>
      <c r="P551" t="inlineStr">
        <is>
          <t>55+360</t>
        </is>
      </c>
      <c r="Q551" t="inlineStr">
        <is>
          <t>55+360</t>
        </is>
      </c>
      <c r="R551" t="inlineStr">
        <is>
          <t>Aberta</t>
        </is>
      </c>
      <c r="T551" t="inlineStr">
        <is>
          <t>Aline Batista</t>
        </is>
      </c>
      <c r="U551" t="inlineStr">
        <is>
          <t>24/04/2026</t>
        </is>
      </c>
      <c r="V551" t="inlineStr">
        <is>
          <t>01/05/2026</t>
        </is>
      </c>
      <c r="W551">
        <v>40</v>
      </c>
      <c r="AA551" t="inlineStr">
        <is>
          <t>Aberta 30-60 dias</t>
        </is>
      </c>
    </row>
    <row r="552">
      <c r="A552">
        <v>550</v>
      </c>
      <c r="B552">
        <v>2</v>
      </c>
      <c r="C552" t="inlineStr">
        <is>
          <t>1.6</t>
        </is>
      </c>
      <c r="D552" t="inlineStr">
        <is>
          <t>C01</t>
        </is>
      </c>
      <c r="E552" t="inlineStr">
        <is>
          <t>LD/LE</t>
        </is>
      </c>
      <c r="F552" t="inlineStr">
        <is>
          <t>ATERPA</t>
        </is>
      </c>
      <c r="G552" t="inlineStr">
        <is>
          <t>CLP-012</t>
        </is>
      </c>
      <c r="H552" t="inlineStr">
        <is>
          <t>Protocolo</t>
        </is>
      </c>
      <c r="I552">
        <v>4</v>
      </c>
      <c r="J552" t="inlineStr">
        <is>
          <t>Terraplenagem</t>
        </is>
      </c>
      <c r="K552" t="inlineStr">
        <is>
          <t>4.2</t>
        </is>
      </c>
      <c r="L552" t="inlineStr">
        <is>
          <t>Ensaios</t>
        </is>
      </c>
      <c r="M552" t="inlineStr">
        <is>
          <t>Documental</t>
        </is>
      </c>
      <c r="N552" t="inlineStr">
        <is>
          <t xml:space="preserve">Resumo estatístico de ensaios in situ – Segmentos 1.6  (KM 55+200 ao KM 68+000)
Registro 0236-S – KM 46+300 (2ª camada CA): quantidade de furos inferior ao especificado.
Registro 30022-S – KM 55+540  (Sublastro): reprovada por desvio de umidade
Registro 7698-S, 7699-S, 7700-S, 7701-S, 7702-S, 7703-S, 7704-S  – KM 58+460 a 59+180 (Sublastro): número de furos inferior ao especificado.
Registro 4203-S, 4204-S – KM 60+520 a 60+660 (8ª camada CA): quantidade de furos muito superior ao volume, verificar volume.
Registro 4157-S – KM 61+300 a 61+360 (17ª camada CA): quantidade de furos inferior ao especificado.
Registro 0306-S – KM 61+600 a 61+740 (3ª camada CA): camada reprovada e retrabalhada com volume inferior.
Registro 0290-S – KM 61+520 a 61+740 (4ª camada CA): quantidade de furos inferior ao especificado.
Registro 10335-S – KM 61+900 a 61+960 (3ª camada CA): quantidade de furos inferior ao especificado.
Registro 6926-S – KM 62+040 a 62+060 (25ª camada CA): pendente informação do volume da camada.
Registro 6921-S – KM 62+040 a 62+060 (25ª camada CA): pendente informação do volume da camada.
Registro 7943-S – KM 61+160 ( Sublastro): camada reprovada por compactação
Registro 2437-S – KM 64+540 a 65+040 (3ª camada CFT): quantidade de furos inferior ao especificado.
Registro 2439-S – KM 64+540 a 65+040 (3ª camada CFT): quantidade de furos inferior ao especificado.
Registro 30046-S, 30047-S, 30048-S – KM 65+580 a 66+380 (Subastro): número de furos inferior ao especificado.
Registro 2894-S, 2895-S, 2896-S, 2893-S, 2897-S (Subastro): quantidade de furos inferior ao especificado.
Registro 2898-S, 2899-S, 28900-S KM 67+260 a 68+000 (Subastro): quantidade de furos inferior ao especificado.
Registro 3061-S KM 70+900 a 71+040 (47ª camada CA): quantidade de furos inferior ao especificado.
Registro 30054-S KM 68+000 a 68+600 (Sublastro): quantidade de furos inferior ao especificado.</t>
        </is>
      </c>
      <c r="O552" t="inlineStr">
        <is>
          <t>Tipo B</t>
        </is>
      </c>
      <c r="P552" t="inlineStr">
        <is>
          <t>55+200</t>
        </is>
      </c>
      <c r="Q552" t="inlineStr">
        <is>
          <t>55+200</t>
        </is>
      </c>
      <c r="R552" t="inlineStr">
        <is>
          <t>Aberta</t>
        </is>
      </c>
      <c r="T552" t="inlineStr">
        <is>
          <t>Aline Batista</t>
        </is>
      </c>
      <c r="U552" t="inlineStr">
        <is>
          <t>24/04/2026</t>
        </is>
      </c>
      <c r="V552" t="inlineStr">
        <is>
          <t>09/05/2026</t>
        </is>
      </c>
      <c r="W552">
        <v>32</v>
      </c>
      <c r="AA552" t="inlineStr">
        <is>
          <t>Aberta 30-60 dias</t>
        </is>
      </c>
    </row>
    <row r="553">
      <c r="A553">
        <v>551</v>
      </c>
      <c r="B553">
        <v>2</v>
      </c>
      <c r="C553" t="inlineStr">
        <is>
          <t>1.6</t>
        </is>
      </c>
      <c r="D553" t="inlineStr">
        <is>
          <t>C01/A01/C02/A02/C03/A03/C04/A04/C05/A05/C06/A06/C07/A07/C08/A08/C09/A09/C10/A10/C12/A12/A13</t>
        </is>
      </c>
      <c r="E553" t="inlineStr">
        <is>
          <t>LD/LE</t>
        </is>
      </c>
      <c r="F553" t="inlineStr">
        <is>
          <t>ATERPA</t>
        </is>
      </c>
      <c r="G553" t="inlineStr">
        <is>
          <t>CLP-012</t>
        </is>
      </c>
      <c r="H553" t="inlineStr">
        <is>
          <t>Protocolo</t>
        </is>
      </c>
      <c r="I553">
        <v>4</v>
      </c>
      <c r="J553" t="inlineStr">
        <is>
          <t>Terraplenagem</t>
        </is>
      </c>
      <c r="K553" t="inlineStr">
        <is>
          <t>4.6</t>
        </is>
      </c>
      <c r="L553" t="inlineStr">
        <is>
          <t>Ensaios</t>
        </is>
      </c>
      <c r="M553" t="inlineStr">
        <is>
          <t>Documental</t>
        </is>
      </c>
      <c r="N553" t="inlineStr">
        <is>
          <t xml:space="preserve">Pendente registro dos KM Corpo de aterro KM 59+280 ao  59+700, KM 63+500 ao 64+000, KM 67+260 ao 69+280
Camada final KM67+180 ao 69+280
Sublastro KM 59+280 A 59+720</t>
        </is>
      </c>
      <c r="O553" t="inlineStr">
        <is>
          <t>Tipo B</t>
        </is>
      </c>
      <c r="P553" t="inlineStr">
        <is>
          <t xml:space="preserve"> 55+200</t>
        </is>
      </c>
      <c r="Q553" t="inlineStr">
        <is>
          <t>71+300</t>
        </is>
      </c>
      <c r="R553" t="inlineStr">
        <is>
          <t>Aberta</t>
        </is>
      </c>
      <c r="T553" t="inlineStr">
        <is>
          <t>Aline Batista</t>
        </is>
      </c>
      <c r="U553" t="inlineStr">
        <is>
          <t>24/04/2026</t>
        </is>
      </c>
      <c r="V553" t="inlineStr">
        <is>
          <t>09/05/2026</t>
        </is>
      </c>
      <c r="W553">
        <v>32</v>
      </c>
      <c r="AA553" t="inlineStr">
        <is>
          <t>Aberta 30-60 dias</t>
        </is>
      </c>
    </row>
    <row r="554">
      <c r="A554">
        <v>552</v>
      </c>
      <c r="B554">
        <v>2</v>
      </c>
      <c r="C554" t="inlineStr">
        <is>
          <t>1.6</t>
        </is>
      </c>
      <c r="D554" t="inlineStr">
        <is>
          <t>C04</t>
        </is>
      </c>
      <c r="E554" t="inlineStr">
        <is>
          <t>EX</t>
        </is>
      </c>
      <c r="F554" t="inlineStr">
        <is>
          <t>ATERPA</t>
        </is>
      </c>
      <c r="G554" t="inlineStr">
        <is>
          <t>CLP-012</t>
        </is>
      </c>
      <c r="H554" t="inlineStr">
        <is>
          <t>Protocolo</t>
        </is>
      </c>
      <c r="I554">
        <v>4</v>
      </c>
      <c r="J554" t="inlineStr">
        <is>
          <t>Terraplenagem</t>
        </is>
      </c>
      <c r="K554" t="inlineStr">
        <is>
          <t>4.4</t>
        </is>
      </c>
      <c r="L554" t="inlineStr">
        <is>
          <t>Sublastro</t>
        </is>
      </c>
      <c r="M554" t="inlineStr">
        <is>
          <t>Material Solto</t>
        </is>
      </c>
      <c r="N554" t="inlineStr">
        <is>
          <t>Pendente compactação de sublastro</t>
        </is>
      </c>
      <c r="O554" t="inlineStr">
        <is>
          <t>Tipo A</t>
        </is>
      </c>
      <c r="P554" t="inlineStr">
        <is>
          <t xml:space="preserve"> 57+000</t>
        </is>
      </c>
      <c r="Q554" t="inlineStr">
        <is>
          <t xml:space="preserve"> 57+000</t>
        </is>
      </c>
      <c r="R554" t="inlineStr">
        <is>
          <t>Aberta</t>
        </is>
      </c>
      <c r="T554" t="inlineStr">
        <is>
          <t>Aline Batista</t>
        </is>
      </c>
      <c r="U554" t="inlineStr">
        <is>
          <t>24/04/2026</t>
        </is>
      </c>
      <c r="V554" t="inlineStr">
        <is>
          <t>01/05/2026</t>
        </is>
      </c>
      <c r="W554">
        <v>40</v>
      </c>
      <c r="AA554" t="inlineStr">
        <is>
          <t>Aberta 30-60 dias</t>
        </is>
      </c>
    </row>
    <row r="555">
      <c r="A555">
        <v>553</v>
      </c>
      <c r="B555">
        <v>2</v>
      </c>
      <c r="C555" t="inlineStr">
        <is>
          <t>1.6</t>
        </is>
      </c>
      <c r="D555" t="inlineStr">
        <is>
          <t>C06</t>
        </is>
      </c>
      <c r="E555" t="inlineStr">
        <is>
          <t>EX</t>
        </is>
      </c>
      <c r="F555" t="inlineStr">
        <is>
          <t>ATERPA</t>
        </is>
      </c>
      <c r="G555" t="inlineStr">
        <is>
          <t>CLP-012</t>
        </is>
      </c>
      <c r="H555" t="inlineStr">
        <is>
          <t>Protocolo</t>
        </is>
      </c>
      <c r="I555">
        <v>4</v>
      </c>
      <c r="J555" t="inlineStr">
        <is>
          <t>Terraplenagem</t>
        </is>
      </c>
      <c r="K555" t="inlineStr">
        <is>
          <t>4.4</t>
        </is>
      </c>
      <c r="L555" t="inlineStr">
        <is>
          <t xml:space="preserve">Talude </t>
        </is>
      </c>
      <c r="M555" t="inlineStr">
        <is>
          <t>Fissuras/ trincas na plataforma</t>
        </is>
      </c>
      <c r="N555" t="inlineStr">
        <is>
          <t>Presença de trincas em varios pontos do subastro</t>
        </is>
      </c>
      <c r="O555" t="inlineStr">
        <is>
          <t>Tipo A</t>
        </is>
      </c>
      <c r="P555" t="inlineStr">
        <is>
          <t xml:space="preserve"> 59+480</t>
        </is>
      </c>
      <c r="Q555" t="inlineStr">
        <is>
          <t xml:space="preserve"> 59+480</t>
        </is>
      </c>
      <c r="R555" t="inlineStr">
        <is>
          <t>Aberta</t>
        </is>
      </c>
      <c r="T555" t="inlineStr">
        <is>
          <t>Aline Batista</t>
        </is>
      </c>
      <c r="U555" t="inlineStr">
        <is>
          <t>24/04/2026</t>
        </is>
      </c>
      <c r="V555" t="inlineStr">
        <is>
          <t>01/05/2026</t>
        </is>
      </c>
      <c r="W555">
        <v>40</v>
      </c>
      <c r="AA555" t="inlineStr">
        <is>
          <t>Aberta 30-60 dias</t>
        </is>
      </c>
    </row>
    <row r="556">
      <c r="A556">
        <v>554</v>
      </c>
      <c r="B556">
        <v>2</v>
      </c>
      <c r="C556" t="inlineStr">
        <is>
          <t>1.6</t>
        </is>
      </c>
      <c r="D556" t="inlineStr">
        <is>
          <t>C02</t>
        </is>
      </c>
      <c r="E556" t="inlineStr">
        <is>
          <t>LE/LD</t>
        </is>
      </c>
      <c r="F556" t="inlineStr">
        <is>
          <t>ATERPA</t>
        </is>
      </c>
      <c r="G556" t="inlineStr">
        <is>
          <t>CLP-012</t>
        </is>
      </c>
      <c r="H556" t="inlineStr">
        <is>
          <t>Fiscalização</t>
        </is>
      </c>
      <c r="I556">
        <v>4</v>
      </c>
      <c r="J556" t="inlineStr">
        <is>
          <t>Terraplenagem</t>
        </is>
      </c>
      <c r="K556" t="inlineStr">
        <is>
          <t>4.11</t>
        </is>
      </c>
      <c r="L556" t="inlineStr">
        <is>
          <t xml:space="preserve">Talude </t>
        </is>
      </c>
      <c r="M556" t="inlineStr">
        <is>
          <t>Revegetação/ Hidrossemeadura</t>
        </is>
      </c>
      <c r="N556" t="inlineStr">
        <is>
          <t xml:space="preserve">
Presença de erosões e repasse de Hidrossemeadura</t>
        </is>
      </c>
      <c r="O556" t="inlineStr">
        <is>
          <t>Tipo A</t>
        </is>
      </c>
      <c r="P556" t="inlineStr">
        <is>
          <t>55+700</t>
        </is>
      </c>
      <c r="Q556" t="inlineStr">
        <is>
          <t>55+700</t>
        </is>
      </c>
      <c r="R556" t="inlineStr">
        <is>
          <t>Aberta</t>
        </is>
      </c>
      <c r="T556" t="inlineStr">
        <is>
          <t>Aline Batista</t>
        </is>
      </c>
      <c r="U556" t="inlineStr">
        <is>
          <t>24/04/2026</t>
        </is>
      </c>
      <c r="V556" t="inlineStr">
        <is>
          <t>01/05/2026</t>
        </is>
      </c>
      <c r="W556">
        <v>40</v>
      </c>
      <c r="AA556" t="inlineStr">
        <is>
          <t>Aberta 30-60 dias</t>
        </is>
      </c>
    </row>
    <row r="557">
      <c r="A557">
        <v>555</v>
      </c>
      <c r="B557">
        <v>2</v>
      </c>
      <c r="C557" t="inlineStr">
        <is>
          <t>1.6</t>
        </is>
      </c>
      <c r="D557" t="inlineStr">
        <is>
          <t>C02</t>
        </is>
      </c>
      <c r="E557" t="inlineStr">
        <is>
          <t>LE/LD</t>
        </is>
      </c>
      <c r="F557" t="inlineStr">
        <is>
          <t>ATERPA</t>
        </is>
      </c>
      <c r="G557" t="inlineStr">
        <is>
          <t>CLP-012</t>
        </is>
      </c>
      <c r="H557" t="inlineStr">
        <is>
          <t>Fiscalização</t>
        </is>
      </c>
      <c r="I557">
        <v>4</v>
      </c>
      <c r="J557" t="inlineStr">
        <is>
          <t>Terraplenagem</t>
        </is>
      </c>
      <c r="K557" t="inlineStr">
        <is>
          <t>4.11</t>
        </is>
      </c>
      <c r="L557" t="inlineStr">
        <is>
          <t xml:space="preserve">Talude </t>
        </is>
      </c>
      <c r="M557" t="inlineStr">
        <is>
          <t>Revegetação/ Hidrossemeadura</t>
        </is>
      </c>
      <c r="N557" t="inlineStr">
        <is>
          <t>Coveamento e aplicação de hidrossemeadura pendente.</t>
        </is>
      </c>
      <c r="O557" t="inlineStr">
        <is>
          <t>Tipo A</t>
        </is>
      </c>
      <c r="P557" t="inlineStr">
        <is>
          <t xml:space="preserve"> 55+740</t>
        </is>
      </c>
      <c r="Q557" t="inlineStr">
        <is>
          <t xml:space="preserve"> 55+740</t>
        </is>
      </c>
      <c r="R557" t="inlineStr">
        <is>
          <t>Aberta</t>
        </is>
      </c>
      <c r="T557" t="inlineStr">
        <is>
          <t>Aline Batista</t>
        </is>
      </c>
      <c r="U557" t="inlineStr">
        <is>
          <t>24/04/2026</t>
        </is>
      </c>
      <c r="V557" t="inlineStr">
        <is>
          <t>01/05/2026</t>
        </is>
      </c>
      <c r="W557">
        <v>40</v>
      </c>
      <c r="AA557" t="inlineStr">
        <is>
          <t>Aberta 30-60 dias</t>
        </is>
      </c>
    </row>
    <row r="558">
      <c r="A558">
        <v>556</v>
      </c>
      <c r="B558">
        <v>2</v>
      </c>
      <c r="C558" t="inlineStr">
        <is>
          <t>1.6</t>
        </is>
      </c>
      <c r="D558" t="inlineStr">
        <is>
          <t>C04</t>
        </is>
      </c>
      <c r="E558" t="inlineStr">
        <is>
          <t>LD</t>
        </is>
      </c>
      <c r="F558" t="inlineStr">
        <is>
          <t>ATERPA</t>
        </is>
      </c>
      <c r="G558" t="inlineStr">
        <is>
          <t>CLP-012</t>
        </is>
      </c>
      <c r="H558" t="inlineStr">
        <is>
          <t>Protocolo</t>
        </is>
      </c>
      <c r="I558">
        <v>4</v>
      </c>
      <c r="J558" t="inlineStr">
        <is>
          <t>Terraplenagem</t>
        </is>
      </c>
      <c r="K558" t="inlineStr">
        <is>
          <t>4.11</t>
        </is>
      </c>
      <c r="L558" t="inlineStr">
        <is>
          <t>Talude</t>
        </is>
      </c>
      <c r="M558" t="inlineStr">
        <is>
          <t>Revegetação/ Hidrossemeadura</t>
        </is>
      </c>
      <c r="N558" t="inlineStr">
        <is>
          <t>Hidrossemeadura aplicada sem conformação do talude e laterais da drenagem</t>
        </is>
      </c>
      <c r="O558" t="inlineStr">
        <is>
          <t>Tipo A</t>
        </is>
      </c>
      <c r="P558" t="inlineStr">
        <is>
          <t>56+460</t>
        </is>
      </c>
      <c r="Q558" t="inlineStr">
        <is>
          <t>56+460</t>
        </is>
      </c>
      <c r="R558" t="inlineStr">
        <is>
          <t>Aberta</t>
        </is>
      </c>
      <c r="T558" t="inlineStr">
        <is>
          <t>Aline Batista</t>
        </is>
      </c>
      <c r="U558" t="inlineStr">
        <is>
          <t>24/04/2026</t>
        </is>
      </c>
      <c r="V558" t="inlineStr">
        <is>
          <t>01/05/2026</t>
        </is>
      </c>
      <c r="W558">
        <v>40</v>
      </c>
      <c r="AA558" t="inlineStr">
        <is>
          <t>Aberta 30-60 dias</t>
        </is>
      </c>
    </row>
    <row r="559">
      <c r="A559">
        <v>557</v>
      </c>
      <c r="B559">
        <v>2</v>
      </c>
      <c r="C559" t="inlineStr">
        <is>
          <t>1.6</t>
        </is>
      </c>
      <c r="D559" t="inlineStr">
        <is>
          <t>C04</t>
        </is>
      </c>
      <c r="E559" t="inlineStr">
        <is>
          <t>LE/LD</t>
        </is>
      </c>
      <c r="F559" t="inlineStr">
        <is>
          <t>ATERPA</t>
        </is>
      </c>
      <c r="G559" t="inlineStr">
        <is>
          <t>CLP-012</t>
        </is>
      </c>
      <c r="H559" t="inlineStr">
        <is>
          <t>Fiscalização</t>
        </is>
      </c>
      <c r="I559">
        <v>4</v>
      </c>
      <c r="J559" t="inlineStr">
        <is>
          <t>Terraplenagem</t>
        </is>
      </c>
      <c r="K559" t="inlineStr">
        <is>
          <t>4.11</t>
        </is>
      </c>
      <c r="L559" t="inlineStr">
        <is>
          <t>Talude</t>
        </is>
      </c>
      <c r="M559" t="inlineStr">
        <is>
          <t>Erosões</t>
        </is>
      </c>
      <c r="N559" t="inlineStr">
        <is>
          <t>Porcesso erosivo em varios pontos do corte</t>
        </is>
      </c>
      <c r="O559" t="inlineStr">
        <is>
          <t>Tipo A</t>
        </is>
      </c>
      <c r="P559" t="inlineStr">
        <is>
          <t xml:space="preserve"> 56+500</t>
        </is>
      </c>
      <c r="Q559" t="inlineStr">
        <is>
          <t>57+140</t>
        </is>
      </c>
      <c r="R559" t="inlineStr">
        <is>
          <t>Aberta</t>
        </is>
      </c>
      <c r="T559" t="inlineStr">
        <is>
          <t>Aline Batista</t>
        </is>
      </c>
      <c r="U559" t="inlineStr">
        <is>
          <t>24/04/2026</t>
        </is>
      </c>
      <c r="V559" t="inlineStr">
        <is>
          <t>01/05/2026</t>
        </is>
      </c>
      <c r="W559">
        <v>40</v>
      </c>
      <c r="AA559" t="inlineStr">
        <is>
          <t>Aberta 30-60 dias</t>
        </is>
      </c>
    </row>
    <row r="560">
      <c r="A560">
        <v>558</v>
      </c>
      <c r="B560">
        <v>2</v>
      </c>
      <c r="C560" t="inlineStr">
        <is>
          <t>1.6</t>
        </is>
      </c>
      <c r="D560" t="inlineStr">
        <is>
          <t>C04</t>
        </is>
      </c>
      <c r="E560" t="inlineStr">
        <is>
          <t>LE/LD</t>
        </is>
      </c>
      <c r="F560" t="inlineStr">
        <is>
          <t>ATERPA</t>
        </is>
      </c>
      <c r="G560" t="inlineStr">
        <is>
          <t>CLP-012</t>
        </is>
      </c>
      <c r="H560" t="inlineStr">
        <is>
          <t>Protocolo</t>
        </is>
      </c>
      <c r="I560">
        <v>4</v>
      </c>
      <c r="J560" t="inlineStr">
        <is>
          <t>Terraplenagem</t>
        </is>
      </c>
      <c r="K560" t="inlineStr">
        <is>
          <t>4.11</t>
        </is>
      </c>
      <c r="L560" t="inlineStr">
        <is>
          <t>Talude</t>
        </is>
      </c>
      <c r="M560" t="inlineStr">
        <is>
          <t>Revegetação/ Hidrossemeadura</t>
        </is>
      </c>
      <c r="N560" t="inlineStr">
        <is>
          <t>Repasse de Hidrossemeadura em varios pontos do corte</t>
        </is>
      </c>
      <c r="O560" t="inlineStr">
        <is>
          <t>Tipo A</t>
        </is>
      </c>
      <c r="P560" t="inlineStr">
        <is>
          <t xml:space="preserve"> 56+500</t>
        </is>
      </c>
      <c r="Q560" t="inlineStr">
        <is>
          <t>57+140</t>
        </is>
      </c>
      <c r="R560" t="inlineStr">
        <is>
          <t>Aberta</t>
        </is>
      </c>
      <c r="T560" t="inlineStr">
        <is>
          <t>Aline Batista</t>
        </is>
      </c>
      <c r="U560" t="inlineStr">
        <is>
          <t>24/04/2026</t>
        </is>
      </c>
      <c r="V560" t="inlineStr">
        <is>
          <t>01/05/2026</t>
        </is>
      </c>
      <c r="W560">
        <v>40</v>
      </c>
      <c r="AA560" t="inlineStr">
        <is>
          <t>Aberta 30-60 dias</t>
        </is>
      </c>
    </row>
    <row r="561">
      <c r="A561">
        <v>559</v>
      </c>
      <c r="B561">
        <v>2</v>
      </c>
      <c r="C561" t="inlineStr">
        <is>
          <t>1.6</t>
        </is>
      </c>
      <c r="D561" t="inlineStr">
        <is>
          <t>C04</t>
        </is>
      </c>
      <c r="E561" t="inlineStr">
        <is>
          <t>LE/LD</t>
        </is>
      </c>
      <c r="F561" t="inlineStr">
        <is>
          <t>ATERPA</t>
        </is>
      </c>
      <c r="G561" t="inlineStr">
        <is>
          <t>CLP-012</t>
        </is>
      </c>
      <c r="H561" t="inlineStr">
        <is>
          <t>Fiscalização</t>
        </is>
      </c>
      <c r="I561">
        <v>4</v>
      </c>
      <c r="J561" t="inlineStr">
        <is>
          <t>Terraplenagem</t>
        </is>
      </c>
      <c r="K561" t="inlineStr">
        <is>
          <t>4.11</t>
        </is>
      </c>
      <c r="L561" t="inlineStr">
        <is>
          <t>Talude</t>
        </is>
      </c>
      <c r="M561" t="inlineStr">
        <is>
          <t>Erosões</t>
        </is>
      </c>
      <c r="N561" t="inlineStr">
        <is>
          <t>Porcesso erosivo em varios pontos do corte</t>
        </is>
      </c>
      <c r="O561" t="inlineStr">
        <is>
          <t>Tipo A</t>
        </is>
      </c>
      <c r="P561" t="inlineStr">
        <is>
          <t xml:space="preserve"> 56+500</t>
        </is>
      </c>
      <c r="Q561" t="inlineStr">
        <is>
          <t>57+140</t>
        </is>
      </c>
      <c r="R561" t="inlineStr">
        <is>
          <t>Aberta</t>
        </is>
      </c>
      <c r="T561" t="inlineStr">
        <is>
          <t>Aline Batista</t>
        </is>
      </c>
      <c r="U561" t="inlineStr">
        <is>
          <t>24/04/2026</t>
        </is>
      </c>
      <c r="V561" t="inlineStr">
        <is>
          <t>01/05/2026</t>
        </is>
      </c>
      <c r="W561">
        <v>40</v>
      </c>
      <c r="AA561" t="inlineStr">
        <is>
          <t>Aberta 30-60 dias</t>
        </is>
      </c>
    </row>
    <row r="562">
      <c r="A562">
        <v>560</v>
      </c>
      <c r="B562">
        <v>2</v>
      </c>
      <c r="C562" t="inlineStr">
        <is>
          <t>1.6</t>
        </is>
      </c>
      <c r="D562" t="inlineStr">
        <is>
          <t>C04</t>
        </is>
      </c>
      <c r="E562" t="inlineStr">
        <is>
          <t>LD</t>
        </is>
      </c>
      <c r="F562" t="inlineStr">
        <is>
          <t>ATERPA</t>
        </is>
      </c>
      <c r="G562" t="inlineStr">
        <is>
          <t>CLP-012</t>
        </is>
      </c>
      <c r="H562" t="inlineStr">
        <is>
          <t>Fiscalização</t>
        </is>
      </c>
      <c r="I562">
        <v>4</v>
      </c>
      <c r="J562" t="inlineStr">
        <is>
          <t>Terraplenagem</t>
        </is>
      </c>
      <c r="K562" t="inlineStr">
        <is>
          <t>4.11</t>
        </is>
      </c>
      <c r="L562" t="inlineStr">
        <is>
          <t>Talude</t>
        </is>
      </c>
      <c r="M562" t="inlineStr">
        <is>
          <t>Erosões</t>
        </is>
      </c>
      <c r="N562" t="inlineStr">
        <is>
          <t>Porcesso erosivo em varios pontos do corte</t>
        </is>
      </c>
      <c r="O562" t="inlineStr">
        <is>
          <t>Tipo A</t>
        </is>
      </c>
      <c r="P562" t="inlineStr">
        <is>
          <t xml:space="preserve"> 56+500</t>
        </is>
      </c>
      <c r="Q562" t="inlineStr">
        <is>
          <t>57+140</t>
        </is>
      </c>
      <c r="R562" t="inlineStr">
        <is>
          <t>Aberta</t>
        </is>
      </c>
      <c r="T562" t="inlineStr">
        <is>
          <t>Aline Batista</t>
        </is>
      </c>
      <c r="U562" t="inlineStr">
        <is>
          <t>24/04/2026</t>
        </is>
      </c>
      <c r="V562" t="inlineStr">
        <is>
          <t>01/05/2026</t>
        </is>
      </c>
      <c r="W562">
        <v>40</v>
      </c>
      <c r="AA562" t="inlineStr">
        <is>
          <t>Aberta 30-60 dias</t>
        </is>
      </c>
    </row>
    <row r="563">
      <c r="A563">
        <v>561</v>
      </c>
      <c r="B563">
        <v>2</v>
      </c>
      <c r="C563" t="inlineStr">
        <is>
          <t>1.6</t>
        </is>
      </c>
      <c r="D563" t="inlineStr">
        <is>
          <t>C04</t>
        </is>
      </c>
      <c r="E563" t="inlineStr">
        <is>
          <t>LD/LE</t>
        </is>
      </c>
      <c r="F563" t="inlineStr">
        <is>
          <t>ATERPA</t>
        </is>
      </c>
      <c r="G563" t="inlineStr">
        <is>
          <t>CLP-012</t>
        </is>
      </c>
      <c r="H563" t="inlineStr">
        <is>
          <t>Fiscalização</t>
        </is>
      </c>
      <c r="I563">
        <v>4</v>
      </c>
      <c r="J563" t="inlineStr">
        <is>
          <t>Terraplenagem</t>
        </is>
      </c>
      <c r="K563" t="inlineStr">
        <is>
          <t>4.11</t>
        </is>
      </c>
      <c r="L563" t="inlineStr">
        <is>
          <t>Talude</t>
        </is>
      </c>
      <c r="M563" t="inlineStr">
        <is>
          <t>Erosões</t>
        </is>
      </c>
      <c r="N563" t="inlineStr">
        <is>
          <t>Porcesso erosivo em varios pontos do corte</t>
        </is>
      </c>
      <c r="O563" t="inlineStr">
        <is>
          <t>Tipo A</t>
        </is>
      </c>
      <c r="P563" t="inlineStr">
        <is>
          <t>56+500</t>
        </is>
      </c>
      <c r="Q563" t="inlineStr">
        <is>
          <t>57+140</t>
        </is>
      </c>
      <c r="R563" t="inlineStr">
        <is>
          <t>Aberta</t>
        </is>
      </c>
      <c r="T563" t="inlineStr">
        <is>
          <t>Aline Batista</t>
        </is>
      </c>
      <c r="U563" t="inlineStr">
        <is>
          <t>24/04/2026</t>
        </is>
      </c>
      <c r="V563" t="inlineStr">
        <is>
          <t>01/05/2026</t>
        </is>
      </c>
      <c r="W563">
        <v>40</v>
      </c>
      <c r="AA563" t="inlineStr">
        <is>
          <t>Aberta 30-60 dias</t>
        </is>
      </c>
    </row>
    <row r="564">
      <c r="A564">
        <v>562</v>
      </c>
      <c r="B564">
        <v>2</v>
      </c>
      <c r="C564" t="inlineStr">
        <is>
          <t>1.6</t>
        </is>
      </c>
      <c r="D564" t="inlineStr">
        <is>
          <t>C04</t>
        </is>
      </c>
      <c r="E564" t="inlineStr">
        <is>
          <t>LD/LE</t>
        </is>
      </c>
      <c r="F564" t="inlineStr">
        <is>
          <t>ATERPA</t>
        </is>
      </c>
      <c r="G564" t="inlineStr">
        <is>
          <t>CLP-012</t>
        </is>
      </c>
      <c r="H564" t="inlineStr">
        <is>
          <t>Fiscalização</t>
        </is>
      </c>
      <c r="I564">
        <v>4</v>
      </c>
      <c r="J564" t="inlineStr">
        <is>
          <t>Terraplenagem</t>
        </is>
      </c>
      <c r="K564" t="inlineStr">
        <is>
          <t>4.11</t>
        </is>
      </c>
      <c r="L564" t="inlineStr">
        <is>
          <t>Talude</t>
        </is>
      </c>
      <c r="M564" t="inlineStr">
        <is>
          <t>Erosões</t>
        </is>
      </c>
      <c r="N564" t="inlineStr">
        <is>
          <t>Porcesso erosivo em varios pontos do corte</t>
        </is>
      </c>
      <c r="O564" t="inlineStr">
        <is>
          <t>Tipo A</t>
        </is>
      </c>
      <c r="P564" t="inlineStr">
        <is>
          <t>56+500</t>
        </is>
      </c>
      <c r="Q564" t="inlineStr">
        <is>
          <t>57+140</t>
        </is>
      </c>
      <c r="R564" t="inlineStr">
        <is>
          <t>Aberta</t>
        </is>
      </c>
      <c r="T564" t="inlineStr">
        <is>
          <t>Aline Batista</t>
        </is>
      </c>
      <c r="U564" t="inlineStr">
        <is>
          <t>24/04/2026</t>
        </is>
      </c>
      <c r="V564" t="inlineStr">
        <is>
          <t>01/05/2026</t>
        </is>
      </c>
      <c r="W564">
        <v>40</v>
      </c>
      <c r="AA564" t="inlineStr">
        <is>
          <t>Aberta 30-60 dias</t>
        </is>
      </c>
    </row>
    <row r="565">
      <c r="A565">
        <v>563</v>
      </c>
      <c r="B565">
        <v>2</v>
      </c>
      <c r="C565" t="inlineStr">
        <is>
          <t>1.6</t>
        </is>
      </c>
      <c r="D565" t="inlineStr">
        <is>
          <t>C04</t>
        </is>
      </c>
      <c r="E565" t="inlineStr">
        <is>
          <t>LD</t>
        </is>
      </c>
      <c r="F565" t="inlineStr">
        <is>
          <t>ATERPA</t>
        </is>
      </c>
      <c r="G565" t="inlineStr">
        <is>
          <t>CLP-012</t>
        </is>
      </c>
      <c r="H565" t="inlineStr">
        <is>
          <t>Fiscalização</t>
        </is>
      </c>
      <c r="I565">
        <v>4</v>
      </c>
      <c r="J565" t="inlineStr">
        <is>
          <t>Terraplenagem</t>
        </is>
      </c>
      <c r="K565" t="inlineStr">
        <is>
          <t>4.11</t>
        </is>
      </c>
      <c r="L565" t="inlineStr">
        <is>
          <t xml:space="preserve">Talude </t>
        </is>
      </c>
      <c r="M565" t="inlineStr">
        <is>
          <t>Erosões</t>
        </is>
      </c>
      <c r="N565" t="inlineStr">
        <is>
          <t>Porcesso erosivo em varios pontos do corte</t>
        </is>
      </c>
      <c r="O565" t="inlineStr">
        <is>
          <t>Tipo A</t>
        </is>
      </c>
      <c r="P565" t="inlineStr">
        <is>
          <t xml:space="preserve"> 56+500 </t>
        </is>
      </c>
      <c r="Q565" t="inlineStr">
        <is>
          <t>57+140</t>
        </is>
      </c>
      <c r="R565" t="inlineStr">
        <is>
          <t>Aberta</t>
        </is>
      </c>
      <c r="T565" t="inlineStr">
        <is>
          <t>Aline Batista</t>
        </is>
      </c>
      <c r="U565" t="inlineStr">
        <is>
          <t>24/04/2026</t>
        </is>
      </c>
      <c r="V565" t="inlineStr">
        <is>
          <t>01/05/2026</t>
        </is>
      </c>
      <c r="W565">
        <v>40</v>
      </c>
      <c r="AA565" t="inlineStr">
        <is>
          <t>Aberta 30-60 dias</t>
        </is>
      </c>
    </row>
    <row r="566">
      <c r="A566">
        <v>564</v>
      </c>
      <c r="B566">
        <v>2</v>
      </c>
      <c r="C566" t="inlineStr">
        <is>
          <t>1.6</t>
        </is>
      </c>
      <c r="D566" t="inlineStr">
        <is>
          <t>A04</t>
        </is>
      </c>
      <c r="E566" t="inlineStr">
        <is>
          <t>LD</t>
        </is>
      </c>
      <c r="F566" t="inlineStr">
        <is>
          <t>ATERPA</t>
        </is>
      </c>
      <c r="G566" t="inlineStr">
        <is>
          <t>CLP-012</t>
        </is>
      </c>
      <c r="H566" t="inlineStr">
        <is>
          <t>Protocolo</t>
        </is>
      </c>
      <c r="I566">
        <v>4</v>
      </c>
      <c r="J566" t="inlineStr">
        <is>
          <t>Terraplenagem</t>
        </is>
      </c>
      <c r="K566" t="inlineStr">
        <is>
          <t>4.11</t>
        </is>
      </c>
      <c r="L566" t="inlineStr">
        <is>
          <t>Aterro</t>
        </is>
      </c>
      <c r="M566" t="inlineStr">
        <is>
          <t>Erosões</t>
        </is>
      </c>
      <c r="N566" t="inlineStr">
        <is>
          <t xml:space="preserve">Erosão </t>
        </is>
      </c>
      <c r="O566" t="inlineStr">
        <is>
          <t>Tipo A</t>
        </is>
      </c>
      <c r="P566" t="inlineStr">
        <is>
          <t>57+380</t>
        </is>
      </c>
      <c r="Q566" t="inlineStr">
        <is>
          <t>57+380</t>
        </is>
      </c>
      <c r="R566" t="inlineStr">
        <is>
          <t>Aberta</t>
        </is>
      </c>
      <c r="T566" t="inlineStr">
        <is>
          <t>Aline Batista</t>
        </is>
      </c>
      <c r="U566" t="inlineStr">
        <is>
          <t>24/04/2026</t>
        </is>
      </c>
      <c r="V566" t="inlineStr">
        <is>
          <t>01/05/2026</t>
        </is>
      </c>
      <c r="W566">
        <v>40</v>
      </c>
      <c r="AA566" t="inlineStr">
        <is>
          <t>Aberta 30-60 dias</t>
        </is>
      </c>
    </row>
    <row r="567">
      <c r="A567">
        <v>565</v>
      </c>
      <c r="B567">
        <v>2</v>
      </c>
      <c r="C567" t="inlineStr">
        <is>
          <t>1.6</t>
        </is>
      </c>
      <c r="D567" t="inlineStr">
        <is>
          <t>A04</t>
        </is>
      </c>
      <c r="E567" t="inlineStr">
        <is>
          <t>LE</t>
        </is>
      </c>
      <c r="F567" t="inlineStr">
        <is>
          <t>ATERPA</t>
        </is>
      </c>
      <c r="G567" t="inlineStr">
        <is>
          <t>CLP-012</t>
        </is>
      </c>
      <c r="H567" t="inlineStr">
        <is>
          <t>Protocolo</t>
        </is>
      </c>
      <c r="I567">
        <v>4</v>
      </c>
      <c r="J567" t="inlineStr">
        <is>
          <t>Terraplenagem</t>
        </is>
      </c>
      <c r="K567" t="inlineStr">
        <is>
          <t>4.11</t>
        </is>
      </c>
      <c r="L567" t="inlineStr">
        <is>
          <t>Aterro</t>
        </is>
      </c>
      <c r="M567" t="inlineStr">
        <is>
          <t>Erosões</t>
        </is>
      </c>
      <c r="N567" t="inlineStr">
        <is>
          <t>Presença de ravinamentos e repasse de Hidrossemeadura</t>
        </is>
      </c>
      <c r="O567" t="inlineStr">
        <is>
          <t>Tipo A</t>
        </is>
      </c>
      <c r="P567" t="inlineStr">
        <is>
          <t xml:space="preserve"> 57+470</t>
        </is>
      </c>
      <c r="Q567" t="inlineStr">
        <is>
          <t xml:space="preserve"> 57+470</t>
        </is>
      </c>
      <c r="R567" t="inlineStr">
        <is>
          <t>Aberta</t>
        </is>
      </c>
      <c r="T567" t="inlineStr">
        <is>
          <t>Aline Batista</t>
        </is>
      </c>
      <c r="U567" t="inlineStr">
        <is>
          <t>24/04/2026</t>
        </is>
      </c>
      <c r="V567" t="inlineStr">
        <is>
          <t>01/05/2026</t>
        </is>
      </c>
      <c r="W567">
        <v>40</v>
      </c>
      <c r="AA567" t="inlineStr">
        <is>
          <t>Aberta 30-60 dias</t>
        </is>
      </c>
    </row>
    <row r="568">
      <c r="A568">
        <v>566</v>
      </c>
      <c r="B568">
        <v>2</v>
      </c>
      <c r="C568" t="inlineStr">
        <is>
          <t>1.6</t>
        </is>
      </c>
      <c r="D568" t="inlineStr">
        <is>
          <t>C05</t>
        </is>
      </c>
      <c r="E568" t="inlineStr">
        <is>
          <t>LE</t>
        </is>
      </c>
      <c r="F568" t="inlineStr">
        <is>
          <t>ATERPA</t>
        </is>
      </c>
      <c r="G568" t="inlineStr">
        <is>
          <t>CLP-012</t>
        </is>
      </c>
      <c r="H568" t="inlineStr">
        <is>
          <t>Protocolo</t>
        </is>
      </c>
      <c r="I568">
        <v>4</v>
      </c>
      <c r="J568" t="inlineStr">
        <is>
          <t>Terraplenagem</t>
        </is>
      </c>
      <c r="K568" t="inlineStr">
        <is>
          <t>4.11</t>
        </is>
      </c>
      <c r="L568" t="inlineStr">
        <is>
          <t>Talude</t>
        </is>
      </c>
      <c r="M568" t="inlineStr">
        <is>
          <t>Conformação</t>
        </is>
      </c>
      <c r="N568" t="inlineStr">
        <is>
          <t xml:space="preserve">
Pedente de conformação e aplicação de hidrossemeadura</t>
        </is>
      </c>
      <c r="O568" t="inlineStr">
        <is>
          <t>Tipo A</t>
        </is>
      </c>
      <c r="P568" t="inlineStr">
        <is>
          <t>58+520</t>
        </is>
      </c>
      <c r="Q568" t="inlineStr">
        <is>
          <t>58+520</t>
        </is>
      </c>
      <c r="R568" t="inlineStr">
        <is>
          <t>Aberta</t>
        </is>
      </c>
      <c r="T568" t="inlineStr">
        <is>
          <t>Aline Batista</t>
        </is>
      </c>
      <c r="U568" t="inlineStr">
        <is>
          <t>24/04/2026</t>
        </is>
      </c>
      <c r="V568" t="inlineStr">
        <is>
          <t>01/05/2026</t>
        </is>
      </c>
      <c r="W568">
        <v>40</v>
      </c>
      <c r="AA568" t="inlineStr">
        <is>
          <t>Aberta 30-60 dias</t>
        </is>
      </c>
    </row>
    <row r="569">
      <c r="A569">
        <v>567</v>
      </c>
      <c r="B569">
        <v>2</v>
      </c>
      <c r="C569" t="inlineStr">
        <is>
          <t>1.6</t>
        </is>
      </c>
      <c r="D569" t="inlineStr">
        <is>
          <t>C05</t>
        </is>
      </c>
      <c r="E569" t="inlineStr">
        <is>
          <t>LE/LD</t>
        </is>
      </c>
      <c r="F569" t="inlineStr">
        <is>
          <t>ATERPA</t>
        </is>
      </c>
      <c r="G569" t="inlineStr">
        <is>
          <t>CLP-012</t>
        </is>
      </c>
      <c r="H569" t="inlineStr">
        <is>
          <t>Protocolo</t>
        </is>
      </c>
      <c r="I569">
        <v>4</v>
      </c>
      <c r="J569" t="inlineStr">
        <is>
          <t>Terraplenagem</t>
        </is>
      </c>
      <c r="K569" t="inlineStr">
        <is>
          <t>4.11</t>
        </is>
      </c>
      <c r="L569" t="inlineStr">
        <is>
          <t>Talude</t>
        </is>
      </c>
      <c r="M569" t="inlineStr">
        <is>
          <t>Revegetação/ Hidrossemeadura</t>
        </is>
      </c>
      <c r="N569" t="inlineStr">
        <is>
          <t>Pendente de repasse de hidrossemadura</t>
        </is>
      </c>
      <c r="O569" t="inlineStr">
        <is>
          <t>Tipo A</t>
        </is>
      </c>
      <c r="P569" t="inlineStr">
        <is>
          <t>58+520</t>
        </is>
      </c>
      <c r="Q569" t="inlineStr">
        <is>
          <t>58+680</t>
        </is>
      </c>
      <c r="R569" t="inlineStr">
        <is>
          <t>Aberta</t>
        </is>
      </c>
      <c r="T569" t="inlineStr">
        <is>
          <t>Aline Batista</t>
        </is>
      </c>
      <c r="U569" t="inlineStr">
        <is>
          <t>24/04/2026</t>
        </is>
      </c>
      <c r="V569" t="inlineStr">
        <is>
          <t>01/05/2026</t>
        </is>
      </c>
      <c r="W569">
        <v>40</v>
      </c>
      <c r="AA569" t="inlineStr">
        <is>
          <t>Aberta 30-60 dias</t>
        </is>
      </c>
    </row>
    <row r="570">
      <c r="A570">
        <v>568</v>
      </c>
      <c r="B570">
        <v>2</v>
      </c>
      <c r="C570" t="inlineStr">
        <is>
          <t>1.6</t>
        </is>
      </c>
      <c r="D570" t="inlineStr">
        <is>
          <t>C05</t>
        </is>
      </c>
      <c r="E570" t="inlineStr">
        <is>
          <t>LD</t>
        </is>
      </c>
      <c r="F570" t="inlineStr">
        <is>
          <t>ATERPA</t>
        </is>
      </c>
      <c r="G570" t="inlineStr">
        <is>
          <t>CLP-012</t>
        </is>
      </c>
      <c r="H570" t="inlineStr">
        <is>
          <t>Protocolo</t>
        </is>
      </c>
      <c r="I570">
        <v>4</v>
      </c>
      <c r="J570" t="inlineStr">
        <is>
          <t>Terraplenagem</t>
        </is>
      </c>
      <c r="K570" t="inlineStr">
        <is>
          <t>4.11</t>
        </is>
      </c>
      <c r="L570" t="inlineStr">
        <is>
          <t>Talude</t>
        </is>
      </c>
      <c r="M570" t="inlineStr">
        <is>
          <t>Conformação</t>
        </is>
      </c>
      <c r="N570" t="inlineStr">
        <is>
          <t>Conformação do talude com a canaleta e repasse da hidrossemeadura.</t>
        </is>
      </c>
      <c r="O570" t="inlineStr">
        <is>
          <t>Tipo A</t>
        </is>
      </c>
      <c r="P570" t="inlineStr">
        <is>
          <t xml:space="preserve"> 58+760</t>
        </is>
      </c>
      <c r="Q570" t="inlineStr">
        <is>
          <t xml:space="preserve"> 58+760</t>
        </is>
      </c>
      <c r="R570" t="inlineStr">
        <is>
          <t>Aberta</t>
        </is>
      </c>
      <c r="T570" t="inlineStr">
        <is>
          <t>Aline Batista</t>
        </is>
      </c>
      <c r="U570" t="inlineStr">
        <is>
          <t>24/04/2026</t>
        </is>
      </c>
      <c r="V570" t="inlineStr">
        <is>
          <t>01/05/2026</t>
        </is>
      </c>
      <c r="W570">
        <v>40</v>
      </c>
      <c r="AA570" t="inlineStr">
        <is>
          <t>Aberta 30-60 dias</t>
        </is>
      </c>
    </row>
    <row r="571">
      <c r="A571">
        <v>569</v>
      </c>
      <c r="B571">
        <v>2</v>
      </c>
      <c r="C571" t="inlineStr">
        <is>
          <t>1.6</t>
        </is>
      </c>
      <c r="D571" t="inlineStr">
        <is>
          <t>A05</t>
        </is>
      </c>
      <c r="E571" t="inlineStr">
        <is>
          <t>LE</t>
        </is>
      </c>
      <c r="F571" t="inlineStr">
        <is>
          <t>ATERPA</t>
        </is>
      </c>
      <c r="G571" t="inlineStr">
        <is>
          <t>CLP-012</t>
        </is>
      </c>
      <c r="H571" t="inlineStr">
        <is>
          <t>Protocolo</t>
        </is>
      </c>
      <c r="I571">
        <v>4</v>
      </c>
      <c r="J571" t="inlineStr">
        <is>
          <t>Terraplenagem</t>
        </is>
      </c>
      <c r="K571" t="inlineStr">
        <is>
          <t>4.11</t>
        </is>
      </c>
      <c r="L571" t="inlineStr">
        <is>
          <t>Talude</t>
        </is>
      </c>
      <c r="M571" t="inlineStr">
        <is>
          <t>Conformação</t>
        </is>
      </c>
      <c r="N571" t="inlineStr">
        <is>
          <t>Conformação do talude com a canaleta e repasse da hidrossemeadura.</t>
        </is>
      </c>
      <c r="O571" t="inlineStr">
        <is>
          <t>Tipo A</t>
        </is>
      </c>
      <c r="P571" t="inlineStr">
        <is>
          <t>59+180</t>
        </is>
      </c>
      <c r="Q571" t="inlineStr">
        <is>
          <t>59+180</t>
        </is>
      </c>
      <c r="R571" t="inlineStr">
        <is>
          <t>Aberta</t>
        </is>
      </c>
      <c r="T571" t="inlineStr">
        <is>
          <t>Aline Batista</t>
        </is>
      </c>
      <c r="U571" t="inlineStr">
        <is>
          <t>24/04/2026</t>
        </is>
      </c>
      <c r="V571" t="inlineStr">
        <is>
          <t>01/05/2026</t>
        </is>
      </c>
      <c r="W571">
        <v>40</v>
      </c>
      <c r="AA571" t="inlineStr">
        <is>
          <t>Aberta 30-60 dias</t>
        </is>
      </c>
    </row>
    <row r="572">
      <c r="A572">
        <v>570</v>
      </c>
      <c r="B572">
        <v>2</v>
      </c>
      <c r="C572" t="inlineStr">
        <is>
          <t>1.6</t>
        </is>
      </c>
      <c r="D572" t="inlineStr">
        <is>
          <t>C06</t>
        </is>
      </c>
      <c r="E572" t="inlineStr">
        <is>
          <t>LD</t>
        </is>
      </c>
      <c r="F572" t="inlineStr">
        <is>
          <t>ATERPA</t>
        </is>
      </c>
      <c r="G572" t="inlineStr">
        <is>
          <t>CLP-012</t>
        </is>
      </c>
      <c r="H572" t="inlineStr">
        <is>
          <t>Protocolo</t>
        </is>
      </c>
      <c r="I572">
        <v>4</v>
      </c>
      <c r="J572" t="inlineStr">
        <is>
          <t>Terraplenagem</t>
        </is>
      </c>
      <c r="K572" t="inlineStr">
        <is>
          <t>4.11</t>
        </is>
      </c>
      <c r="L572" t="inlineStr">
        <is>
          <t>Talude</t>
        </is>
      </c>
      <c r="M572" t="inlineStr">
        <is>
          <t>Revegetação/ Hidrossemeadura</t>
        </is>
      </c>
      <c r="N572" t="inlineStr">
        <is>
          <t>Repasse de hidrossemeadura</t>
        </is>
      </c>
      <c r="O572" t="inlineStr">
        <is>
          <t>Tipo A</t>
        </is>
      </c>
      <c r="P572" t="inlineStr">
        <is>
          <t xml:space="preserve"> 59+440</t>
        </is>
      </c>
      <c r="Q572" t="inlineStr">
        <is>
          <t xml:space="preserve"> 59+440</t>
        </is>
      </c>
      <c r="R572" t="inlineStr">
        <is>
          <t>Aberta</t>
        </is>
      </c>
      <c r="T572" t="inlineStr">
        <is>
          <t>Aline Batista</t>
        </is>
      </c>
      <c r="U572" t="inlineStr">
        <is>
          <t>24/04/2026</t>
        </is>
      </c>
      <c r="V572" t="inlineStr">
        <is>
          <t>01/05/2026</t>
        </is>
      </c>
      <c r="W572">
        <v>40</v>
      </c>
      <c r="AA572" t="inlineStr">
        <is>
          <t>Aberta 30-60 dias</t>
        </is>
      </c>
    </row>
    <row r="573">
      <c r="A573">
        <v>571</v>
      </c>
      <c r="B573">
        <v>2</v>
      </c>
      <c r="C573" t="inlineStr">
        <is>
          <t>1.6</t>
        </is>
      </c>
      <c r="D573" t="inlineStr">
        <is>
          <t>A06</t>
        </is>
      </c>
      <c r="E573" t="inlineStr">
        <is>
          <t>LD</t>
        </is>
      </c>
      <c r="F573" t="inlineStr">
        <is>
          <t>ATERPA</t>
        </is>
      </c>
      <c r="G573" t="inlineStr">
        <is>
          <t>CLP-012</t>
        </is>
      </c>
      <c r="H573" t="inlineStr">
        <is>
          <t>Protocolo</t>
        </is>
      </c>
      <c r="I573">
        <v>4</v>
      </c>
      <c r="J573" t="inlineStr">
        <is>
          <t>Terraplenagem</t>
        </is>
      </c>
      <c r="K573" t="inlineStr">
        <is>
          <t>4.11</t>
        </is>
      </c>
      <c r="L573" t="inlineStr">
        <is>
          <t>Banqueta</t>
        </is>
      </c>
      <c r="M573" t="inlineStr">
        <is>
          <t>Revegetação/ Hidrossemeadura</t>
        </is>
      </c>
      <c r="N573" t="inlineStr">
        <is>
          <t>Pendente hidrossemeadura</t>
        </is>
      </c>
      <c r="O573" t="inlineStr">
        <is>
          <t>Tipo A</t>
        </is>
      </c>
      <c r="P573" t="inlineStr">
        <is>
          <t xml:space="preserve"> 60+120</t>
        </is>
      </c>
      <c r="Q573" t="inlineStr">
        <is>
          <t>60+840</t>
        </is>
      </c>
      <c r="R573" t="inlineStr">
        <is>
          <t>Aberta</t>
        </is>
      </c>
      <c r="T573" t="inlineStr">
        <is>
          <t>Aline Batista</t>
        </is>
      </c>
      <c r="U573" t="inlineStr">
        <is>
          <t>24/04/2026</t>
        </is>
      </c>
      <c r="V573" t="inlineStr">
        <is>
          <t>01/05/2026</t>
        </is>
      </c>
      <c r="W573">
        <v>40</v>
      </c>
      <c r="AA573" t="inlineStr">
        <is>
          <t>Aberta 30-60 dias</t>
        </is>
      </c>
    </row>
    <row r="574">
      <c r="A574">
        <v>572</v>
      </c>
      <c r="B574">
        <v>2</v>
      </c>
      <c r="C574" t="inlineStr">
        <is>
          <t>1.6</t>
        </is>
      </c>
      <c r="D574" t="inlineStr">
        <is>
          <t>A06</t>
        </is>
      </c>
      <c r="E574" t="inlineStr">
        <is>
          <t>LD/LE</t>
        </is>
      </c>
      <c r="F574" t="inlineStr">
        <is>
          <t>ATERPA</t>
        </is>
      </c>
      <c r="G574" t="inlineStr">
        <is>
          <t>CLP-012</t>
        </is>
      </c>
      <c r="H574" t="inlineStr">
        <is>
          <t>Protocolo</t>
        </is>
      </c>
      <c r="I574">
        <v>4</v>
      </c>
      <c r="J574" t="inlineStr">
        <is>
          <t>Terraplenagem</t>
        </is>
      </c>
      <c r="K574" t="inlineStr">
        <is>
          <t>4.11</t>
        </is>
      </c>
      <c r="L574" t="inlineStr">
        <is>
          <t>Talude</t>
        </is>
      </c>
      <c r="M574" t="inlineStr">
        <is>
          <t>Conformação</t>
        </is>
      </c>
      <c r="N574" t="inlineStr">
        <is>
          <t>Pendente conformação do talude e repasse de hidrossemeadura</t>
        </is>
      </c>
      <c r="O574" t="inlineStr">
        <is>
          <t>Tipo A</t>
        </is>
      </c>
      <c r="P574" t="inlineStr">
        <is>
          <t xml:space="preserve"> 60+120</t>
        </is>
      </c>
      <c r="Q574" t="inlineStr">
        <is>
          <t xml:space="preserve"> 60+840</t>
        </is>
      </c>
      <c r="R574" t="inlineStr">
        <is>
          <t>Aberta</t>
        </is>
      </c>
      <c r="T574" t="inlineStr">
        <is>
          <t>Aline Batista</t>
        </is>
      </c>
      <c r="U574" t="inlineStr">
        <is>
          <t>24/04/2026</t>
        </is>
      </c>
      <c r="V574" t="inlineStr">
        <is>
          <t>01/05/2026</t>
        </is>
      </c>
      <c r="W574">
        <v>40</v>
      </c>
      <c r="AA574" t="inlineStr">
        <is>
          <t>Aberta 30-60 dias</t>
        </is>
      </c>
    </row>
    <row r="575">
      <c r="A575">
        <v>573</v>
      </c>
      <c r="B575">
        <v>2</v>
      </c>
      <c r="C575" t="inlineStr">
        <is>
          <t>1.6</t>
        </is>
      </c>
      <c r="D575" t="inlineStr">
        <is>
          <t>A06</t>
        </is>
      </c>
      <c r="E575" t="inlineStr">
        <is>
          <t>LD/LE</t>
        </is>
      </c>
      <c r="F575" t="inlineStr">
        <is>
          <t>ATERPA</t>
        </is>
      </c>
      <c r="G575" t="inlineStr">
        <is>
          <t>CLP-012</t>
        </is>
      </c>
      <c r="H575" t="inlineStr">
        <is>
          <t>Protocolo</t>
        </is>
      </c>
      <c r="I575">
        <v>4</v>
      </c>
      <c r="J575" t="inlineStr">
        <is>
          <t>Terraplenagem</t>
        </is>
      </c>
      <c r="K575" t="inlineStr">
        <is>
          <t>4.11</t>
        </is>
      </c>
      <c r="L575" t="inlineStr">
        <is>
          <t>Talude</t>
        </is>
      </c>
      <c r="M575" t="inlineStr">
        <is>
          <t>Conformação</t>
        </is>
      </c>
      <c r="N575" t="inlineStr">
        <is>
          <t>Pendente conformação do talude e repasse de hidrossemeadura</t>
        </is>
      </c>
      <c r="O575" t="inlineStr">
        <is>
          <t>Tipo A</t>
        </is>
      </c>
      <c r="P575" t="inlineStr">
        <is>
          <t xml:space="preserve"> 61+920</t>
        </is>
      </c>
      <c r="Q575" t="inlineStr">
        <is>
          <t xml:space="preserve"> 61+920</t>
        </is>
      </c>
      <c r="R575" t="inlineStr">
        <is>
          <t>Aberta</t>
        </is>
      </c>
      <c r="T575" t="inlineStr">
        <is>
          <t>Aline Batista</t>
        </is>
      </c>
      <c r="U575" t="inlineStr">
        <is>
          <t>24/04/2026</t>
        </is>
      </c>
      <c r="V575" t="inlineStr">
        <is>
          <t>01/05/2026</t>
        </is>
      </c>
      <c r="W575">
        <v>40</v>
      </c>
      <c r="AA575" t="inlineStr">
        <is>
          <t>Aberta 30-60 dias</t>
        </is>
      </c>
    </row>
    <row r="576">
      <c r="A576">
        <v>574</v>
      </c>
      <c r="B576">
        <v>2</v>
      </c>
      <c r="C576" t="inlineStr">
        <is>
          <t>1.6</t>
        </is>
      </c>
      <c r="D576" t="inlineStr">
        <is>
          <t>A06</t>
        </is>
      </c>
      <c r="E576" t="inlineStr">
        <is>
          <t>LD</t>
        </is>
      </c>
      <c r="F576" t="inlineStr">
        <is>
          <t>ATERPA</t>
        </is>
      </c>
      <c r="G576" t="inlineStr">
        <is>
          <t>CLP-012</t>
        </is>
      </c>
      <c r="H576" t="inlineStr">
        <is>
          <t>Protocolo</t>
        </is>
      </c>
      <c r="I576">
        <v>4</v>
      </c>
      <c r="J576" t="inlineStr">
        <is>
          <t>Terraplenagem</t>
        </is>
      </c>
      <c r="K576" t="inlineStr">
        <is>
          <t>4.11</t>
        </is>
      </c>
      <c r="L576" t="inlineStr">
        <is>
          <t>Talude</t>
        </is>
      </c>
      <c r="M576" t="inlineStr">
        <is>
          <t>Conformação</t>
        </is>
      </c>
      <c r="N576" t="inlineStr">
        <is>
          <t>Pendente conformação do talude e repasse de hidrossemeadura</t>
        </is>
      </c>
      <c r="O576" t="inlineStr">
        <is>
          <t>Tipo A</t>
        </is>
      </c>
      <c r="P576" t="inlineStr">
        <is>
          <t>62+260</t>
        </is>
      </c>
      <c r="Q576" t="inlineStr">
        <is>
          <t>62+260</t>
        </is>
      </c>
      <c r="R576" t="inlineStr">
        <is>
          <t>Aberta</t>
        </is>
      </c>
      <c r="T576" t="inlineStr">
        <is>
          <t>Aline Batista</t>
        </is>
      </c>
      <c r="U576" t="inlineStr">
        <is>
          <t>24/04/2026</t>
        </is>
      </c>
      <c r="V576" t="inlineStr">
        <is>
          <t>01/05/2026</t>
        </is>
      </c>
      <c r="W576">
        <v>40</v>
      </c>
      <c r="AA576" t="inlineStr">
        <is>
          <t>Aberta 30-60 dias</t>
        </is>
      </c>
    </row>
    <row r="577">
      <c r="A577">
        <v>575</v>
      </c>
      <c r="B577">
        <v>2</v>
      </c>
      <c r="C577" t="inlineStr">
        <is>
          <t>1.6</t>
        </is>
      </c>
      <c r="D577" t="inlineStr">
        <is>
          <t>C07</t>
        </is>
      </c>
      <c r="E577" t="inlineStr">
        <is>
          <t>LD/LE</t>
        </is>
      </c>
      <c r="F577" t="inlineStr">
        <is>
          <t>ATERPA</t>
        </is>
      </c>
      <c r="G577" t="inlineStr">
        <is>
          <t>CLP-012</t>
        </is>
      </c>
      <c r="H577" t="inlineStr">
        <is>
          <t>Protocolo</t>
        </is>
      </c>
      <c r="I577">
        <v>4</v>
      </c>
      <c r="J577" t="inlineStr">
        <is>
          <t>Terraplenagem</t>
        </is>
      </c>
      <c r="K577" t="inlineStr">
        <is>
          <t>4.37</t>
        </is>
      </c>
      <c r="L577" t="inlineStr">
        <is>
          <t>Sublastro</t>
        </is>
      </c>
      <c r="M577" t="inlineStr">
        <is>
          <t>Material Solto</t>
        </is>
      </c>
      <c r="N577" t="inlineStr">
        <is>
          <t>Material descartado no pé do talude e no bordo da plataforma</t>
        </is>
      </c>
      <c r="O577" t="inlineStr">
        <is>
          <t>Tipo A</t>
        </is>
      </c>
      <c r="P577" t="inlineStr">
        <is>
          <t>62+840</t>
        </is>
      </c>
      <c r="Q577" t="inlineStr">
        <is>
          <t>62+840</t>
        </is>
      </c>
      <c r="R577" t="inlineStr">
        <is>
          <t>Aberta</t>
        </is>
      </c>
      <c r="T577" t="inlineStr">
        <is>
          <t>Aline Batista</t>
        </is>
      </c>
      <c r="U577" t="inlineStr">
        <is>
          <t>24/04/2026</t>
        </is>
      </c>
      <c r="V577" t="inlineStr">
        <is>
          <t>01/05/2026</t>
        </is>
      </c>
      <c r="W577">
        <v>40</v>
      </c>
      <c r="AA577" t="inlineStr">
        <is>
          <t>Aberta 30-60 dias</t>
        </is>
      </c>
    </row>
    <row r="578">
      <c r="A578">
        <v>576</v>
      </c>
      <c r="B578">
        <v>2</v>
      </c>
      <c r="C578" t="inlineStr">
        <is>
          <t>1.6</t>
        </is>
      </c>
      <c r="D578" t="inlineStr">
        <is>
          <t>C07</t>
        </is>
      </c>
      <c r="E578" t="inlineStr">
        <is>
          <t>LD/LE</t>
        </is>
      </c>
      <c r="F578" t="inlineStr">
        <is>
          <t>ATERPA</t>
        </is>
      </c>
      <c r="G578" t="inlineStr">
        <is>
          <t>CLP-012</t>
        </is>
      </c>
      <c r="H578" t="inlineStr">
        <is>
          <t>Protocolo</t>
        </is>
      </c>
      <c r="I578">
        <v>4</v>
      </c>
      <c r="J578" t="inlineStr">
        <is>
          <t>Terraplenagem</t>
        </is>
      </c>
      <c r="K578" t="inlineStr">
        <is>
          <t>4.11</t>
        </is>
      </c>
      <c r="L578" t="inlineStr">
        <is>
          <t>Talude</t>
        </is>
      </c>
      <c r="M578" t="inlineStr">
        <is>
          <t>Erosões</t>
        </is>
      </c>
      <c r="N578" t="inlineStr">
        <is>
          <t>Trecho com ocorrência de ravinamento no talude e falhas na proteção vegetal dos taludes (hidrossemeadura)</t>
        </is>
      </c>
      <c r="O578" t="inlineStr">
        <is>
          <t>Tipo A</t>
        </is>
      </c>
      <c r="P578" t="inlineStr">
        <is>
          <t>62+930</t>
        </is>
      </c>
      <c r="Q578" t="inlineStr">
        <is>
          <t>62+930</t>
        </is>
      </c>
      <c r="R578" t="inlineStr">
        <is>
          <t>Aberta</t>
        </is>
      </c>
      <c r="T578" t="inlineStr">
        <is>
          <t>Aline Batista</t>
        </is>
      </c>
      <c r="U578" t="inlineStr">
        <is>
          <t>24/04/2026</t>
        </is>
      </c>
      <c r="V578" t="inlineStr">
        <is>
          <t>01/05/2026</t>
        </is>
      </c>
      <c r="W578">
        <v>40</v>
      </c>
      <c r="AA578" t="inlineStr">
        <is>
          <t>Aberta 30-60 dias</t>
        </is>
      </c>
    </row>
    <row r="579">
      <c r="A579">
        <v>577</v>
      </c>
      <c r="B579">
        <v>2</v>
      </c>
      <c r="C579" t="inlineStr">
        <is>
          <t>1.6</t>
        </is>
      </c>
      <c r="D579" t="inlineStr">
        <is>
          <t>A07</t>
        </is>
      </c>
      <c r="E579" t="inlineStr">
        <is>
          <t>LD/LE</t>
        </is>
      </c>
      <c r="F579" t="inlineStr">
        <is>
          <t>ATERPA</t>
        </is>
      </c>
      <c r="G579" t="inlineStr">
        <is>
          <t>CLP-012</t>
        </is>
      </c>
      <c r="H579" t="inlineStr">
        <is>
          <t>Protocolo</t>
        </is>
      </c>
      <c r="I579">
        <v>4</v>
      </c>
      <c r="J579" t="inlineStr">
        <is>
          <t>Terraplenagem</t>
        </is>
      </c>
      <c r="K579" t="inlineStr">
        <is>
          <t>4.11</t>
        </is>
      </c>
      <c r="L579" t="inlineStr">
        <is>
          <t>Talude</t>
        </is>
      </c>
      <c r="M579" t="inlineStr">
        <is>
          <t>Revegetação/ Hidrossemeadura</t>
        </is>
      </c>
      <c r="N579" t="inlineStr">
        <is>
          <t>Falhas na proteção vegetal dos taludes (hidrossemeadura)</t>
        </is>
      </c>
      <c r="O579" t="inlineStr">
        <is>
          <t>Tipo A</t>
        </is>
      </c>
      <c r="P579" t="inlineStr">
        <is>
          <t>63+340</t>
        </is>
      </c>
      <c r="Q579" t="inlineStr">
        <is>
          <t>63+340</t>
        </is>
      </c>
      <c r="R579" t="inlineStr">
        <is>
          <t>Aberta</t>
        </is>
      </c>
      <c r="T579" t="inlineStr">
        <is>
          <t>Aline Batista</t>
        </is>
      </c>
      <c r="U579" t="inlineStr">
        <is>
          <t>24/04/2026</t>
        </is>
      </c>
      <c r="V579" t="inlineStr">
        <is>
          <t>01/05/2026</t>
        </is>
      </c>
      <c r="W579">
        <v>40</v>
      </c>
      <c r="AA579" t="inlineStr">
        <is>
          <t>Aberta 30-60 dias</t>
        </is>
      </c>
    </row>
    <row r="580">
      <c r="A580">
        <v>578</v>
      </c>
      <c r="B580">
        <v>2</v>
      </c>
      <c r="C580" t="inlineStr">
        <is>
          <t>1.6</t>
        </is>
      </c>
      <c r="D580" t="inlineStr">
        <is>
          <t>C08</t>
        </is>
      </c>
      <c r="E580" t="inlineStr">
        <is>
          <t>LD/LE</t>
        </is>
      </c>
      <c r="F580" t="inlineStr">
        <is>
          <t>ATERPA</t>
        </is>
      </c>
      <c r="G580" t="inlineStr">
        <is>
          <t>CLP-012</t>
        </is>
      </c>
      <c r="H580" t="inlineStr">
        <is>
          <t>Protocolo</t>
        </is>
      </c>
      <c r="I580">
        <v>4</v>
      </c>
      <c r="J580" t="inlineStr">
        <is>
          <t>Terraplenagem</t>
        </is>
      </c>
      <c r="K580" t="inlineStr">
        <is>
          <t>4.24</t>
        </is>
      </c>
      <c r="L580" t="inlineStr">
        <is>
          <t>Erosão</t>
        </is>
      </c>
      <c r="M580" t="inlineStr">
        <is>
          <t>Erosões</t>
        </is>
      </c>
      <c r="N580" t="inlineStr">
        <is>
          <t>Trecho com ocorrência de erosão no acesso viário, lado direito</t>
        </is>
      </c>
      <c r="O580" t="inlineStr">
        <is>
          <t>Tipo A</t>
        </is>
      </c>
      <c r="P580" t="inlineStr">
        <is>
          <t>63+760</t>
        </is>
      </c>
      <c r="Q580" t="inlineStr">
        <is>
          <t>63+760</t>
        </is>
      </c>
      <c r="R580" t="inlineStr">
        <is>
          <t>Aberta</t>
        </is>
      </c>
      <c r="T580" t="inlineStr">
        <is>
          <t>Aline Batista</t>
        </is>
      </c>
      <c r="U580" t="inlineStr">
        <is>
          <t>24/04/2026</t>
        </is>
      </c>
      <c r="V580" t="inlineStr">
        <is>
          <t>01/05/2026</t>
        </is>
      </c>
      <c r="W580">
        <v>40</v>
      </c>
      <c r="AA580" t="inlineStr">
        <is>
          <t>Aberta 30-60 dias</t>
        </is>
      </c>
    </row>
    <row r="581">
      <c r="A581">
        <v>579</v>
      </c>
      <c r="B581">
        <v>2</v>
      </c>
      <c r="C581" t="inlineStr">
        <is>
          <t>1.6</t>
        </is>
      </c>
      <c r="D581" t="inlineStr">
        <is>
          <t>C08</t>
        </is>
      </c>
      <c r="E581" t="inlineStr">
        <is>
          <t>LD/LE</t>
        </is>
      </c>
      <c r="F581" t="inlineStr">
        <is>
          <t>ATERPA</t>
        </is>
      </c>
      <c r="G581" t="inlineStr">
        <is>
          <t>CLP-012</t>
        </is>
      </c>
      <c r="H581" t="inlineStr">
        <is>
          <t>Protocolo</t>
        </is>
      </c>
      <c r="I581">
        <v>4</v>
      </c>
      <c r="J581" t="inlineStr">
        <is>
          <t>Terraplenagem</t>
        </is>
      </c>
      <c r="K581" t="inlineStr">
        <is>
          <t>4.24</t>
        </is>
      </c>
      <c r="L581" t="inlineStr">
        <is>
          <t>Erosão</t>
        </is>
      </c>
      <c r="M581" t="inlineStr">
        <is>
          <t>Erosões</t>
        </is>
      </c>
      <c r="N581" t="inlineStr">
        <is>
          <t>Trecho com ocorrência de erosão no acesso viário, lado esquerdo</t>
        </is>
      </c>
      <c r="O581" t="inlineStr">
        <is>
          <t>Tipo A</t>
        </is>
      </c>
      <c r="P581" t="inlineStr">
        <is>
          <t>63+760</t>
        </is>
      </c>
      <c r="Q581" t="inlineStr">
        <is>
          <t>63+760</t>
        </is>
      </c>
      <c r="R581" t="inlineStr">
        <is>
          <t>Aberta</t>
        </is>
      </c>
      <c r="T581" t="inlineStr">
        <is>
          <t>Aline Batista</t>
        </is>
      </c>
      <c r="U581" t="inlineStr">
        <is>
          <t>24/04/2026</t>
        </is>
      </c>
      <c r="V581" t="inlineStr">
        <is>
          <t>01/05/2026</t>
        </is>
      </c>
      <c r="W581">
        <v>40</v>
      </c>
      <c r="AA581" t="inlineStr">
        <is>
          <t>Aberta 30-60 dias</t>
        </is>
      </c>
    </row>
    <row r="582">
      <c r="A582">
        <v>580</v>
      </c>
      <c r="B582">
        <v>2</v>
      </c>
      <c r="C582" t="inlineStr">
        <is>
          <t>1.6</t>
        </is>
      </c>
      <c r="D582" t="inlineStr">
        <is>
          <t>C08</t>
        </is>
      </c>
      <c r="E582" t="inlineStr">
        <is>
          <t>LD/LE</t>
        </is>
      </c>
      <c r="F582" t="inlineStr">
        <is>
          <t>ATERPA</t>
        </is>
      </c>
      <c r="G582" t="inlineStr">
        <is>
          <t>CLP-012</t>
        </is>
      </c>
      <c r="H582" t="inlineStr">
        <is>
          <t>Protocolo</t>
        </is>
      </c>
      <c r="I582">
        <v>4</v>
      </c>
      <c r="J582" t="inlineStr">
        <is>
          <t>Terraplenagem</t>
        </is>
      </c>
      <c r="K582" t="inlineStr">
        <is>
          <t>4.11</t>
        </is>
      </c>
      <c r="L582" t="inlineStr">
        <is>
          <t>Talude</t>
        </is>
      </c>
      <c r="M582" t="inlineStr">
        <is>
          <t>Revegetação/ Hidrossemeadura</t>
        </is>
      </c>
      <c r="N582" t="inlineStr">
        <is>
          <t>Falhas na proteção vegetal dos taludes (hidrossemeadura)</t>
        </is>
      </c>
      <c r="O582" t="inlineStr">
        <is>
          <t>Tipo A</t>
        </is>
      </c>
      <c r="P582" t="inlineStr">
        <is>
          <t>64+160</t>
        </is>
      </c>
      <c r="Q582" t="inlineStr">
        <is>
          <t>64+160</t>
        </is>
      </c>
      <c r="R582" t="inlineStr">
        <is>
          <t>Aberta</t>
        </is>
      </c>
      <c r="T582" t="inlineStr">
        <is>
          <t>Aline Batista</t>
        </is>
      </c>
      <c r="U582" t="inlineStr">
        <is>
          <t>24/04/2026</t>
        </is>
      </c>
      <c r="V582" t="inlineStr">
        <is>
          <t>01/05/2026</t>
        </is>
      </c>
      <c r="W582">
        <v>40</v>
      </c>
      <c r="AA582" t="inlineStr">
        <is>
          <t>Aberta 30-60 dias</t>
        </is>
      </c>
    </row>
    <row r="583">
      <c r="A583">
        <v>581</v>
      </c>
      <c r="B583">
        <v>2</v>
      </c>
      <c r="C583" t="inlineStr">
        <is>
          <t>1.6</t>
        </is>
      </c>
      <c r="D583" t="inlineStr">
        <is>
          <t>C08</t>
        </is>
      </c>
      <c r="E583" t="inlineStr">
        <is>
          <t>LD/LE</t>
        </is>
      </c>
      <c r="F583" t="inlineStr">
        <is>
          <t>ATERPA</t>
        </is>
      </c>
      <c r="G583" t="inlineStr">
        <is>
          <t>CLP-012</t>
        </is>
      </c>
      <c r="H583" t="inlineStr">
        <is>
          <t>Protocolo</t>
        </is>
      </c>
      <c r="I583">
        <v>4</v>
      </c>
      <c r="J583" t="inlineStr">
        <is>
          <t>Terraplenagem</t>
        </is>
      </c>
      <c r="K583" t="inlineStr">
        <is>
          <t>4.11</t>
        </is>
      </c>
      <c r="L583" t="inlineStr">
        <is>
          <t>Talude</t>
        </is>
      </c>
      <c r="M583" t="inlineStr">
        <is>
          <t>Revegetação/ Hidrossemeadura</t>
        </is>
      </c>
      <c r="N583" t="inlineStr">
        <is>
          <t>Falhas na proteção vegetal dos taludes (hidrossemeadura)</t>
        </is>
      </c>
      <c r="O583" t="inlineStr">
        <is>
          <t>Tipo A</t>
        </is>
      </c>
      <c r="P583" t="inlineStr">
        <is>
          <t>64+240</t>
        </is>
      </c>
      <c r="Q583" t="inlineStr">
        <is>
          <t>64+240</t>
        </is>
      </c>
      <c r="R583" t="inlineStr">
        <is>
          <t>Aberta</t>
        </is>
      </c>
      <c r="T583" t="inlineStr">
        <is>
          <t>Aline Batista</t>
        </is>
      </c>
      <c r="U583" t="inlineStr">
        <is>
          <t>24/04/2026</t>
        </is>
      </c>
      <c r="V583" t="inlineStr">
        <is>
          <t>01/05/2026</t>
        </is>
      </c>
      <c r="W583">
        <v>40</v>
      </c>
      <c r="AA583" t="inlineStr">
        <is>
          <t>Aberta 30-60 dias</t>
        </is>
      </c>
    </row>
    <row r="584">
      <c r="A584">
        <v>582</v>
      </c>
      <c r="B584">
        <v>2</v>
      </c>
      <c r="C584" t="inlineStr">
        <is>
          <t>1.6</t>
        </is>
      </c>
      <c r="D584" t="inlineStr">
        <is>
          <t>C08</t>
        </is>
      </c>
      <c r="E584" t="inlineStr">
        <is>
          <t>LD/LE</t>
        </is>
      </c>
      <c r="F584" t="inlineStr">
        <is>
          <t>ATERPA</t>
        </is>
      </c>
      <c r="G584" t="inlineStr">
        <is>
          <t>CLP-012</t>
        </is>
      </c>
      <c r="H584" t="inlineStr">
        <is>
          <t>Protocolo</t>
        </is>
      </c>
      <c r="I584">
        <v>4</v>
      </c>
      <c r="J584" t="inlineStr">
        <is>
          <t>Terraplenagem</t>
        </is>
      </c>
      <c r="K584" t="inlineStr">
        <is>
          <t>4.11</t>
        </is>
      </c>
      <c r="L584" t="inlineStr">
        <is>
          <t>Talude</t>
        </is>
      </c>
      <c r="M584" t="inlineStr">
        <is>
          <t>Revegetação/ Hidrossemeadura</t>
        </is>
      </c>
      <c r="N584" t="inlineStr">
        <is>
          <t>Falhas na proteção vegetal dos taludes (hidrossemeadura)</t>
        </is>
      </c>
      <c r="O584" t="inlineStr">
        <is>
          <t>Tipo A</t>
        </is>
      </c>
      <c r="P584" t="inlineStr">
        <is>
          <t>64+400</t>
        </is>
      </c>
      <c r="Q584" t="inlineStr">
        <is>
          <t>64+400</t>
        </is>
      </c>
      <c r="R584" t="inlineStr">
        <is>
          <t>Aberta</t>
        </is>
      </c>
      <c r="T584" t="inlineStr">
        <is>
          <t>Aline Batista</t>
        </is>
      </c>
      <c r="U584" t="inlineStr">
        <is>
          <t>24/04/2026</t>
        </is>
      </c>
      <c r="V584" t="inlineStr">
        <is>
          <t>01/05/2026</t>
        </is>
      </c>
      <c r="W584">
        <v>40</v>
      </c>
      <c r="AA584" t="inlineStr">
        <is>
          <t>Aberta 30-60 dias</t>
        </is>
      </c>
    </row>
    <row r="585">
      <c r="A585">
        <v>583</v>
      </c>
      <c r="B585">
        <v>2</v>
      </c>
      <c r="C585" t="inlineStr">
        <is>
          <t>1.6</t>
        </is>
      </c>
      <c r="D585" t="inlineStr">
        <is>
          <t>A08</t>
        </is>
      </c>
      <c r="E585" t="inlineStr">
        <is>
          <t>LD/LE</t>
        </is>
      </c>
      <c r="F585" t="inlineStr">
        <is>
          <t>ATERPA</t>
        </is>
      </c>
      <c r="G585" t="inlineStr">
        <is>
          <t>CLP-012</t>
        </is>
      </c>
      <c r="H585" t="inlineStr">
        <is>
          <t>Protocolo</t>
        </is>
      </c>
      <c r="I585">
        <v>4</v>
      </c>
      <c r="J585" t="inlineStr">
        <is>
          <t>Terraplenagem</t>
        </is>
      </c>
      <c r="K585" t="inlineStr">
        <is>
          <t>4.11</t>
        </is>
      </c>
      <c r="L585" t="inlineStr">
        <is>
          <t>Talude</t>
        </is>
      </c>
      <c r="M585" t="inlineStr">
        <is>
          <t>Revegetação/ Hidrossemeadura</t>
        </is>
      </c>
      <c r="N585" t="inlineStr">
        <is>
          <t>Falhas na proteção vegetal dos taludes (hidrossemeadura),  e conformação de material</t>
        </is>
      </c>
      <c r="O585" t="inlineStr">
        <is>
          <t>Tipo A</t>
        </is>
      </c>
      <c r="P585" t="inlineStr">
        <is>
          <t>65+080</t>
        </is>
      </c>
      <c r="Q585" t="inlineStr">
        <is>
          <t>65+080</t>
        </is>
      </c>
      <c r="R585" t="inlineStr">
        <is>
          <t>Aberta</t>
        </is>
      </c>
      <c r="T585" t="inlineStr">
        <is>
          <t>Aline Batista</t>
        </is>
      </c>
      <c r="U585" t="inlineStr">
        <is>
          <t>24/04/2026</t>
        </is>
      </c>
      <c r="V585" t="inlineStr">
        <is>
          <t>01/05/2026</t>
        </is>
      </c>
      <c r="W585">
        <v>40</v>
      </c>
      <c r="AA585" t="inlineStr">
        <is>
          <t>Aberta 30-60 dias</t>
        </is>
      </c>
    </row>
    <row r="586">
      <c r="A586">
        <v>584</v>
      </c>
      <c r="B586">
        <v>2</v>
      </c>
      <c r="C586" t="inlineStr">
        <is>
          <t>1.6</t>
        </is>
      </c>
      <c r="D586" t="inlineStr">
        <is>
          <t>A08</t>
        </is>
      </c>
      <c r="E586" t="inlineStr">
        <is>
          <t>LD/LE</t>
        </is>
      </c>
      <c r="F586" t="inlineStr">
        <is>
          <t>ATERPA</t>
        </is>
      </c>
      <c r="G586" t="inlineStr">
        <is>
          <t>CLP-012</t>
        </is>
      </c>
      <c r="H586" t="inlineStr">
        <is>
          <t>Protocolo</t>
        </is>
      </c>
      <c r="I586">
        <v>4</v>
      </c>
      <c r="J586" t="inlineStr">
        <is>
          <t>Terraplenagem</t>
        </is>
      </c>
      <c r="K586" t="inlineStr">
        <is>
          <t>4.11</t>
        </is>
      </c>
      <c r="L586" t="inlineStr">
        <is>
          <t>Talude</t>
        </is>
      </c>
      <c r="M586" t="inlineStr">
        <is>
          <t>Erosões</t>
        </is>
      </c>
      <c r="N586" t="inlineStr">
        <is>
          <t>Trecho com ocorrência de erosão no talude e falhas na proteção vegetal dos taludes (hidrossemeadura), na ADME</t>
        </is>
      </c>
      <c r="O586" t="inlineStr">
        <is>
          <t>Tipo A</t>
        </is>
      </c>
      <c r="P586" t="inlineStr">
        <is>
          <t>65+300</t>
        </is>
      </c>
      <c r="Q586" t="inlineStr">
        <is>
          <t>65+300</t>
        </is>
      </c>
      <c r="R586" t="inlineStr">
        <is>
          <t>Aberta</t>
        </is>
      </c>
      <c r="T586" t="inlineStr">
        <is>
          <t>Aline Batista</t>
        </is>
      </c>
      <c r="U586" t="inlineStr">
        <is>
          <t>24/04/2026</t>
        </is>
      </c>
      <c r="V586" t="inlineStr">
        <is>
          <t>01/05/2026</t>
        </is>
      </c>
      <c r="W586">
        <v>40</v>
      </c>
      <c r="AA586" t="inlineStr">
        <is>
          <t>Aberta 30-60 dias</t>
        </is>
      </c>
    </row>
    <row r="587">
      <c r="A587">
        <v>585</v>
      </c>
      <c r="B587">
        <v>2</v>
      </c>
      <c r="C587" t="inlineStr">
        <is>
          <t>1.6</t>
        </is>
      </c>
      <c r="D587" t="inlineStr">
        <is>
          <t>C10</t>
        </is>
      </c>
      <c r="E587" t="inlineStr">
        <is>
          <t>LD/LE</t>
        </is>
      </c>
      <c r="F587" t="inlineStr">
        <is>
          <t>ATERPA</t>
        </is>
      </c>
      <c r="G587" t="inlineStr">
        <is>
          <t>CLP-012</t>
        </is>
      </c>
      <c r="H587" t="inlineStr">
        <is>
          <t>Fiscalização</t>
        </is>
      </c>
      <c r="I587">
        <v>4</v>
      </c>
      <c r="J587" t="inlineStr">
        <is>
          <t>Terraplenagem</t>
        </is>
      </c>
      <c r="K587" t="inlineStr">
        <is>
          <t>4.11</t>
        </is>
      </c>
      <c r="L587" t="inlineStr">
        <is>
          <t>Talude</t>
        </is>
      </c>
      <c r="M587" t="inlineStr">
        <is>
          <t>Erosões</t>
        </is>
      </c>
      <c r="N587" t="inlineStr">
        <is>
          <t>Trecho com ocorrência de ravinamento no talude, localizado no lado esquerdo</t>
        </is>
      </c>
      <c r="O587" t="inlineStr">
        <is>
          <t>Tipo A</t>
        </is>
      </c>
      <c r="P587" t="inlineStr">
        <is>
          <t>67+520</t>
        </is>
      </c>
      <c r="Q587" t="inlineStr">
        <is>
          <t>67+520</t>
        </is>
      </c>
      <c r="R587" t="inlineStr">
        <is>
          <t>Aberta</t>
        </is>
      </c>
      <c r="T587" t="inlineStr">
        <is>
          <t>Aline Batista</t>
        </is>
      </c>
      <c r="U587" t="inlineStr">
        <is>
          <t>24/04/2026</t>
        </is>
      </c>
      <c r="V587" t="inlineStr">
        <is>
          <t>01/05/2026</t>
        </is>
      </c>
      <c r="W587">
        <v>40</v>
      </c>
      <c r="AA587" t="inlineStr">
        <is>
          <t>Aberta 30-60 dias</t>
        </is>
      </c>
    </row>
    <row r="588">
      <c r="A588">
        <v>586</v>
      </c>
      <c r="B588">
        <v>2</v>
      </c>
      <c r="C588" t="inlineStr">
        <is>
          <t>1.6</t>
        </is>
      </c>
      <c r="D588" t="inlineStr">
        <is>
          <t>C10</t>
        </is>
      </c>
      <c r="E588" t="inlineStr">
        <is>
          <t>LD/LE</t>
        </is>
      </c>
      <c r="F588" t="inlineStr">
        <is>
          <t>ATERPA</t>
        </is>
      </c>
      <c r="G588" t="inlineStr">
        <is>
          <t>CLP-012</t>
        </is>
      </c>
      <c r="H588" t="inlineStr">
        <is>
          <t>Fiscalização</t>
        </is>
      </c>
      <c r="I588">
        <v>4</v>
      </c>
      <c r="J588" t="inlineStr">
        <is>
          <t>Terraplenagem</t>
        </is>
      </c>
      <c r="K588" t="inlineStr">
        <is>
          <t>4.11</t>
        </is>
      </c>
      <c r="L588" t="inlineStr">
        <is>
          <t>Talude</t>
        </is>
      </c>
      <c r="M588" t="inlineStr">
        <is>
          <t>Erosões</t>
        </is>
      </c>
      <c r="N588" t="inlineStr">
        <is>
          <t>Trecho com ocorrência de erosão no talude, localizado no lado esquerdo</t>
        </is>
      </c>
      <c r="O588" t="inlineStr">
        <is>
          <t>Tipo A</t>
        </is>
      </c>
      <c r="P588" t="inlineStr">
        <is>
          <t>67+600</t>
        </is>
      </c>
      <c r="Q588" t="inlineStr">
        <is>
          <t>67+600</t>
        </is>
      </c>
      <c r="R588" t="inlineStr">
        <is>
          <t>Aberta</t>
        </is>
      </c>
      <c r="T588" t="inlineStr">
        <is>
          <t>Aline Batista</t>
        </is>
      </c>
      <c r="U588" t="inlineStr">
        <is>
          <t>24/04/2026</t>
        </is>
      </c>
      <c r="V588" t="inlineStr">
        <is>
          <t>01/05/2026</t>
        </is>
      </c>
      <c r="W588">
        <v>40</v>
      </c>
      <c r="AA588" t="inlineStr">
        <is>
          <t>Aberta 30-60 dias</t>
        </is>
      </c>
    </row>
    <row r="589">
      <c r="A589">
        <v>587</v>
      </c>
      <c r="B589">
        <v>2</v>
      </c>
      <c r="C589" t="inlineStr">
        <is>
          <t>1.6</t>
        </is>
      </c>
      <c r="D589" t="inlineStr">
        <is>
          <t>C10</t>
        </is>
      </c>
      <c r="E589" t="inlineStr">
        <is>
          <t>LD/LE</t>
        </is>
      </c>
      <c r="F589" t="inlineStr">
        <is>
          <t>ATERPA</t>
        </is>
      </c>
      <c r="G589" t="inlineStr">
        <is>
          <t>CLP-012</t>
        </is>
      </c>
      <c r="H589" t="inlineStr">
        <is>
          <t>Fiscalização</t>
        </is>
      </c>
      <c r="I589">
        <v>4</v>
      </c>
      <c r="J589" t="inlineStr">
        <is>
          <t>Terraplenagem</t>
        </is>
      </c>
      <c r="K589" t="inlineStr">
        <is>
          <t>4.11</t>
        </is>
      </c>
      <c r="L589" t="inlineStr">
        <is>
          <t>Talude</t>
        </is>
      </c>
      <c r="M589" t="inlineStr">
        <is>
          <t>Erosões</t>
        </is>
      </c>
      <c r="N589" t="inlineStr">
        <is>
          <t>Trecho com ocorrência de erosão no talude, localizado no lado esquerdo</t>
        </is>
      </c>
      <c r="O589" t="inlineStr">
        <is>
          <t>Tipo A</t>
        </is>
      </c>
      <c r="P589" t="inlineStr">
        <is>
          <t>68+000</t>
        </is>
      </c>
      <c r="Q589" t="inlineStr">
        <is>
          <t>68+000</t>
        </is>
      </c>
      <c r="R589" t="inlineStr">
        <is>
          <t>Aberta</t>
        </is>
      </c>
      <c r="T589" t="inlineStr">
        <is>
          <t>Aline Batista</t>
        </is>
      </c>
      <c r="U589" t="inlineStr">
        <is>
          <t>24/04/2026</t>
        </is>
      </c>
      <c r="V589" t="inlineStr">
        <is>
          <t>01/05/2026</t>
        </is>
      </c>
      <c r="W589">
        <v>40</v>
      </c>
      <c r="AA589" t="inlineStr">
        <is>
          <t>Aberta 30-60 dias</t>
        </is>
      </c>
    </row>
    <row r="590">
      <c r="A590">
        <v>588</v>
      </c>
      <c r="B590">
        <v>2</v>
      </c>
      <c r="C590" t="inlineStr">
        <is>
          <t>1.6</t>
        </is>
      </c>
      <c r="D590" t="inlineStr">
        <is>
          <t>C10</t>
        </is>
      </c>
      <c r="E590" t="inlineStr">
        <is>
          <t>LD/LE</t>
        </is>
      </c>
      <c r="F590" t="inlineStr">
        <is>
          <t>ATERPA</t>
        </is>
      </c>
      <c r="G590" t="inlineStr">
        <is>
          <t>CLP-012</t>
        </is>
      </c>
      <c r="H590" t="inlineStr">
        <is>
          <t>Protocolo</t>
        </is>
      </c>
      <c r="I590">
        <v>4</v>
      </c>
      <c r="J590" t="inlineStr">
        <is>
          <t>Terraplenagem</t>
        </is>
      </c>
      <c r="K590" t="inlineStr">
        <is>
          <t>4.32</t>
        </is>
      </c>
      <c r="L590" t="inlineStr">
        <is>
          <t>Talude</t>
        </is>
      </c>
      <c r="M590" t="inlineStr">
        <is>
          <t>Material Solto</t>
        </is>
      </c>
      <c r="N590" t="inlineStr">
        <is>
          <t>Material descartado no pé do talude</t>
        </is>
      </c>
      <c r="O590" t="inlineStr">
        <is>
          <t>Tipo A</t>
        </is>
      </c>
      <c r="P590" t="inlineStr">
        <is>
          <t>68+100</t>
        </is>
      </c>
      <c r="Q590" t="inlineStr">
        <is>
          <t>68+100</t>
        </is>
      </c>
      <c r="R590" t="inlineStr">
        <is>
          <t>Aberta</t>
        </is>
      </c>
      <c r="T590" t="inlineStr">
        <is>
          <t>Aline Batista</t>
        </is>
      </c>
      <c r="U590" t="inlineStr">
        <is>
          <t>24/04/2026</t>
        </is>
      </c>
      <c r="V590" t="inlineStr">
        <is>
          <t>01/05/2026</t>
        </is>
      </c>
      <c r="W590">
        <v>40</v>
      </c>
      <c r="AA590" t="inlineStr">
        <is>
          <t>Aberta 30-60 dias</t>
        </is>
      </c>
    </row>
    <row r="591">
      <c r="A591">
        <v>589</v>
      </c>
      <c r="B591">
        <v>2</v>
      </c>
      <c r="C591" t="inlineStr">
        <is>
          <t>1.6</t>
        </is>
      </c>
      <c r="D591" t="inlineStr">
        <is>
          <t>C10</t>
        </is>
      </c>
      <c r="E591" t="inlineStr">
        <is>
          <t>LD/LE</t>
        </is>
      </c>
      <c r="F591" t="inlineStr">
        <is>
          <t>ATERPA</t>
        </is>
      </c>
      <c r="G591" t="inlineStr">
        <is>
          <t>CLP-012</t>
        </is>
      </c>
      <c r="H591" t="inlineStr">
        <is>
          <t>Fiscalização</t>
        </is>
      </c>
      <c r="I591">
        <v>4</v>
      </c>
      <c r="J591" t="inlineStr">
        <is>
          <t>Terraplenagem</t>
        </is>
      </c>
      <c r="K591" t="inlineStr">
        <is>
          <t>4.11</t>
        </is>
      </c>
      <c r="L591" t="inlineStr">
        <is>
          <t>Talude</t>
        </is>
      </c>
      <c r="M591" t="inlineStr">
        <is>
          <t>Erosões</t>
        </is>
      </c>
      <c r="N591" t="inlineStr">
        <is>
          <t>Trecho com ocorrência de erosão no talude, localizado no lado esquerdo</t>
        </is>
      </c>
      <c r="O591" t="inlineStr">
        <is>
          <t>Tipo A</t>
        </is>
      </c>
      <c r="P591" t="inlineStr">
        <is>
          <t>68+300</t>
        </is>
      </c>
      <c r="Q591" t="inlineStr">
        <is>
          <t>68+300</t>
        </is>
      </c>
      <c r="R591" t="inlineStr">
        <is>
          <t>Aberta</t>
        </is>
      </c>
      <c r="T591" t="inlineStr">
        <is>
          <t>Aline Batista</t>
        </is>
      </c>
      <c r="U591" t="inlineStr">
        <is>
          <t>24/04/2026</t>
        </is>
      </c>
      <c r="V591" t="inlineStr">
        <is>
          <t>01/05/2026</t>
        </is>
      </c>
      <c r="W591">
        <v>40</v>
      </c>
      <c r="AA591" t="inlineStr">
        <is>
          <t>Aberta 30-60 dias</t>
        </is>
      </c>
    </row>
    <row r="592">
      <c r="A592">
        <v>590</v>
      </c>
      <c r="B592">
        <v>2</v>
      </c>
      <c r="C592" t="inlineStr">
        <is>
          <t>1.6</t>
        </is>
      </c>
      <c r="D592" t="inlineStr">
        <is>
          <t>C10</t>
        </is>
      </c>
      <c r="E592" t="inlineStr">
        <is>
          <t>LD/LE</t>
        </is>
      </c>
      <c r="F592" t="inlineStr">
        <is>
          <t>ATERPA</t>
        </is>
      </c>
      <c r="G592" t="inlineStr">
        <is>
          <t>CLP-012</t>
        </is>
      </c>
      <c r="H592" t="inlineStr">
        <is>
          <t>Fiscalização</t>
        </is>
      </c>
      <c r="I592">
        <v>4</v>
      </c>
      <c r="J592" t="inlineStr">
        <is>
          <t>Terraplenagem</t>
        </is>
      </c>
      <c r="K592" t="inlineStr">
        <is>
          <t>4.11</t>
        </is>
      </c>
      <c r="L592" t="inlineStr">
        <is>
          <t>Talude</t>
        </is>
      </c>
      <c r="M592" t="inlineStr">
        <is>
          <t>Erosões</t>
        </is>
      </c>
      <c r="N592" t="inlineStr">
        <is>
          <t>Trecho com ocorrência de erosão no talude, localizado no lado esquerdo</t>
        </is>
      </c>
      <c r="O592" t="inlineStr">
        <is>
          <t>Tipo A</t>
        </is>
      </c>
      <c r="P592" t="inlineStr">
        <is>
          <t>68+360</t>
        </is>
      </c>
      <c r="Q592" t="inlineStr">
        <is>
          <t>68+360</t>
        </is>
      </c>
      <c r="R592" t="inlineStr">
        <is>
          <t>Aberta</t>
        </is>
      </c>
      <c r="T592" t="inlineStr">
        <is>
          <t>Aline Batista</t>
        </is>
      </c>
      <c r="U592" t="inlineStr">
        <is>
          <t>24/04/2026</t>
        </is>
      </c>
      <c r="V592" t="inlineStr">
        <is>
          <t>01/05/2026</t>
        </is>
      </c>
      <c r="W592">
        <v>40</v>
      </c>
      <c r="AA592" t="inlineStr">
        <is>
          <t>Aberta 30-60 dias</t>
        </is>
      </c>
    </row>
    <row r="593">
      <c r="A593">
        <v>591</v>
      </c>
      <c r="B593">
        <v>2</v>
      </c>
      <c r="C593" t="inlineStr">
        <is>
          <t>1.6</t>
        </is>
      </c>
      <c r="D593" t="inlineStr">
        <is>
          <t>A10</t>
        </is>
      </c>
      <c r="E593" t="inlineStr">
        <is>
          <t>LD/LE</t>
        </is>
      </c>
      <c r="F593" t="inlineStr">
        <is>
          <t>ATERPA</t>
        </is>
      </c>
      <c r="G593" t="inlineStr">
        <is>
          <t>CLP-012</t>
        </is>
      </c>
      <c r="H593" t="inlineStr">
        <is>
          <t>Fiscalização</t>
        </is>
      </c>
      <c r="I593">
        <v>4</v>
      </c>
      <c r="J593" t="inlineStr">
        <is>
          <t>Terraplenagem</t>
        </is>
      </c>
      <c r="K593" t="inlineStr">
        <is>
          <t>4.11</t>
        </is>
      </c>
      <c r="L593" t="inlineStr">
        <is>
          <t>Talude</t>
        </is>
      </c>
      <c r="M593" t="inlineStr">
        <is>
          <t>Erosões</t>
        </is>
      </c>
      <c r="N593" t="inlineStr">
        <is>
          <t>Trecho com ocorrência de ravinamento no talude e falhas na proteção vegetal dos taludes (hidrossemeadura), no lado esquerdo</t>
        </is>
      </c>
      <c r="O593" t="inlineStr">
        <is>
          <t>Tipo A</t>
        </is>
      </c>
      <c r="P593" t="inlineStr">
        <is>
          <t>69+520</t>
        </is>
      </c>
      <c r="Q593" t="inlineStr">
        <is>
          <t>69+520</t>
        </is>
      </c>
      <c r="R593" t="inlineStr">
        <is>
          <t>Aberta</t>
        </is>
      </c>
      <c r="T593" t="inlineStr">
        <is>
          <t>Aline Batista</t>
        </is>
      </c>
      <c r="U593" t="inlineStr">
        <is>
          <t>24/04/2026</t>
        </is>
      </c>
      <c r="V593" t="inlineStr">
        <is>
          <t>01/05/2026</t>
        </is>
      </c>
      <c r="W593">
        <v>40</v>
      </c>
      <c r="AA593" t="inlineStr">
        <is>
          <t>Aberta 30-60 dias</t>
        </is>
      </c>
    </row>
    <row r="594">
      <c r="A594">
        <v>592</v>
      </c>
      <c r="B594">
        <v>2</v>
      </c>
      <c r="C594" t="inlineStr">
        <is>
          <t>1.6</t>
        </is>
      </c>
      <c r="D594" t="inlineStr">
        <is>
          <t>C12</t>
        </is>
      </c>
      <c r="E594" t="inlineStr">
        <is>
          <t>LD/LE</t>
        </is>
      </c>
      <c r="F594" t="inlineStr">
        <is>
          <t>ATERPA</t>
        </is>
      </c>
      <c r="G594" t="inlineStr">
        <is>
          <t>CLP-012</t>
        </is>
      </c>
      <c r="H594" t="inlineStr">
        <is>
          <t>Fiscalização</t>
        </is>
      </c>
      <c r="I594">
        <v>4</v>
      </c>
      <c r="J594" t="inlineStr">
        <is>
          <t>Terraplenagem</t>
        </is>
      </c>
      <c r="K594" t="inlineStr">
        <is>
          <t>4.11</t>
        </is>
      </c>
      <c r="L594" t="inlineStr">
        <is>
          <t>Talude</t>
        </is>
      </c>
      <c r="M594" t="inlineStr">
        <is>
          <t>Erosões</t>
        </is>
      </c>
      <c r="N594" t="inlineStr">
        <is>
          <t>Trecho com ocorrência de ravinamento no talude, localizado no lado esquerdo</t>
        </is>
      </c>
      <c r="O594" t="inlineStr">
        <is>
          <t>Tipo A</t>
        </is>
      </c>
      <c r="P594" t="inlineStr">
        <is>
          <t>70+100</t>
        </is>
      </c>
      <c r="Q594" t="inlineStr">
        <is>
          <t>70+100</t>
        </is>
      </c>
      <c r="R594" t="inlineStr">
        <is>
          <t>Aberta</t>
        </is>
      </c>
      <c r="T594" t="inlineStr">
        <is>
          <t>Aline Batista</t>
        </is>
      </c>
      <c r="U594" t="inlineStr">
        <is>
          <t>24/04/2026</t>
        </is>
      </c>
      <c r="V594" t="inlineStr">
        <is>
          <t>01/05/2026</t>
        </is>
      </c>
      <c r="W594">
        <v>40</v>
      </c>
      <c r="AA594" t="inlineStr">
        <is>
          <t>Aberta 30-60 dias</t>
        </is>
      </c>
    </row>
    <row r="595">
      <c r="A595">
        <v>593</v>
      </c>
      <c r="B595">
        <v>2</v>
      </c>
      <c r="C595" t="inlineStr">
        <is>
          <t>1.6</t>
        </is>
      </c>
      <c r="D595" t="inlineStr">
        <is>
          <t>C07</t>
        </is>
      </c>
      <c r="E595" t="inlineStr">
        <is>
          <t>LE</t>
        </is>
      </c>
      <c r="F595" t="inlineStr">
        <is>
          <t>ATERPA</t>
        </is>
      </c>
      <c r="G595" t="inlineStr">
        <is>
          <t>CLP-012</t>
        </is>
      </c>
      <c r="H595" t="inlineStr">
        <is>
          <t>Protocolo</t>
        </is>
      </c>
      <c r="I595">
        <v>4</v>
      </c>
      <c r="J595" t="inlineStr">
        <is>
          <t>Terraplenagem</t>
        </is>
      </c>
      <c r="K595" t="inlineStr">
        <is>
          <t>4.9</t>
        </is>
      </c>
      <c r="L595" t="inlineStr">
        <is>
          <t>ADME</t>
        </is>
      </c>
      <c r="M595" t="inlineStr">
        <is>
          <t>Execuçao divergente do projeto</t>
        </is>
      </c>
      <c r="N595" t="inlineStr">
        <is>
          <t>ADME não prevista no projeto, ausência de conformação e hidrossemeadura</t>
        </is>
      </c>
      <c r="O595" t="inlineStr">
        <is>
          <t>Tipo A</t>
        </is>
      </c>
      <c r="P595" t="inlineStr">
        <is>
          <t xml:space="preserve"> 62+500</t>
        </is>
      </c>
      <c r="Q595" t="inlineStr">
        <is>
          <t xml:space="preserve"> 62+500</t>
        </is>
      </c>
      <c r="R595" t="inlineStr">
        <is>
          <t>Aberta</t>
        </is>
      </c>
      <c r="T595" t="inlineStr">
        <is>
          <t>Aline Batista</t>
        </is>
      </c>
      <c r="U595" t="inlineStr">
        <is>
          <t>24/04/2026</t>
        </is>
      </c>
      <c r="V595" t="inlineStr">
        <is>
          <t>01/05/2026</t>
        </is>
      </c>
      <c r="W595">
        <v>40</v>
      </c>
      <c r="AA595" t="inlineStr">
        <is>
          <t>Aberta 30-60 dias</t>
        </is>
      </c>
    </row>
    <row r="596">
      <c r="A596">
        <v>594</v>
      </c>
      <c r="B596">
        <v>2</v>
      </c>
      <c r="C596" t="inlineStr">
        <is>
          <t>1.6</t>
        </is>
      </c>
      <c r="D596" t="inlineStr">
        <is>
          <t>C07</t>
        </is>
      </c>
      <c r="E596" t="inlineStr">
        <is>
          <t>E</t>
        </is>
      </c>
      <c r="F596" t="inlineStr">
        <is>
          <t>ATERPA</t>
        </is>
      </c>
      <c r="G596" t="inlineStr">
        <is>
          <t>CLP-012</t>
        </is>
      </c>
      <c r="H596" t="inlineStr">
        <is>
          <t>Protocolo</t>
        </is>
      </c>
      <c r="I596">
        <v>4</v>
      </c>
      <c r="J596" t="inlineStr">
        <is>
          <t>Terraplenagem</t>
        </is>
      </c>
      <c r="K596" t="inlineStr">
        <is>
          <t>4.4</t>
        </is>
      </c>
      <c r="L596" t="inlineStr">
        <is>
          <t>Plataforma</t>
        </is>
      </c>
      <c r="M596" t="inlineStr">
        <is>
          <t>Fissuras/ trincas na plataforma</t>
        </is>
      </c>
      <c r="N596" t="inlineStr">
        <is>
          <t>Presença de trincas em varios pontos do subastro</t>
        </is>
      </c>
      <c r="O596" t="inlineStr">
        <is>
          <t>Tipo A</t>
        </is>
      </c>
      <c r="P596" t="inlineStr">
        <is>
          <t xml:space="preserve"> 63+260</t>
        </is>
      </c>
      <c r="Q596" t="inlineStr">
        <is>
          <t xml:space="preserve"> 63+260</t>
        </is>
      </c>
      <c r="R596" t="inlineStr">
        <is>
          <t>Aberta</t>
        </is>
      </c>
      <c r="T596" t="inlineStr">
        <is>
          <t>Aline Batista</t>
        </is>
      </c>
      <c r="U596" t="inlineStr">
        <is>
          <t>24/04/2026</t>
        </is>
      </c>
      <c r="V596" t="inlineStr">
        <is>
          <t>01/05/2026</t>
        </is>
      </c>
      <c r="W596">
        <v>40</v>
      </c>
      <c r="AA596" t="inlineStr">
        <is>
          <t>Aberta 30-60 dias</t>
        </is>
      </c>
    </row>
    <row r="597">
      <c r="A597">
        <v>595</v>
      </c>
      <c r="B597">
        <v>2</v>
      </c>
      <c r="C597" t="inlineStr">
        <is>
          <t>1.6</t>
        </is>
      </c>
      <c r="D597" t="inlineStr">
        <is>
          <t>A07</t>
        </is>
      </c>
      <c r="E597" t="inlineStr">
        <is>
          <t>LD/LE</t>
        </is>
      </c>
      <c r="F597" t="inlineStr">
        <is>
          <t>ATERPA</t>
        </is>
      </c>
      <c r="G597" t="inlineStr">
        <is>
          <t>CLP-012</t>
        </is>
      </c>
      <c r="H597" t="inlineStr">
        <is>
          <t>Protocolo</t>
        </is>
      </c>
      <c r="I597">
        <v>4</v>
      </c>
      <c r="J597" t="inlineStr">
        <is>
          <t>Terraplenagem</t>
        </is>
      </c>
      <c r="K597" t="inlineStr">
        <is>
          <t>4.24</t>
        </is>
      </c>
      <c r="L597" t="inlineStr">
        <is>
          <t>Erosão</t>
        </is>
      </c>
      <c r="M597" t="inlineStr">
        <is>
          <t>Conformação</t>
        </is>
      </c>
      <c r="N597" t="inlineStr">
        <is>
          <t xml:space="preserve">Conformação do terreno </t>
        </is>
      </c>
      <c r="O597" t="inlineStr">
        <is>
          <t>Tipo A</t>
        </is>
      </c>
      <c r="P597" t="inlineStr">
        <is>
          <t>63+420</t>
        </is>
      </c>
      <c r="Q597" t="inlineStr">
        <is>
          <t>63+420</t>
        </is>
      </c>
      <c r="R597" t="inlineStr">
        <is>
          <t>Aberta</t>
        </is>
      </c>
      <c r="T597" t="inlineStr">
        <is>
          <t>Aline Batista</t>
        </is>
      </c>
      <c r="U597" t="inlineStr">
        <is>
          <t>24/04/2026</t>
        </is>
      </c>
      <c r="V597" t="inlineStr">
        <is>
          <t>01/05/2026</t>
        </is>
      </c>
      <c r="W597">
        <v>40</v>
      </c>
      <c r="AA597" t="inlineStr">
        <is>
          <t>Aberta 30-60 dias</t>
        </is>
      </c>
    </row>
    <row r="598">
      <c r="A598">
        <v>596</v>
      </c>
      <c r="B598">
        <v>2</v>
      </c>
      <c r="C598" t="inlineStr">
        <is>
          <t>1.6</t>
        </is>
      </c>
      <c r="D598" t="inlineStr">
        <is>
          <t>A07</t>
        </is>
      </c>
      <c r="E598" t="inlineStr">
        <is>
          <t>LD</t>
        </is>
      </c>
      <c r="F598" t="inlineStr">
        <is>
          <t>ATERPA</t>
        </is>
      </c>
      <c r="G598" t="inlineStr">
        <is>
          <t>CLP-012</t>
        </is>
      </c>
      <c r="H598" t="inlineStr">
        <is>
          <t>Protocolo</t>
        </is>
      </c>
      <c r="I598">
        <v>4</v>
      </c>
      <c r="J598" t="inlineStr">
        <is>
          <t>Terraplenagem</t>
        </is>
      </c>
      <c r="K598" t="inlineStr">
        <is>
          <t>4.11</t>
        </is>
      </c>
      <c r="L598" t="inlineStr">
        <is>
          <t>Erosão</t>
        </is>
      </c>
      <c r="M598" t="inlineStr">
        <is>
          <t>Revegetação/ Hidrossemeadura</t>
        </is>
      </c>
      <c r="N598" t="inlineStr">
        <is>
          <t>Conformação e repasse da hidrossemeadura</t>
        </is>
      </c>
      <c r="O598" t="inlineStr">
        <is>
          <t>Tipo A</t>
        </is>
      </c>
      <c r="P598" t="inlineStr">
        <is>
          <t xml:space="preserve"> 63+470</t>
        </is>
      </c>
      <c r="Q598" t="inlineStr">
        <is>
          <t xml:space="preserve"> 63+470</t>
        </is>
      </c>
      <c r="R598" t="inlineStr">
        <is>
          <t>Aberta</t>
        </is>
      </c>
      <c r="T598" t="inlineStr">
        <is>
          <t>Aline Batista</t>
        </is>
      </c>
      <c r="U598" t="inlineStr">
        <is>
          <t>24/04/2026</t>
        </is>
      </c>
      <c r="V598" t="inlineStr">
        <is>
          <t>01/05/2026</t>
        </is>
      </c>
      <c r="W598">
        <v>40</v>
      </c>
      <c r="AA598" t="inlineStr">
        <is>
          <t>Aberta 30-60 dias</t>
        </is>
      </c>
    </row>
    <row r="599">
      <c r="A599">
        <v>597</v>
      </c>
      <c r="B599">
        <v>2</v>
      </c>
      <c r="C599" t="inlineStr">
        <is>
          <t>1.6</t>
        </is>
      </c>
      <c r="D599" t="inlineStr">
        <is>
          <t>A07</t>
        </is>
      </c>
      <c r="E599" t="inlineStr">
        <is>
          <t>LD</t>
        </is>
      </c>
      <c r="F599" t="inlineStr">
        <is>
          <t>ATERPA</t>
        </is>
      </c>
      <c r="G599" t="inlineStr">
        <is>
          <t>CLP-012</t>
        </is>
      </c>
      <c r="H599" t="inlineStr">
        <is>
          <t>Protocolo</t>
        </is>
      </c>
      <c r="I599">
        <v>4</v>
      </c>
      <c r="J599" t="inlineStr">
        <is>
          <t>Terraplenagem</t>
        </is>
      </c>
      <c r="K599" t="inlineStr">
        <is>
          <t>4.24</t>
        </is>
      </c>
      <c r="L599" t="inlineStr">
        <is>
          <t>Acesso</t>
        </is>
      </c>
      <c r="M599" t="inlineStr">
        <is>
          <t>Regularização e recuperação de área</t>
        </is>
      </c>
      <c r="N599" t="inlineStr">
        <is>
          <t>Regularização de acesso, e regularização da drenagem</t>
        </is>
      </c>
      <c r="O599" t="inlineStr">
        <is>
          <t>Tipo A</t>
        </is>
      </c>
      <c r="P599" t="inlineStr">
        <is>
          <t xml:space="preserve"> 63+600</t>
        </is>
      </c>
      <c r="Q599" t="inlineStr">
        <is>
          <t xml:space="preserve"> 63+600</t>
        </is>
      </c>
      <c r="R599" t="inlineStr">
        <is>
          <t>Aberta</t>
        </is>
      </c>
      <c r="T599" t="inlineStr">
        <is>
          <t>Aline Batista</t>
        </is>
      </c>
      <c r="U599" t="inlineStr">
        <is>
          <t>24/04/2026</t>
        </is>
      </c>
      <c r="V599" t="inlineStr">
        <is>
          <t>01/05/2026</t>
        </is>
      </c>
      <c r="W599">
        <v>40</v>
      </c>
      <c r="AA599" t="inlineStr">
        <is>
          <t>Aberta 30-60 dias</t>
        </is>
      </c>
    </row>
    <row r="600">
      <c r="A600">
        <v>598</v>
      </c>
      <c r="B600">
        <v>2</v>
      </c>
      <c r="C600" t="inlineStr">
        <is>
          <t>1.6</t>
        </is>
      </c>
      <c r="D600" t="inlineStr">
        <is>
          <t>A07</t>
        </is>
      </c>
      <c r="E600" t="inlineStr">
        <is>
          <t>LD</t>
        </is>
      </c>
      <c r="F600" t="inlineStr">
        <is>
          <t>ATERPA</t>
        </is>
      </c>
      <c r="G600" t="inlineStr">
        <is>
          <t>CLP-012</t>
        </is>
      </c>
      <c r="H600" t="inlineStr">
        <is>
          <t>Protocolo</t>
        </is>
      </c>
      <c r="I600">
        <v>4</v>
      </c>
      <c r="J600" t="inlineStr">
        <is>
          <t>Terraplenagem</t>
        </is>
      </c>
      <c r="K600" t="inlineStr">
        <is>
          <t>4.11</t>
        </is>
      </c>
      <c r="L600" t="inlineStr">
        <is>
          <t>Plataforma</t>
        </is>
      </c>
      <c r="M600" t="inlineStr">
        <is>
          <t>Erosões</t>
        </is>
      </c>
      <c r="N600" t="inlineStr">
        <is>
          <t>Erosão no talude de acesso a comunidade</t>
        </is>
      </c>
      <c r="O600" t="inlineStr">
        <is>
          <t>Tipo A</t>
        </is>
      </c>
      <c r="P600" t="inlineStr">
        <is>
          <t>63+600</t>
        </is>
      </c>
      <c r="Q600" t="inlineStr">
        <is>
          <t>63+600</t>
        </is>
      </c>
      <c r="R600" t="inlineStr">
        <is>
          <t>Aberta</t>
        </is>
      </c>
      <c r="T600" t="inlineStr">
        <is>
          <t>Aline Batista</t>
        </is>
      </c>
      <c r="U600" t="inlineStr">
        <is>
          <t>24/04/2026</t>
        </is>
      </c>
      <c r="V600" t="inlineStr">
        <is>
          <t>01/05/2026</t>
        </is>
      </c>
      <c r="W600">
        <v>40</v>
      </c>
      <c r="AA600" t="inlineStr">
        <is>
          <t>Aberta 30-60 dias</t>
        </is>
      </c>
    </row>
    <row r="601">
      <c r="A601">
        <v>599</v>
      </c>
      <c r="B601">
        <v>2</v>
      </c>
      <c r="C601" t="inlineStr">
        <is>
          <t>1.6</t>
        </is>
      </c>
      <c r="D601" t="inlineStr">
        <is>
          <t>C08</t>
        </is>
      </c>
      <c r="E601" t="inlineStr">
        <is>
          <t>LE/LD</t>
        </is>
      </c>
      <c r="F601" t="inlineStr">
        <is>
          <t>ATERPA</t>
        </is>
      </c>
      <c r="G601" t="inlineStr">
        <is>
          <t>CLP-012</t>
        </is>
      </c>
      <c r="H601" t="inlineStr">
        <is>
          <t>Protocolo</t>
        </is>
      </c>
      <c r="I601">
        <v>4</v>
      </c>
      <c r="J601" t="inlineStr">
        <is>
          <t>Terraplenagem</t>
        </is>
      </c>
      <c r="K601" t="inlineStr">
        <is>
          <t>4.37</t>
        </is>
      </c>
      <c r="L601" t="inlineStr">
        <is>
          <t>Talude</t>
        </is>
      </c>
      <c r="M601" t="inlineStr">
        <is>
          <t>Material Solto</t>
        </is>
      </c>
      <c r="N601" t="inlineStr">
        <is>
          <t>Material solto sem compactação ao laterral do aterro</t>
        </is>
      </c>
      <c r="O601" t="inlineStr">
        <is>
          <t>Tipo A</t>
        </is>
      </c>
      <c r="P601" t="inlineStr">
        <is>
          <t xml:space="preserve"> 64+150</t>
        </is>
      </c>
      <c r="Q601" t="inlineStr">
        <is>
          <t xml:space="preserve"> 64+150</t>
        </is>
      </c>
      <c r="R601" t="inlineStr">
        <is>
          <t>Aberta</t>
        </is>
      </c>
      <c r="T601" t="inlineStr">
        <is>
          <t>Aline Batista</t>
        </is>
      </c>
      <c r="U601" t="inlineStr">
        <is>
          <t>24/04/2026</t>
        </is>
      </c>
      <c r="V601" t="inlineStr">
        <is>
          <t>01/05/2026</t>
        </is>
      </c>
      <c r="W601">
        <v>40</v>
      </c>
      <c r="AA601" t="inlineStr">
        <is>
          <t>Aberta 30-60 dias</t>
        </is>
      </c>
    </row>
    <row r="602">
      <c r="A602">
        <v>600</v>
      </c>
      <c r="B602">
        <v>2</v>
      </c>
      <c r="C602" t="inlineStr">
        <is>
          <t>1.6</t>
        </is>
      </c>
      <c r="D602" t="inlineStr">
        <is>
          <t>C08</t>
        </is>
      </c>
      <c r="E602" t="inlineStr">
        <is>
          <t>LD</t>
        </is>
      </c>
      <c r="F602" t="inlineStr">
        <is>
          <t>ATERPA</t>
        </is>
      </c>
      <c r="G602" t="inlineStr">
        <is>
          <t>CLP-012</t>
        </is>
      </c>
      <c r="H602" t="inlineStr">
        <is>
          <t>Protocolo</t>
        </is>
      </c>
      <c r="I602">
        <v>4</v>
      </c>
      <c r="J602" t="inlineStr">
        <is>
          <t>Terraplenagem</t>
        </is>
      </c>
      <c r="K602" t="inlineStr">
        <is>
          <t>4.11</t>
        </is>
      </c>
      <c r="L602" t="inlineStr">
        <is>
          <t>Talude</t>
        </is>
      </c>
      <c r="M602" t="inlineStr">
        <is>
          <t>Revegetação/ Hidrossemeadura</t>
        </is>
      </c>
      <c r="N602" t="inlineStr">
        <is>
          <t>Pendente repasse de hidrossemeadura</t>
        </is>
      </c>
      <c r="O602" t="inlineStr">
        <is>
          <t>Tipo A</t>
        </is>
      </c>
      <c r="P602" t="inlineStr">
        <is>
          <t xml:space="preserve"> 64+240</t>
        </is>
      </c>
      <c r="Q602" t="inlineStr">
        <is>
          <t xml:space="preserve"> 64+240</t>
        </is>
      </c>
      <c r="R602" t="inlineStr">
        <is>
          <t>Aberta</t>
        </is>
      </c>
      <c r="T602" t="inlineStr">
        <is>
          <t>Aline Batista</t>
        </is>
      </c>
      <c r="U602" t="inlineStr">
        <is>
          <t>24/04/2026</t>
        </is>
      </c>
      <c r="V602" t="inlineStr">
        <is>
          <t>01/05/2026</t>
        </is>
      </c>
      <c r="W602">
        <v>40</v>
      </c>
      <c r="AA602" t="inlineStr">
        <is>
          <t>Aberta 30-60 dias</t>
        </is>
      </c>
    </row>
    <row r="603">
      <c r="A603">
        <v>601</v>
      </c>
      <c r="B603">
        <v>2</v>
      </c>
      <c r="C603" t="inlineStr">
        <is>
          <t>1.6</t>
        </is>
      </c>
      <c r="D603" t="inlineStr">
        <is>
          <t>A08</t>
        </is>
      </c>
      <c r="E603" t="inlineStr">
        <is>
          <t>LD</t>
        </is>
      </c>
      <c r="F603" t="inlineStr">
        <is>
          <t>ATERPA</t>
        </is>
      </c>
      <c r="G603" t="inlineStr">
        <is>
          <t>CLP-012</t>
        </is>
      </c>
      <c r="H603" t="inlineStr">
        <is>
          <t>Protocolo</t>
        </is>
      </c>
      <c r="I603">
        <v>4</v>
      </c>
      <c r="J603" t="inlineStr">
        <is>
          <t>Terraplenagem</t>
        </is>
      </c>
      <c r="K603" t="inlineStr">
        <is>
          <t>4.11</t>
        </is>
      </c>
      <c r="L603" t="inlineStr">
        <is>
          <t>Aterro</t>
        </is>
      </c>
      <c r="M603" t="inlineStr">
        <is>
          <t>Erosões</t>
        </is>
      </c>
      <c r="N603" t="inlineStr">
        <is>
          <t>Erosão no talude</t>
        </is>
      </c>
      <c r="O603" t="inlineStr">
        <is>
          <t>Tipo A</t>
        </is>
      </c>
      <c r="P603" t="inlineStr">
        <is>
          <t>64+520</t>
        </is>
      </c>
      <c r="Q603" t="inlineStr">
        <is>
          <t>64+520</t>
        </is>
      </c>
      <c r="R603" t="inlineStr">
        <is>
          <t>Aberta</t>
        </is>
      </c>
      <c r="T603" t="inlineStr">
        <is>
          <t>Aline Batista</t>
        </is>
      </c>
      <c r="U603" t="inlineStr">
        <is>
          <t>24/04/2026</t>
        </is>
      </c>
      <c r="V603" t="inlineStr">
        <is>
          <t>01/05/2026</t>
        </is>
      </c>
      <c r="W603">
        <v>40</v>
      </c>
      <c r="AA603" t="inlineStr">
        <is>
          <t>Aberta 30-60 dias</t>
        </is>
      </c>
    </row>
    <row r="604">
      <c r="A604">
        <v>602</v>
      </c>
      <c r="B604">
        <v>2</v>
      </c>
      <c r="C604" t="inlineStr">
        <is>
          <t>1.6</t>
        </is>
      </c>
      <c r="D604" t="inlineStr">
        <is>
          <t>A08</t>
        </is>
      </c>
      <c r="E604" t="inlineStr">
        <is>
          <t>LD</t>
        </is>
      </c>
      <c r="F604" t="inlineStr">
        <is>
          <t>ATERPA</t>
        </is>
      </c>
      <c r="G604" t="inlineStr">
        <is>
          <t>CLP-012</t>
        </is>
      </c>
      <c r="H604" t="inlineStr">
        <is>
          <t>Protocolo</t>
        </is>
      </c>
      <c r="I604">
        <v>4</v>
      </c>
      <c r="J604" t="inlineStr">
        <is>
          <t>Terraplenagem</t>
        </is>
      </c>
      <c r="K604" t="inlineStr">
        <is>
          <t>4.24</t>
        </is>
      </c>
      <c r="L604" t="inlineStr">
        <is>
          <t>Aterro</t>
        </is>
      </c>
      <c r="M604" t="inlineStr">
        <is>
          <t>Execuçao divergente do projeto</t>
        </is>
      </c>
      <c r="N604" t="inlineStr">
        <is>
          <t>Acesso de obra não existe no projeto, falta interropção do fluxo e hidrossemeadura do acesso de obra.</t>
        </is>
      </c>
      <c r="O604" t="inlineStr">
        <is>
          <t>Tipo A</t>
        </is>
      </c>
      <c r="P604" t="inlineStr">
        <is>
          <t>64+580</t>
        </is>
      </c>
      <c r="Q604" t="inlineStr">
        <is>
          <t>64+580</t>
        </is>
      </c>
      <c r="R604" t="inlineStr">
        <is>
          <t>Aberta</t>
        </is>
      </c>
      <c r="T604" t="inlineStr">
        <is>
          <t>Aline Batista</t>
        </is>
      </c>
      <c r="U604" t="inlineStr">
        <is>
          <t>24/04/2026</t>
        </is>
      </c>
      <c r="V604" t="inlineStr">
        <is>
          <t>01/05/2026</t>
        </is>
      </c>
      <c r="W604">
        <v>40</v>
      </c>
      <c r="AA604" t="inlineStr">
        <is>
          <t>Aberta 30-60 dias</t>
        </is>
      </c>
    </row>
    <row r="605">
      <c r="A605">
        <v>603</v>
      </c>
      <c r="B605">
        <v>2</v>
      </c>
      <c r="C605" t="inlineStr">
        <is>
          <t>1.6</t>
        </is>
      </c>
      <c r="D605" t="inlineStr">
        <is>
          <t>A08</t>
        </is>
      </c>
      <c r="E605" t="inlineStr">
        <is>
          <t>LD</t>
        </is>
      </c>
      <c r="F605" t="inlineStr">
        <is>
          <t>ATERPA</t>
        </is>
      </c>
      <c r="G605" t="inlineStr">
        <is>
          <t>CLP-012</t>
        </is>
      </c>
      <c r="H605" t="inlineStr">
        <is>
          <t>Protocolo</t>
        </is>
      </c>
      <c r="I605">
        <v>4</v>
      </c>
      <c r="J605" t="inlineStr">
        <is>
          <t>Terraplenagem</t>
        </is>
      </c>
      <c r="K605" t="inlineStr">
        <is>
          <t>4.24</t>
        </is>
      </c>
      <c r="L605" t="inlineStr">
        <is>
          <t>Talude</t>
        </is>
      </c>
      <c r="M605" t="inlineStr">
        <is>
          <t>Erosões</t>
        </is>
      </c>
      <c r="N605" t="inlineStr">
        <is>
          <t>Acesso de obra não existe no projeto, falta interropção do fluxo e hidrossemeadura do acesso de obra.</t>
        </is>
      </c>
      <c r="O605" t="inlineStr">
        <is>
          <t>Tipo A</t>
        </is>
      </c>
      <c r="P605" t="inlineStr">
        <is>
          <t xml:space="preserve"> 64+580</t>
        </is>
      </c>
      <c r="Q605" t="inlineStr">
        <is>
          <t xml:space="preserve"> 64+580</t>
        </is>
      </c>
      <c r="R605" t="inlineStr">
        <is>
          <t>Aberta</t>
        </is>
      </c>
      <c r="T605" t="inlineStr">
        <is>
          <t>Aline Batista</t>
        </is>
      </c>
      <c r="U605" t="inlineStr">
        <is>
          <t>24/04/2026</t>
        </is>
      </c>
      <c r="V605" t="inlineStr">
        <is>
          <t>01/05/2026</t>
        </is>
      </c>
      <c r="W605">
        <v>40</v>
      </c>
      <c r="AA605" t="inlineStr">
        <is>
          <t>Aberta 30-60 dias</t>
        </is>
      </c>
    </row>
    <row r="606">
      <c r="A606">
        <v>604</v>
      </c>
      <c r="B606">
        <v>2</v>
      </c>
      <c r="C606" t="inlineStr">
        <is>
          <t>1.6</t>
        </is>
      </c>
      <c r="D606" t="inlineStr">
        <is>
          <t>A08</t>
        </is>
      </c>
      <c r="E606" t="inlineStr">
        <is>
          <t>LD</t>
        </is>
      </c>
      <c r="F606" t="inlineStr">
        <is>
          <t>ATERPA</t>
        </is>
      </c>
      <c r="G606" t="inlineStr">
        <is>
          <t>CLP-012</t>
        </is>
      </c>
      <c r="H606" t="inlineStr">
        <is>
          <t>Protocolo</t>
        </is>
      </c>
      <c r="I606">
        <v>4</v>
      </c>
      <c r="J606" t="inlineStr">
        <is>
          <t>Terraplenagem</t>
        </is>
      </c>
      <c r="K606" t="inlineStr">
        <is>
          <t>4.11</t>
        </is>
      </c>
      <c r="L606" t="inlineStr">
        <is>
          <t>Talude</t>
        </is>
      </c>
      <c r="M606" t="inlineStr">
        <is>
          <t>Conformação</t>
        </is>
      </c>
      <c r="N606" t="inlineStr">
        <is>
          <t xml:space="preserve">Conformação do terreno, aplicação de Hidrssemeadura </t>
        </is>
      </c>
      <c r="O606" t="inlineStr">
        <is>
          <t>Tipo A</t>
        </is>
      </c>
      <c r="P606" t="inlineStr">
        <is>
          <t>64+590</t>
        </is>
      </c>
      <c r="Q606" t="inlineStr">
        <is>
          <t>64+590</t>
        </is>
      </c>
      <c r="R606" t="inlineStr">
        <is>
          <t>Aberta</t>
        </is>
      </c>
      <c r="T606" t="inlineStr">
        <is>
          <t>Aline Batista</t>
        </is>
      </c>
      <c r="U606" t="inlineStr">
        <is>
          <t>24/04/2026</t>
        </is>
      </c>
      <c r="V606" t="inlineStr">
        <is>
          <t>01/05/2026</t>
        </is>
      </c>
      <c r="W606">
        <v>40</v>
      </c>
      <c r="AA606" t="inlineStr">
        <is>
          <t>Aberta 30-60 dias</t>
        </is>
      </c>
    </row>
    <row r="607">
      <c r="A607">
        <v>605</v>
      </c>
      <c r="B607">
        <v>2</v>
      </c>
      <c r="C607" t="inlineStr">
        <is>
          <t>1.6</t>
        </is>
      </c>
      <c r="D607" t="inlineStr">
        <is>
          <t>A08</t>
        </is>
      </c>
      <c r="E607" t="inlineStr">
        <is>
          <t>LD</t>
        </is>
      </c>
      <c r="F607" t="inlineStr">
        <is>
          <t>ATERPA</t>
        </is>
      </c>
      <c r="G607" t="inlineStr">
        <is>
          <t>CLP-012</t>
        </is>
      </c>
      <c r="H607" t="inlineStr">
        <is>
          <t>Protocolo</t>
        </is>
      </c>
      <c r="I607">
        <v>4</v>
      </c>
      <c r="J607" t="inlineStr">
        <is>
          <t>Terraplenagem</t>
        </is>
      </c>
      <c r="K607" t="inlineStr">
        <is>
          <t>4.11</t>
        </is>
      </c>
      <c r="L607" t="inlineStr">
        <is>
          <t>Aterro</t>
        </is>
      </c>
      <c r="M607" t="inlineStr">
        <is>
          <t>Revegetação/ Hidrossemeadura</t>
        </is>
      </c>
      <c r="N607" t="inlineStr">
        <is>
          <t>Repasse de Hidro no aterro</t>
        </is>
      </c>
      <c r="O607" t="inlineStr">
        <is>
          <t>Tipo A</t>
        </is>
      </c>
      <c r="P607" t="inlineStr">
        <is>
          <t>64+800</t>
        </is>
      </c>
      <c r="Q607" t="inlineStr">
        <is>
          <t>64+800</t>
        </is>
      </c>
      <c r="R607" t="inlineStr">
        <is>
          <t>Aberta</t>
        </is>
      </c>
      <c r="T607" t="inlineStr">
        <is>
          <t>Aline Batista</t>
        </is>
      </c>
      <c r="U607" t="inlineStr">
        <is>
          <t>24/04/2026</t>
        </is>
      </c>
      <c r="V607" t="inlineStr">
        <is>
          <t>01/05/2026</t>
        </is>
      </c>
      <c r="W607">
        <v>40</v>
      </c>
      <c r="AA607" t="inlineStr">
        <is>
          <t>Aberta 30-60 dias</t>
        </is>
      </c>
    </row>
    <row r="608">
      <c r="A608">
        <v>606</v>
      </c>
      <c r="B608">
        <v>2</v>
      </c>
      <c r="C608" t="inlineStr">
        <is>
          <t>1.6</t>
        </is>
      </c>
      <c r="D608" t="inlineStr">
        <is>
          <t>C09</t>
        </is>
      </c>
      <c r="F608" t="inlineStr">
        <is>
          <t>ATERPA</t>
        </is>
      </c>
      <c r="G608" t="inlineStr">
        <is>
          <t>CLP-012</t>
        </is>
      </c>
      <c r="H608" t="inlineStr">
        <is>
          <t>Protocolo</t>
        </is>
      </c>
      <c r="I608">
        <v>4</v>
      </c>
      <c r="J608" t="inlineStr">
        <is>
          <t>Terraplenagem</t>
        </is>
      </c>
      <c r="K608" t="inlineStr">
        <is>
          <t>4.21</t>
        </is>
      </c>
      <c r="L608" t="inlineStr">
        <is>
          <t>Sublastro</t>
        </is>
      </c>
      <c r="M608" t="inlineStr">
        <is>
          <t>Execuçao divergente do projeto</t>
        </is>
      </c>
      <c r="N608" t="inlineStr">
        <is>
          <t>Rebaixo identificado ao lado da caixa de inspeção 65+700</t>
        </is>
      </c>
      <c r="O608" t="inlineStr">
        <is>
          <t>Tipo A</t>
        </is>
      </c>
      <c r="P608" t="inlineStr">
        <is>
          <t>65+700</t>
        </is>
      </c>
      <c r="Q608" t="inlineStr">
        <is>
          <t>65+700</t>
        </is>
      </c>
      <c r="R608" t="inlineStr">
        <is>
          <t>Aberta</t>
        </is>
      </c>
      <c r="T608" t="inlineStr">
        <is>
          <t>Aline Batista</t>
        </is>
      </c>
      <c r="U608" t="inlineStr">
        <is>
          <t>24/04/2026</t>
        </is>
      </c>
      <c r="V608" t="inlineStr">
        <is>
          <t>01/05/2026</t>
        </is>
      </c>
      <c r="W608">
        <v>40</v>
      </c>
      <c r="AA608" t="inlineStr">
        <is>
          <t>Aberta 30-60 dias</t>
        </is>
      </c>
    </row>
    <row r="609">
      <c r="A609">
        <v>607</v>
      </c>
      <c r="B609">
        <v>2</v>
      </c>
      <c r="C609" t="inlineStr">
        <is>
          <t>1.6</t>
        </is>
      </c>
      <c r="D609" t="inlineStr">
        <is>
          <t>A09</t>
        </is>
      </c>
      <c r="E609" t="inlineStr">
        <is>
          <t>E</t>
        </is>
      </c>
      <c r="F609" t="inlineStr">
        <is>
          <t>ATERPA</t>
        </is>
      </c>
      <c r="G609" t="inlineStr">
        <is>
          <t>CLP-012</t>
        </is>
      </c>
      <c r="H609" t="inlineStr">
        <is>
          <t>Protocolo</t>
        </is>
      </c>
      <c r="I609">
        <v>4</v>
      </c>
      <c r="J609" t="inlineStr">
        <is>
          <t>Terraplenagem</t>
        </is>
      </c>
      <c r="K609" t="inlineStr">
        <is>
          <t>4.17</t>
        </is>
      </c>
      <c r="L609" t="inlineStr">
        <is>
          <t>Talude</t>
        </is>
      </c>
      <c r="M609" t="inlineStr">
        <is>
          <t>Fissuras/ trincas na plataforma</t>
        </is>
      </c>
      <c r="N609" t="inlineStr">
        <is>
          <t>Verificado a presença de trincas no sublastro</t>
        </is>
      </c>
      <c r="O609" t="inlineStr">
        <is>
          <t>Tipo A</t>
        </is>
      </c>
      <c r="P609" t="inlineStr">
        <is>
          <t>67+120</t>
        </is>
      </c>
      <c r="Q609" t="inlineStr">
        <is>
          <t>67+120</t>
        </is>
      </c>
      <c r="R609" t="inlineStr">
        <is>
          <t>Aberta</t>
        </is>
      </c>
      <c r="T609" t="inlineStr">
        <is>
          <t>Aline Batista</t>
        </is>
      </c>
      <c r="U609" t="inlineStr">
        <is>
          <t>24/04/2026</t>
        </is>
      </c>
      <c r="V609" t="inlineStr">
        <is>
          <t>01/05/2026</t>
        </is>
      </c>
      <c r="W609">
        <v>40</v>
      </c>
      <c r="AA609" t="inlineStr">
        <is>
          <t>Aberta 30-60 dias</t>
        </is>
      </c>
    </row>
    <row r="610">
      <c r="A610">
        <v>608</v>
      </c>
      <c r="B610">
        <v>2</v>
      </c>
      <c r="C610" t="inlineStr">
        <is>
          <t>1.6</t>
        </is>
      </c>
      <c r="D610" t="inlineStr">
        <is>
          <t>C10</t>
        </is>
      </c>
      <c r="E610" t="inlineStr">
        <is>
          <t>LD</t>
        </is>
      </c>
      <c r="F610" t="inlineStr">
        <is>
          <t>ATERPA</t>
        </is>
      </c>
      <c r="G610" t="inlineStr">
        <is>
          <t>CLP-012</t>
        </is>
      </c>
      <c r="H610" t="inlineStr">
        <is>
          <t>Protocolo</t>
        </is>
      </c>
      <c r="I610">
        <v>4</v>
      </c>
      <c r="J610" t="inlineStr">
        <is>
          <t>Terraplenagem</t>
        </is>
      </c>
      <c r="K610" t="inlineStr">
        <is>
          <t>4.11</t>
        </is>
      </c>
      <c r="L610" t="inlineStr">
        <is>
          <t>Talude</t>
        </is>
      </c>
      <c r="M610" t="inlineStr">
        <is>
          <t>Revegetação/ Hidrossemeadura</t>
        </is>
      </c>
      <c r="N610" t="inlineStr">
        <is>
          <t>Aplicação de Hidrossemeadura na jusante do bueiro</t>
        </is>
      </c>
      <c r="O610" t="inlineStr">
        <is>
          <t>Tipo A</t>
        </is>
      </c>
      <c r="P610" t="inlineStr">
        <is>
          <t>67+260</t>
        </is>
      </c>
      <c r="Q610" t="inlineStr">
        <is>
          <t>67+260</t>
        </is>
      </c>
      <c r="R610" t="inlineStr">
        <is>
          <t>Aberta</t>
        </is>
      </c>
      <c r="T610" t="inlineStr">
        <is>
          <t>Aline Batista</t>
        </is>
      </c>
      <c r="U610" t="inlineStr">
        <is>
          <t>24/04/2026</t>
        </is>
      </c>
      <c r="V610" t="inlineStr">
        <is>
          <t>01/05/2026</t>
        </is>
      </c>
      <c r="W610">
        <v>40</v>
      </c>
      <c r="AA610" t="inlineStr">
        <is>
          <t>Aberta 30-60 dias</t>
        </is>
      </c>
    </row>
    <row r="611">
      <c r="A611">
        <v>609</v>
      </c>
      <c r="B611">
        <v>2</v>
      </c>
      <c r="C611" t="inlineStr">
        <is>
          <t>1.6</t>
        </is>
      </c>
      <c r="D611" t="inlineStr">
        <is>
          <t>C10</t>
        </is>
      </c>
      <c r="E611" t="inlineStr">
        <is>
          <t>LE</t>
        </is>
      </c>
      <c r="F611" t="inlineStr">
        <is>
          <t>ATERPA</t>
        </is>
      </c>
      <c r="G611" t="inlineStr">
        <is>
          <t>CLP-012</t>
        </is>
      </c>
      <c r="H611" t="inlineStr">
        <is>
          <t>Protocolo</t>
        </is>
      </c>
      <c r="I611">
        <v>4</v>
      </c>
      <c r="J611" t="inlineStr">
        <is>
          <t>Terraplenagem</t>
        </is>
      </c>
      <c r="K611" t="inlineStr">
        <is>
          <t>4.11</t>
        </is>
      </c>
      <c r="L611" t="inlineStr">
        <is>
          <t>Sublastro</t>
        </is>
      </c>
      <c r="M611" t="inlineStr">
        <is>
          <t>Revegetação/ Hidrossemeadura</t>
        </is>
      </c>
      <c r="N611" t="inlineStr">
        <is>
          <t>Aplicação de Hidrossemeadura na montante do bueiro</t>
        </is>
      </c>
      <c r="O611" t="inlineStr">
        <is>
          <t>Tipo A</t>
        </is>
      </c>
      <c r="P611" t="inlineStr">
        <is>
          <t>67+260</t>
        </is>
      </c>
      <c r="Q611" t="inlineStr">
        <is>
          <t>67+260</t>
        </is>
      </c>
      <c r="R611" t="inlineStr">
        <is>
          <t>Aberta</t>
        </is>
      </c>
      <c r="T611" t="inlineStr">
        <is>
          <t>Aline Batista</t>
        </is>
      </c>
      <c r="U611" t="inlineStr">
        <is>
          <t>24/04/2026</t>
        </is>
      </c>
      <c r="V611" t="inlineStr">
        <is>
          <t>01/05/2026</t>
        </is>
      </c>
      <c r="W611">
        <v>40</v>
      </c>
      <c r="AA611" t="inlineStr">
        <is>
          <t>Aberta 30-60 dias</t>
        </is>
      </c>
    </row>
    <row r="612">
      <c r="A612">
        <v>610</v>
      </c>
      <c r="B612">
        <v>2</v>
      </c>
      <c r="C612" t="inlineStr">
        <is>
          <t>1.6</t>
        </is>
      </c>
      <c r="D612" t="inlineStr">
        <is>
          <t>C10</t>
        </is>
      </c>
      <c r="E612" t="inlineStr">
        <is>
          <t>LD/LE</t>
        </is>
      </c>
      <c r="F612" t="inlineStr">
        <is>
          <t>ATERPA</t>
        </is>
      </c>
      <c r="G612" t="inlineStr">
        <is>
          <t>CLP-012</t>
        </is>
      </c>
      <c r="H612" t="inlineStr">
        <is>
          <t>Protocolo</t>
        </is>
      </c>
      <c r="I612">
        <v>4</v>
      </c>
      <c r="J612" t="inlineStr">
        <is>
          <t>Terraplenagem</t>
        </is>
      </c>
      <c r="K612" t="inlineStr">
        <is>
          <t>4.37</t>
        </is>
      </c>
      <c r="L612" t="inlineStr">
        <is>
          <t>Talude</t>
        </is>
      </c>
      <c r="M612" t="inlineStr">
        <is>
          <t>Material Solto</t>
        </is>
      </c>
      <c r="N612" t="inlineStr">
        <is>
          <t>Identificado área saturada na lateral do aterro</t>
        </is>
      </c>
      <c r="O612" t="inlineStr">
        <is>
          <t>Tipo A</t>
        </is>
      </c>
      <c r="P612" t="inlineStr">
        <is>
          <t>67+430</t>
        </is>
      </c>
      <c r="Q612" t="inlineStr">
        <is>
          <t>67+430</t>
        </is>
      </c>
      <c r="R612" t="inlineStr">
        <is>
          <t>Aberta</t>
        </is>
      </c>
      <c r="T612" t="inlineStr">
        <is>
          <t>Aline Batista</t>
        </is>
      </c>
      <c r="U612" t="inlineStr">
        <is>
          <t>24/04/2026</t>
        </is>
      </c>
      <c r="V612" t="inlineStr">
        <is>
          <t>01/05/2026</t>
        </is>
      </c>
      <c r="W612">
        <v>40</v>
      </c>
      <c r="AA612" t="inlineStr">
        <is>
          <t>Aberta 30-60 dias</t>
        </is>
      </c>
    </row>
    <row r="613">
      <c r="A613">
        <v>611</v>
      </c>
      <c r="B613">
        <v>2</v>
      </c>
      <c r="C613" t="inlineStr">
        <is>
          <t>1.6</t>
        </is>
      </c>
      <c r="D613" t="inlineStr">
        <is>
          <t>C10</t>
        </is>
      </c>
      <c r="E613" t="inlineStr">
        <is>
          <t>LD/LE</t>
        </is>
      </c>
      <c r="F613" t="inlineStr">
        <is>
          <t>ATERPA</t>
        </is>
      </c>
      <c r="G613" t="inlineStr">
        <is>
          <t>CLP-012</t>
        </is>
      </c>
      <c r="H613" t="inlineStr">
        <is>
          <t>Protocolo</t>
        </is>
      </c>
      <c r="I613">
        <v>4</v>
      </c>
      <c r="J613" t="inlineStr">
        <is>
          <t>Terraplenagem</t>
        </is>
      </c>
      <c r="K613" t="inlineStr">
        <is>
          <t>4.11</t>
        </is>
      </c>
      <c r="L613" t="inlineStr">
        <is>
          <t>Sublastro</t>
        </is>
      </c>
      <c r="M613" t="inlineStr">
        <is>
          <t>Erosões</t>
        </is>
      </c>
      <c r="N613" t="inlineStr">
        <is>
          <t>Desplacamento e hidrossemeadura</t>
        </is>
      </c>
      <c r="O613" t="inlineStr">
        <is>
          <t>Tipo A</t>
        </is>
      </c>
      <c r="P613" t="inlineStr">
        <is>
          <t>67+580</t>
        </is>
      </c>
      <c r="Q613" t="inlineStr">
        <is>
          <t>67+580</t>
        </is>
      </c>
      <c r="R613" t="inlineStr">
        <is>
          <t>Aberta</t>
        </is>
      </c>
      <c r="T613" t="inlineStr">
        <is>
          <t>Aline Batista</t>
        </is>
      </c>
      <c r="U613" t="inlineStr">
        <is>
          <t>24/04/2026</t>
        </is>
      </c>
      <c r="V613" t="inlineStr">
        <is>
          <t>01/05/2026</t>
        </is>
      </c>
      <c r="W613">
        <v>40</v>
      </c>
      <c r="AA613" t="inlineStr">
        <is>
          <t>Aberta 30-60 dias</t>
        </is>
      </c>
    </row>
    <row r="614">
      <c r="A614">
        <v>612</v>
      </c>
      <c r="B614">
        <v>2</v>
      </c>
      <c r="C614" t="inlineStr">
        <is>
          <t>1.6</t>
        </is>
      </c>
      <c r="D614" t="inlineStr">
        <is>
          <t>C10</t>
        </is>
      </c>
      <c r="E614" t="inlineStr">
        <is>
          <t>LD/LE</t>
        </is>
      </c>
      <c r="F614" t="inlineStr">
        <is>
          <t>ATERPA</t>
        </is>
      </c>
      <c r="G614" t="inlineStr">
        <is>
          <t>CLP-012</t>
        </is>
      </c>
      <c r="H614" t="inlineStr">
        <is>
          <t>Fiscalização</t>
        </is>
      </c>
      <c r="I614">
        <v>4</v>
      </c>
      <c r="J614" t="inlineStr">
        <is>
          <t>Terraplenagem</t>
        </is>
      </c>
      <c r="K614" t="inlineStr">
        <is>
          <t>4.20</t>
        </is>
      </c>
      <c r="L614" t="inlineStr">
        <is>
          <t>Talude</t>
        </is>
      </c>
      <c r="M614" t="inlineStr">
        <is>
          <t>Erosões</t>
        </is>
      </c>
      <c r="N614" t="inlineStr">
        <is>
          <t>Verificado presença de erosão na lateral do sublastro</t>
        </is>
      </c>
      <c r="O614" t="inlineStr">
        <is>
          <t>Tipo A</t>
        </is>
      </c>
      <c r="P614" t="inlineStr">
        <is>
          <t>67+700</t>
        </is>
      </c>
      <c r="Q614" t="inlineStr">
        <is>
          <t>67+700</t>
        </is>
      </c>
      <c r="R614" t="inlineStr">
        <is>
          <t>Aberta</t>
        </is>
      </c>
      <c r="T614" t="inlineStr">
        <is>
          <t>Aline Batista</t>
        </is>
      </c>
      <c r="U614" t="inlineStr">
        <is>
          <t>24/04/2026</t>
        </is>
      </c>
      <c r="V614" t="inlineStr">
        <is>
          <t>01/05/2026</t>
        </is>
      </c>
      <c r="W614">
        <v>40</v>
      </c>
      <c r="AA614" t="inlineStr">
        <is>
          <t>Aberta 30-60 dias</t>
        </is>
      </c>
    </row>
    <row r="615">
      <c r="A615">
        <v>613</v>
      </c>
      <c r="B615">
        <v>2</v>
      </c>
      <c r="C615" t="inlineStr">
        <is>
          <t>1.6</t>
        </is>
      </c>
      <c r="D615" t="inlineStr">
        <is>
          <t>C10</t>
        </is>
      </c>
      <c r="E615" t="inlineStr">
        <is>
          <t>LD/LE</t>
        </is>
      </c>
      <c r="F615" t="inlineStr">
        <is>
          <t>ATERPA</t>
        </is>
      </c>
      <c r="G615" t="inlineStr">
        <is>
          <t>CLP-012</t>
        </is>
      </c>
      <c r="H615" t="inlineStr">
        <is>
          <t>Protocolo</t>
        </is>
      </c>
      <c r="I615">
        <v>4</v>
      </c>
      <c r="J615" t="inlineStr">
        <is>
          <t>Terraplenagem</t>
        </is>
      </c>
      <c r="K615" t="inlineStr">
        <is>
          <t>4.11</t>
        </is>
      </c>
      <c r="L615" t="inlineStr">
        <is>
          <t>Talude</t>
        </is>
      </c>
      <c r="M615" t="inlineStr">
        <is>
          <t>Erosões</t>
        </is>
      </c>
      <c r="N615" t="inlineStr">
        <is>
          <t>Desplacamento e hidrossemeadura</t>
        </is>
      </c>
      <c r="O615" t="inlineStr">
        <is>
          <t>Tipo A</t>
        </is>
      </c>
      <c r="P615" t="inlineStr">
        <is>
          <t>68+000</t>
        </is>
      </c>
      <c r="Q615" t="inlineStr">
        <is>
          <t>68+000</t>
        </is>
      </c>
      <c r="R615" t="inlineStr">
        <is>
          <t>Aberta</t>
        </is>
      </c>
      <c r="T615" t="inlineStr">
        <is>
          <t>Aline Batista</t>
        </is>
      </c>
      <c r="U615" t="inlineStr">
        <is>
          <t>24/04/2026</t>
        </is>
      </c>
      <c r="V615" t="inlineStr">
        <is>
          <t>01/05/2026</t>
        </is>
      </c>
      <c r="W615">
        <v>40</v>
      </c>
      <c r="AA615" t="inlineStr">
        <is>
          <t>Aberta 30-60 dias</t>
        </is>
      </c>
    </row>
    <row r="616">
      <c r="A616">
        <v>614</v>
      </c>
      <c r="B616">
        <v>2</v>
      </c>
      <c r="C616" t="inlineStr">
        <is>
          <t>1.6</t>
        </is>
      </c>
      <c r="D616" t="inlineStr">
        <is>
          <t>C10</t>
        </is>
      </c>
      <c r="E616" t="inlineStr">
        <is>
          <t>LE</t>
        </is>
      </c>
      <c r="F616" t="inlineStr">
        <is>
          <t>ATERPA</t>
        </is>
      </c>
      <c r="G616" t="inlineStr">
        <is>
          <t>CLP-012</t>
        </is>
      </c>
      <c r="H616" t="inlineStr">
        <is>
          <t>Protocolo</t>
        </is>
      </c>
      <c r="I616">
        <v>4</v>
      </c>
      <c r="J616" t="inlineStr">
        <is>
          <t>Terraplenagem</t>
        </is>
      </c>
      <c r="K616" t="inlineStr">
        <is>
          <t>4.37</t>
        </is>
      </c>
      <c r="L616" t="inlineStr">
        <is>
          <t>Sublastro</t>
        </is>
      </c>
      <c r="M616" t="inlineStr">
        <is>
          <t>Material Solto</t>
        </is>
      </c>
      <c r="N616" t="inlineStr">
        <is>
          <t>Verificado a presença de material solto no sublastro</t>
        </is>
      </c>
      <c r="O616" t="inlineStr">
        <is>
          <t>Tipo A</t>
        </is>
      </c>
      <c r="P616" t="inlineStr">
        <is>
          <t xml:space="preserve"> 68+250</t>
        </is>
      </c>
      <c r="Q616" t="inlineStr">
        <is>
          <t xml:space="preserve"> 68+250</t>
        </is>
      </c>
      <c r="R616" t="inlineStr">
        <is>
          <t>Aberta</t>
        </is>
      </c>
      <c r="T616" t="inlineStr">
        <is>
          <t>Aline Batista</t>
        </is>
      </c>
      <c r="U616" t="inlineStr">
        <is>
          <t>24/04/2026</t>
        </is>
      </c>
      <c r="V616" t="inlineStr">
        <is>
          <t>01/05/2026</t>
        </is>
      </c>
      <c r="W616">
        <v>40</v>
      </c>
      <c r="AA616" t="inlineStr">
        <is>
          <t>Aberta 30-60 dias</t>
        </is>
      </c>
    </row>
    <row r="617">
      <c r="A617">
        <v>615</v>
      </c>
      <c r="B617">
        <v>2</v>
      </c>
      <c r="C617" t="inlineStr">
        <is>
          <t>1.6</t>
        </is>
      </c>
      <c r="D617" t="inlineStr">
        <is>
          <t>C10</t>
        </is>
      </c>
      <c r="E617" t="inlineStr">
        <is>
          <t>LD</t>
        </is>
      </c>
      <c r="F617" t="inlineStr">
        <is>
          <t>ATERPA</t>
        </is>
      </c>
      <c r="G617" t="inlineStr">
        <is>
          <t>CLP-012</t>
        </is>
      </c>
      <c r="H617" t="inlineStr">
        <is>
          <t>Fiscalização</t>
        </is>
      </c>
      <c r="I617">
        <v>4</v>
      </c>
      <c r="J617" t="inlineStr">
        <is>
          <t>Terraplenagem</t>
        </is>
      </c>
      <c r="K617" t="inlineStr">
        <is>
          <t>4.20</t>
        </is>
      </c>
      <c r="L617" t="inlineStr">
        <is>
          <t>Sublastro</t>
        </is>
      </c>
      <c r="M617" t="inlineStr">
        <is>
          <t>Erosões</t>
        </is>
      </c>
      <c r="N617" t="inlineStr">
        <is>
          <t>Verificado erosão na lateral do sublastro</t>
        </is>
      </c>
      <c r="O617" t="inlineStr">
        <is>
          <t>Tipo A</t>
        </is>
      </c>
      <c r="P617" t="inlineStr">
        <is>
          <t xml:space="preserve"> 68+260</t>
        </is>
      </c>
      <c r="Q617" t="inlineStr">
        <is>
          <t xml:space="preserve"> 68+260</t>
        </is>
      </c>
      <c r="R617" t="inlineStr">
        <is>
          <t>Aberta</t>
        </is>
      </c>
      <c r="T617" t="inlineStr">
        <is>
          <t>Aline Batista</t>
        </is>
      </c>
      <c r="U617" t="inlineStr">
        <is>
          <t>24/04/2026</t>
        </is>
      </c>
      <c r="V617" t="inlineStr">
        <is>
          <t>01/05/2026</t>
        </is>
      </c>
      <c r="W617">
        <v>40</v>
      </c>
      <c r="AA617" t="inlineStr">
        <is>
          <t>Aberta 30-60 dias</t>
        </is>
      </c>
    </row>
    <row r="618">
      <c r="A618">
        <v>616</v>
      </c>
      <c r="B618">
        <v>2</v>
      </c>
      <c r="C618" t="inlineStr">
        <is>
          <t>1.6</t>
        </is>
      </c>
      <c r="D618" t="inlineStr">
        <is>
          <t>C10</t>
        </is>
      </c>
      <c r="E618" t="inlineStr">
        <is>
          <t>LD/LE</t>
        </is>
      </c>
      <c r="F618" t="inlineStr">
        <is>
          <t>ATERPA</t>
        </is>
      </c>
      <c r="G618" t="inlineStr">
        <is>
          <t>CLP-012</t>
        </is>
      </c>
      <c r="H618" t="inlineStr">
        <is>
          <t>Protocolo</t>
        </is>
      </c>
      <c r="I618">
        <v>4</v>
      </c>
      <c r="J618" t="inlineStr">
        <is>
          <t>Terraplenagem</t>
        </is>
      </c>
      <c r="K618" t="inlineStr">
        <is>
          <t>4.32</t>
        </is>
      </c>
      <c r="L618" t="inlineStr">
        <is>
          <t>Talude</t>
        </is>
      </c>
      <c r="M618" t="inlineStr">
        <is>
          <t>Limpeza/ remoção de material</t>
        </is>
      </c>
      <c r="N618" t="inlineStr">
        <is>
          <t>Limpeza de residos de obra</t>
        </is>
      </c>
      <c r="O618" t="inlineStr">
        <is>
          <t>Tipo A</t>
        </is>
      </c>
      <c r="P618" t="inlineStr">
        <is>
          <t xml:space="preserve"> 68+270</t>
        </is>
      </c>
      <c r="Q618" t="inlineStr">
        <is>
          <t xml:space="preserve"> 68+270</t>
        </is>
      </c>
      <c r="R618" t="inlineStr">
        <is>
          <t>Aberta</t>
        </is>
      </c>
      <c r="T618" t="inlineStr">
        <is>
          <t>Aline Batista</t>
        </is>
      </c>
      <c r="U618" t="inlineStr">
        <is>
          <t>24/04/2026</t>
        </is>
      </c>
      <c r="V618" t="inlineStr">
        <is>
          <t>01/05/2026</t>
        </is>
      </c>
      <c r="W618">
        <v>40</v>
      </c>
      <c r="AA618" t="inlineStr">
        <is>
          <t>Aberta 30-60 dias</t>
        </is>
      </c>
    </row>
    <row r="619">
      <c r="A619">
        <v>617</v>
      </c>
      <c r="B619">
        <v>2</v>
      </c>
      <c r="C619" t="inlineStr">
        <is>
          <t>1.6</t>
        </is>
      </c>
      <c r="D619" t="inlineStr">
        <is>
          <t>C10</t>
        </is>
      </c>
      <c r="E619" t="inlineStr">
        <is>
          <t>LD/LE</t>
        </is>
      </c>
      <c r="F619" t="inlineStr">
        <is>
          <t>ATERPA</t>
        </is>
      </c>
      <c r="G619" t="inlineStr">
        <is>
          <t>CLP-012</t>
        </is>
      </c>
      <c r="H619" t="inlineStr">
        <is>
          <t>Fiscalização</t>
        </is>
      </c>
      <c r="I619">
        <v>4</v>
      </c>
      <c r="J619" t="inlineStr">
        <is>
          <t>Terraplenagem</t>
        </is>
      </c>
      <c r="K619" t="inlineStr">
        <is>
          <t>4.11</t>
        </is>
      </c>
      <c r="L619" t="inlineStr">
        <is>
          <t>Talude</t>
        </is>
      </c>
      <c r="M619" t="inlineStr">
        <is>
          <t>Erosões</t>
        </is>
      </c>
      <c r="N619" t="inlineStr">
        <is>
          <t>Desplacamento do talude</t>
        </is>
      </c>
      <c r="O619" t="inlineStr">
        <is>
          <t>Tipo A</t>
        </is>
      </c>
      <c r="P619" t="inlineStr">
        <is>
          <t xml:space="preserve"> 68+300</t>
        </is>
      </c>
      <c r="Q619" t="inlineStr">
        <is>
          <t xml:space="preserve"> 68+300</t>
        </is>
      </c>
      <c r="R619" t="inlineStr">
        <is>
          <t>Aberta</t>
        </is>
      </c>
      <c r="T619" t="inlineStr">
        <is>
          <t>Aline Batista</t>
        </is>
      </c>
      <c r="U619" t="inlineStr">
        <is>
          <t>24/04/2026</t>
        </is>
      </c>
      <c r="V619" t="inlineStr">
        <is>
          <t>01/05/2026</t>
        </is>
      </c>
      <c r="W619">
        <v>40</v>
      </c>
      <c r="AA619" t="inlineStr">
        <is>
          <t>Aberta 30-60 dias</t>
        </is>
      </c>
    </row>
    <row r="620">
      <c r="A620">
        <v>618</v>
      </c>
      <c r="B620">
        <v>2</v>
      </c>
      <c r="C620" t="inlineStr">
        <is>
          <t>1.6</t>
        </is>
      </c>
      <c r="D620" t="inlineStr">
        <is>
          <t>C10</t>
        </is>
      </c>
      <c r="E620" t="inlineStr">
        <is>
          <t>LD/LE</t>
        </is>
      </c>
      <c r="F620" t="inlineStr">
        <is>
          <t>ATERPA</t>
        </is>
      </c>
      <c r="G620" t="inlineStr">
        <is>
          <t>CLP-012</t>
        </is>
      </c>
      <c r="H620" t="inlineStr">
        <is>
          <t>Fiscalização</t>
        </is>
      </c>
      <c r="I620">
        <v>4</v>
      </c>
      <c r="J620" t="inlineStr">
        <is>
          <t>Terraplenagem</t>
        </is>
      </c>
      <c r="K620" t="inlineStr">
        <is>
          <t>4.20</t>
        </is>
      </c>
      <c r="L620" t="inlineStr">
        <is>
          <t>Sublastro</t>
        </is>
      </c>
      <c r="M620" t="inlineStr">
        <is>
          <t>Erosões</t>
        </is>
      </c>
      <c r="N620" t="inlineStr">
        <is>
          <t>Verificado erosão na lateral do sublastro</t>
        </is>
      </c>
      <c r="O620" t="inlineStr">
        <is>
          <t>Tipo A</t>
        </is>
      </c>
      <c r="P620" t="inlineStr">
        <is>
          <t xml:space="preserve"> 68+340</t>
        </is>
      </c>
      <c r="Q620" t="inlineStr">
        <is>
          <t xml:space="preserve"> 68+340</t>
        </is>
      </c>
      <c r="R620" t="inlineStr">
        <is>
          <t>Aberta</t>
        </is>
      </c>
      <c r="T620" t="inlineStr">
        <is>
          <t>Aline Batista</t>
        </is>
      </c>
      <c r="U620" t="inlineStr">
        <is>
          <t>24/04/2026</t>
        </is>
      </c>
      <c r="V620" t="inlineStr">
        <is>
          <t>01/05/2026</t>
        </is>
      </c>
      <c r="W620">
        <v>40</v>
      </c>
      <c r="AA620" t="inlineStr">
        <is>
          <t>Aberta 30-60 dias</t>
        </is>
      </c>
    </row>
    <row r="621">
      <c r="A621">
        <v>619</v>
      </c>
      <c r="B621">
        <v>2</v>
      </c>
      <c r="C621" t="inlineStr">
        <is>
          <t>1.6</t>
        </is>
      </c>
      <c r="D621" t="inlineStr">
        <is>
          <t>C10</t>
        </is>
      </c>
      <c r="E621" t="inlineStr">
        <is>
          <t>LD/LE</t>
        </is>
      </c>
      <c r="F621" t="inlineStr">
        <is>
          <t>ATERPA</t>
        </is>
      </c>
      <c r="G621" t="inlineStr">
        <is>
          <t>CLP-012</t>
        </is>
      </c>
      <c r="H621" t="inlineStr">
        <is>
          <t>Protocolo</t>
        </is>
      </c>
      <c r="I621">
        <v>4</v>
      </c>
      <c r="J621" t="inlineStr">
        <is>
          <t>Terraplenagem</t>
        </is>
      </c>
      <c r="K621" t="inlineStr">
        <is>
          <t>4.37</t>
        </is>
      </c>
      <c r="L621" t="inlineStr">
        <is>
          <t>Sublastro</t>
        </is>
      </c>
      <c r="M621" t="inlineStr">
        <is>
          <t>Material Solto</t>
        </is>
      </c>
      <c r="N621" t="inlineStr">
        <is>
          <t>Presença de material solto no sublastro</t>
        </is>
      </c>
      <c r="O621" t="inlineStr">
        <is>
          <t>Tipo A</t>
        </is>
      </c>
      <c r="P621" t="inlineStr">
        <is>
          <t>68+500</t>
        </is>
      </c>
      <c r="Q621" t="inlineStr">
        <is>
          <t>68+500</t>
        </is>
      </c>
      <c r="R621" t="inlineStr">
        <is>
          <t>Aberta</t>
        </is>
      </c>
      <c r="T621" t="inlineStr">
        <is>
          <t>Aline Batista</t>
        </is>
      </c>
      <c r="U621" t="inlineStr">
        <is>
          <t>24/04/2026</t>
        </is>
      </c>
      <c r="V621" t="inlineStr">
        <is>
          <t>01/05/2026</t>
        </is>
      </c>
      <c r="W621">
        <v>40</v>
      </c>
      <c r="AA621" t="inlineStr">
        <is>
          <t>Aberta 30-60 dias</t>
        </is>
      </c>
    </row>
    <row r="622">
      <c r="A622">
        <v>620</v>
      </c>
      <c r="B622">
        <v>2</v>
      </c>
      <c r="C622" t="inlineStr">
        <is>
          <t>1.6</t>
        </is>
      </c>
      <c r="D622" t="inlineStr">
        <is>
          <t>C10</t>
        </is>
      </c>
      <c r="E622" t="inlineStr">
        <is>
          <t>LD/LE</t>
        </is>
      </c>
      <c r="F622" t="inlineStr">
        <is>
          <t>ATERPA</t>
        </is>
      </c>
      <c r="G622" t="inlineStr">
        <is>
          <t>CLP-012</t>
        </is>
      </c>
      <c r="H622" t="inlineStr">
        <is>
          <t>Protocolo</t>
        </is>
      </c>
      <c r="I622">
        <v>4</v>
      </c>
      <c r="J622" t="inlineStr">
        <is>
          <t>Terraplenagem</t>
        </is>
      </c>
      <c r="K622" t="inlineStr">
        <is>
          <t>4.37</t>
        </is>
      </c>
      <c r="L622" t="inlineStr">
        <is>
          <t>Sublastro</t>
        </is>
      </c>
      <c r="M622" t="inlineStr">
        <is>
          <t>Material Solto</t>
        </is>
      </c>
      <c r="N622" t="inlineStr">
        <is>
          <t>Presença de material solto no sublastro</t>
        </is>
      </c>
      <c r="O622" t="inlineStr">
        <is>
          <t>Tipo A</t>
        </is>
      </c>
      <c r="P622" t="inlineStr">
        <is>
          <t xml:space="preserve"> 68+780</t>
        </is>
      </c>
      <c r="Q622" t="inlineStr">
        <is>
          <t xml:space="preserve"> 68+780</t>
        </is>
      </c>
      <c r="R622" t="inlineStr">
        <is>
          <t>Aberta</t>
        </is>
      </c>
      <c r="T622" t="inlineStr">
        <is>
          <t>Aline Batista</t>
        </is>
      </c>
      <c r="U622" t="inlineStr">
        <is>
          <t>24/04/2026</t>
        </is>
      </c>
      <c r="V622" t="inlineStr">
        <is>
          <t>01/05/2026</t>
        </is>
      </c>
      <c r="W622">
        <v>40</v>
      </c>
      <c r="AA622" t="inlineStr">
        <is>
          <t>Aberta 30-60 dias</t>
        </is>
      </c>
    </row>
    <row r="623">
      <c r="A623">
        <v>621</v>
      </c>
      <c r="B623">
        <v>2</v>
      </c>
      <c r="C623" t="inlineStr">
        <is>
          <t>1.6</t>
        </is>
      </c>
      <c r="D623" t="inlineStr">
        <is>
          <t>C10</t>
        </is>
      </c>
      <c r="E623" t="inlineStr">
        <is>
          <t>LD/LE</t>
        </is>
      </c>
      <c r="F623" t="inlineStr">
        <is>
          <t>ATERPA</t>
        </is>
      </c>
      <c r="G623" t="inlineStr">
        <is>
          <t>CLP-012</t>
        </is>
      </c>
      <c r="H623" t="inlineStr">
        <is>
          <t>Fiscalização</t>
        </is>
      </c>
      <c r="I623">
        <v>4</v>
      </c>
      <c r="J623" t="inlineStr">
        <is>
          <t>Terraplenagem</t>
        </is>
      </c>
      <c r="K623" t="inlineStr">
        <is>
          <t>4.20</t>
        </is>
      </c>
      <c r="L623" t="inlineStr">
        <is>
          <t>Sublastro</t>
        </is>
      </c>
      <c r="M623" t="inlineStr">
        <is>
          <t>Erosões</t>
        </is>
      </c>
      <c r="N623" t="inlineStr">
        <is>
          <t>Verificado erosão na lateral do sublastro</t>
        </is>
      </c>
      <c r="O623" t="inlineStr">
        <is>
          <t>Tipo A</t>
        </is>
      </c>
      <c r="P623" t="inlineStr">
        <is>
          <t>68+340</t>
        </is>
      </c>
      <c r="Q623" t="inlineStr">
        <is>
          <t>68+340</t>
        </is>
      </c>
      <c r="R623" t="inlineStr">
        <is>
          <t>Aberta</t>
        </is>
      </c>
      <c r="T623" t="inlineStr">
        <is>
          <t>Aline Batista</t>
        </is>
      </c>
      <c r="U623" t="inlineStr">
        <is>
          <t>24/04/2026</t>
        </is>
      </c>
      <c r="V623" t="inlineStr">
        <is>
          <t>01/05/2026</t>
        </is>
      </c>
      <c r="W623">
        <v>40</v>
      </c>
      <c r="AA623" t="inlineStr">
        <is>
          <t>Aberta 30-60 dias</t>
        </is>
      </c>
    </row>
    <row r="624">
      <c r="A624">
        <v>622</v>
      </c>
      <c r="B624">
        <v>2</v>
      </c>
      <c r="C624" t="inlineStr">
        <is>
          <t>1.6</t>
        </is>
      </c>
      <c r="D624" t="inlineStr">
        <is>
          <t>C10</t>
        </is>
      </c>
      <c r="E624" t="inlineStr">
        <is>
          <t>LD/LE</t>
        </is>
      </c>
      <c r="F624" t="inlineStr">
        <is>
          <t>ATERPA</t>
        </is>
      </c>
      <c r="G624" t="inlineStr">
        <is>
          <t>CLP-012</t>
        </is>
      </c>
      <c r="H624" t="inlineStr">
        <is>
          <t>Fiscalização</t>
        </is>
      </c>
      <c r="I624">
        <v>4</v>
      </c>
      <c r="J624" t="inlineStr">
        <is>
          <t>Terraplenagem</t>
        </is>
      </c>
      <c r="K624" t="inlineStr">
        <is>
          <t>4.11</t>
        </is>
      </c>
      <c r="L624" t="inlineStr">
        <is>
          <t>Talude</t>
        </is>
      </c>
      <c r="M624" t="inlineStr">
        <is>
          <t>Erosões</t>
        </is>
      </c>
      <c r="N624" t="inlineStr">
        <is>
          <t>Erosão no talude do aterro</t>
        </is>
      </c>
      <c r="O624" t="inlineStr">
        <is>
          <t>Tipo A</t>
        </is>
      </c>
      <c r="P624" t="inlineStr">
        <is>
          <t>69+500</t>
        </is>
      </c>
      <c r="Q624" t="inlineStr">
        <is>
          <t>69+500</t>
        </is>
      </c>
      <c r="R624" t="inlineStr">
        <is>
          <t>Aberta</t>
        </is>
      </c>
      <c r="T624" t="inlineStr">
        <is>
          <t>Aline Batista</t>
        </is>
      </c>
      <c r="U624" t="inlineStr">
        <is>
          <t>24/04/2026</t>
        </is>
      </c>
      <c r="V624" t="inlineStr">
        <is>
          <t>01/05/2026</t>
        </is>
      </c>
      <c r="W624">
        <v>40</v>
      </c>
      <c r="AA624" t="inlineStr">
        <is>
          <t>Aberta 30-60 dias</t>
        </is>
      </c>
    </row>
    <row r="625">
      <c r="A625">
        <v>623</v>
      </c>
      <c r="B625">
        <v>2</v>
      </c>
      <c r="C625" t="inlineStr">
        <is>
          <t>1.6</t>
        </is>
      </c>
      <c r="D625" t="inlineStr">
        <is>
          <t>C10</t>
        </is>
      </c>
      <c r="E625" t="inlineStr">
        <is>
          <t>LD/LE</t>
        </is>
      </c>
      <c r="F625" t="inlineStr">
        <is>
          <t>ATERPA</t>
        </is>
      </c>
      <c r="G625" t="inlineStr">
        <is>
          <t>CLP-012</t>
        </is>
      </c>
      <c r="H625" t="inlineStr">
        <is>
          <t>Fiscalização</t>
        </is>
      </c>
      <c r="I625">
        <v>4</v>
      </c>
      <c r="J625" t="inlineStr">
        <is>
          <t>Terraplenagem</t>
        </is>
      </c>
      <c r="K625" t="inlineStr">
        <is>
          <t>4.11</t>
        </is>
      </c>
      <c r="L625" t="inlineStr">
        <is>
          <t>Talude</t>
        </is>
      </c>
      <c r="M625" t="inlineStr">
        <is>
          <t>Erosões</t>
        </is>
      </c>
      <c r="N625" t="inlineStr">
        <is>
          <t>Erosão na base do talude</t>
        </is>
      </c>
      <c r="O625" t="inlineStr">
        <is>
          <t>Tipo A</t>
        </is>
      </c>
      <c r="P625" t="inlineStr">
        <is>
          <t>69+160</t>
        </is>
      </c>
      <c r="Q625" t="inlineStr">
        <is>
          <t>69+160</t>
        </is>
      </c>
      <c r="R625" t="inlineStr">
        <is>
          <t>Aberta</t>
        </is>
      </c>
      <c r="T625" t="inlineStr">
        <is>
          <t>Aline Batista</t>
        </is>
      </c>
      <c r="U625" t="inlineStr">
        <is>
          <t>24/04/2026</t>
        </is>
      </c>
      <c r="V625" t="inlineStr">
        <is>
          <t>01/05/2026</t>
        </is>
      </c>
      <c r="W625">
        <v>40</v>
      </c>
      <c r="AA625" t="inlineStr">
        <is>
          <t>Aberta 30-60 dias</t>
        </is>
      </c>
    </row>
    <row r="626">
      <c r="A626">
        <v>624</v>
      </c>
      <c r="B626">
        <v>2</v>
      </c>
      <c r="C626" t="inlineStr">
        <is>
          <t>1.6</t>
        </is>
      </c>
      <c r="D626" t="inlineStr">
        <is>
          <t>C08</t>
        </is>
      </c>
      <c r="E626" t="inlineStr">
        <is>
          <t>LD/LE</t>
        </is>
      </c>
      <c r="F626" t="inlineStr">
        <is>
          <t>ATERPA</t>
        </is>
      </c>
      <c r="G626" t="inlineStr">
        <is>
          <t>CLP-012</t>
        </is>
      </c>
      <c r="H626" t="inlineStr">
        <is>
          <t>Protocolo</t>
        </is>
      </c>
      <c r="I626">
        <v>4</v>
      </c>
      <c r="J626" t="inlineStr">
        <is>
          <t>Terraplenagem</t>
        </is>
      </c>
      <c r="K626" t="inlineStr">
        <is>
          <t>4.11</t>
        </is>
      </c>
      <c r="L626" t="inlineStr">
        <is>
          <t>Talude</t>
        </is>
      </c>
      <c r="M626" t="inlineStr">
        <is>
          <t>Erosões</t>
        </is>
      </c>
      <c r="N626" t="inlineStr">
        <is>
          <t>Erosão no talude</t>
        </is>
      </c>
      <c r="O626" t="inlineStr">
        <is>
          <t>Tipo A</t>
        </is>
      </c>
      <c r="P626" t="inlineStr">
        <is>
          <t>64+140</t>
        </is>
      </c>
      <c r="Q626" t="inlineStr">
        <is>
          <t>64+140</t>
        </is>
      </c>
      <c r="R626" t="inlineStr">
        <is>
          <t>Aberta</t>
        </is>
      </c>
      <c r="T626" t="inlineStr">
        <is>
          <t>Aline Batista</t>
        </is>
      </c>
      <c r="U626" t="inlineStr">
        <is>
          <t>24/04/2026</t>
        </is>
      </c>
      <c r="V626" t="inlineStr">
        <is>
          <t>01/05/2026</t>
        </is>
      </c>
      <c r="W626">
        <v>40</v>
      </c>
      <c r="AA626" t="inlineStr">
        <is>
          <t>Aberta 30-60 dias</t>
        </is>
      </c>
    </row>
    <row r="627">
      <c r="A627">
        <v>625</v>
      </c>
      <c r="B627">
        <v>2</v>
      </c>
      <c r="C627" t="inlineStr">
        <is>
          <t>1.6</t>
        </is>
      </c>
      <c r="D627" t="inlineStr">
        <is>
          <t>C08</t>
        </is>
      </c>
      <c r="E627" t="inlineStr">
        <is>
          <t>LD/LE</t>
        </is>
      </c>
      <c r="F627" t="inlineStr">
        <is>
          <t>ATERPA</t>
        </is>
      </c>
      <c r="G627" t="inlineStr">
        <is>
          <t>CLP-012</t>
        </is>
      </c>
      <c r="H627" t="inlineStr">
        <is>
          <t>Protocolo</t>
        </is>
      </c>
      <c r="I627">
        <v>4</v>
      </c>
      <c r="J627" t="inlineStr">
        <is>
          <t>Terraplenagem</t>
        </is>
      </c>
      <c r="K627" t="inlineStr">
        <is>
          <t>4.11</t>
        </is>
      </c>
      <c r="L627" t="inlineStr">
        <is>
          <t>Talude</t>
        </is>
      </c>
      <c r="M627" t="inlineStr">
        <is>
          <t>Erosões</t>
        </is>
      </c>
      <c r="N627" t="inlineStr">
        <is>
          <t>Erosão no talude</t>
        </is>
      </c>
      <c r="O627" t="inlineStr">
        <is>
          <t>Tipo A</t>
        </is>
      </c>
      <c r="P627" t="inlineStr">
        <is>
          <t>64+180</t>
        </is>
      </c>
      <c r="Q627" t="inlineStr">
        <is>
          <t>64+180</t>
        </is>
      </c>
      <c r="R627" t="inlineStr">
        <is>
          <t>Aberta</t>
        </is>
      </c>
      <c r="T627" t="inlineStr">
        <is>
          <t>Aline Batista</t>
        </is>
      </c>
      <c r="U627" t="inlineStr">
        <is>
          <t>24/04/2026</t>
        </is>
      </c>
      <c r="V627" t="inlineStr">
        <is>
          <t>01/05/2026</t>
        </is>
      </c>
      <c r="W627">
        <v>40</v>
      </c>
      <c r="AA627" t="inlineStr">
        <is>
          <t>Aberta 30-60 dias</t>
        </is>
      </c>
    </row>
    <row r="628">
      <c r="A628">
        <v>626</v>
      </c>
      <c r="B628">
        <v>2</v>
      </c>
      <c r="C628" t="inlineStr">
        <is>
          <t>1.6</t>
        </is>
      </c>
      <c r="D628" t="inlineStr">
        <is>
          <t>A10</t>
        </is>
      </c>
      <c r="E628" t="inlineStr">
        <is>
          <t>LD/LE</t>
        </is>
      </c>
      <c r="F628" t="inlineStr">
        <is>
          <t>ATERPA</t>
        </is>
      </c>
      <c r="G628" t="inlineStr">
        <is>
          <t>CLP-012</t>
        </is>
      </c>
      <c r="H628" t="inlineStr">
        <is>
          <t>Fiscalização</t>
        </is>
      </c>
      <c r="I628">
        <v>4</v>
      </c>
      <c r="J628" t="inlineStr">
        <is>
          <t>Terraplenagem</t>
        </is>
      </c>
      <c r="K628" t="inlineStr">
        <is>
          <t>4.20</t>
        </is>
      </c>
      <c r="L628" t="inlineStr">
        <is>
          <t>Sublastro</t>
        </is>
      </c>
      <c r="M628" t="inlineStr">
        <is>
          <t>Erosões</t>
        </is>
      </c>
      <c r="N628" t="inlineStr">
        <is>
          <t>Verificado erosão na lateral do sublastro</t>
        </is>
      </c>
      <c r="O628" t="inlineStr">
        <is>
          <t>Tipo A</t>
        </is>
      </c>
      <c r="P628" t="inlineStr">
        <is>
          <t>69+520</t>
        </is>
      </c>
      <c r="Q628" t="inlineStr">
        <is>
          <t>69+520</t>
        </is>
      </c>
      <c r="R628" t="inlineStr">
        <is>
          <t>Aberta</t>
        </is>
      </c>
      <c r="T628" t="inlineStr">
        <is>
          <t>Aline Batista</t>
        </is>
      </c>
      <c r="U628" t="inlineStr">
        <is>
          <t>24/04/2026</t>
        </is>
      </c>
      <c r="V628" t="inlineStr">
        <is>
          <t>01/05/2026</t>
        </is>
      </c>
      <c r="W628">
        <v>40</v>
      </c>
      <c r="AA628" t="inlineStr">
        <is>
          <t>Aberta 30-60 dias</t>
        </is>
      </c>
    </row>
    <row r="629">
      <c r="A629">
        <v>627</v>
      </c>
      <c r="B629">
        <v>2</v>
      </c>
      <c r="C629" t="inlineStr">
        <is>
          <t>1.6</t>
        </is>
      </c>
      <c r="D629" t="inlineStr">
        <is>
          <t>C12</t>
        </is>
      </c>
      <c r="E629" t="inlineStr">
        <is>
          <t>LD/LE</t>
        </is>
      </c>
      <c r="F629" t="inlineStr">
        <is>
          <t>ATERPA</t>
        </is>
      </c>
      <c r="G629" t="inlineStr">
        <is>
          <t>CLP-012</t>
        </is>
      </c>
      <c r="H629" t="inlineStr">
        <is>
          <t>Fiscalização</t>
        </is>
      </c>
      <c r="I629">
        <v>4</v>
      </c>
      <c r="J629" t="inlineStr">
        <is>
          <t>Terraplenagem</t>
        </is>
      </c>
      <c r="K629" t="inlineStr">
        <is>
          <t>4.20</t>
        </is>
      </c>
      <c r="L629" t="inlineStr">
        <is>
          <t>Sublastro</t>
        </is>
      </c>
      <c r="M629" t="inlineStr">
        <is>
          <t>Erosões</t>
        </is>
      </c>
      <c r="N629" t="inlineStr">
        <is>
          <t>Verificado erosão na lateral do sublastro</t>
        </is>
      </c>
      <c r="O629" t="inlineStr">
        <is>
          <t>Tipo A</t>
        </is>
      </c>
      <c r="P629" t="inlineStr">
        <is>
          <t>70+100</t>
        </is>
      </c>
      <c r="Q629" t="inlineStr">
        <is>
          <t>70+100</t>
        </is>
      </c>
      <c r="R629" t="inlineStr">
        <is>
          <t>Aberta</t>
        </is>
      </c>
      <c r="T629" t="inlineStr">
        <is>
          <t>Aline Batista</t>
        </is>
      </c>
      <c r="U629" t="inlineStr">
        <is>
          <t>24/04/2026</t>
        </is>
      </c>
      <c r="V629" t="inlineStr">
        <is>
          <t>01/05/2026</t>
        </is>
      </c>
      <c r="W629">
        <v>40</v>
      </c>
      <c r="AA629" t="inlineStr">
        <is>
          <t>Aberta 30-60 dias</t>
        </is>
      </c>
    </row>
    <row r="630">
      <c r="A630">
        <v>628</v>
      </c>
      <c r="B630">
        <v>2</v>
      </c>
      <c r="C630" t="inlineStr">
        <is>
          <t>1.6</t>
        </is>
      </c>
      <c r="D630" t="inlineStr">
        <is>
          <t>A10</t>
        </is>
      </c>
      <c r="E630" t="inlineStr">
        <is>
          <t>LD/LE</t>
        </is>
      </c>
      <c r="F630" t="inlineStr">
        <is>
          <t>ATERPA</t>
        </is>
      </c>
      <c r="G630" t="inlineStr">
        <is>
          <t>CLP-012</t>
        </is>
      </c>
      <c r="H630" t="inlineStr">
        <is>
          <t>Protocolo</t>
        </is>
      </c>
      <c r="I630">
        <v>4</v>
      </c>
      <c r="J630" t="inlineStr">
        <is>
          <t>Terraplenagem</t>
        </is>
      </c>
      <c r="K630" t="inlineStr">
        <is>
          <t>4.37</t>
        </is>
      </c>
      <c r="L630" t="inlineStr">
        <is>
          <t>Sublastro</t>
        </is>
      </c>
      <c r="M630" t="inlineStr">
        <is>
          <t>Material Solto</t>
        </is>
      </c>
      <c r="N630" t="inlineStr">
        <is>
          <t>Material solto no sublastro</t>
        </is>
      </c>
      <c r="O630" t="inlineStr">
        <is>
          <t>Tipo A</t>
        </is>
      </c>
      <c r="P630" t="inlineStr">
        <is>
          <t>69+480</t>
        </is>
      </c>
      <c r="Q630" t="inlineStr">
        <is>
          <t>69+480</t>
        </is>
      </c>
      <c r="R630" t="inlineStr">
        <is>
          <t>Aberta</t>
        </is>
      </c>
      <c r="T630" t="inlineStr">
        <is>
          <t>Aline Batista</t>
        </is>
      </c>
      <c r="U630" t="inlineStr">
        <is>
          <t>24/04/2026</t>
        </is>
      </c>
      <c r="V630" t="inlineStr">
        <is>
          <t>01/05/2026</t>
        </is>
      </c>
      <c r="W630">
        <v>40</v>
      </c>
      <c r="AA630" t="inlineStr">
        <is>
          <t>Aberta 30-60 dias</t>
        </is>
      </c>
    </row>
    <row r="631">
      <c r="A631">
        <v>629</v>
      </c>
      <c r="B631">
        <v>2</v>
      </c>
      <c r="C631" t="inlineStr">
        <is>
          <t>1.6</t>
        </is>
      </c>
      <c r="D631" t="inlineStr">
        <is>
          <t>C12</t>
        </is>
      </c>
      <c r="E631" t="inlineStr">
        <is>
          <t>LD/LE</t>
        </is>
      </c>
      <c r="F631" t="inlineStr">
        <is>
          <t>ATERPA</t>
        </is>
      </c>
      <c r="G631" t="inlineStr">
        <is>
          <t>CLP-012</t>
        </is>
      </c>
      <c r="H631" t="inlineStr">
        <is>
          <t>Fiscalização</t>
        </is>
      </c>
      <c r="I631">
        <v>4</v>
      </c>
      <c r="J631" t="inlineStr">
        <is>
          <t>Terraplenagem</t>
        </is>
      </c>
      <c r="K631" t="inlineStr">
        <is>
          <t>4.11</t>
        </is>
      </c>
      <c r="L631" t="inlineStr">
        <is>
          <t>Aterro</t>
        </is>
      </c>
      <c r="M631" t="inlineStr">
        <is>
          <t>Erosões</t>
        </is>
      </c>
      <c r="N631" t="inlineStr">
        <is>
          <t>Erosão no talude</t>
        </is>
      </c>
      <c r="O631" t="inlineStr">
        <is>
          <t>Tipo A</t>
        </is>
      </c>
      <c r="P631" t="inlineStr">
        <is>
          <t>70+040</t>
        </is>
      </c>
      <c r="Q631" t="inlineStr">
        <is>
          <t>70+040</t>
        </is>
      </c>
      <c r="R631" t="inlineStr">
        <is>
          <t>Aberta</t>
        </is>
      </c>
      <c r="T631" t="inlineStr">
        <is>
          <t>Aline Batista</t>
        </is>
      </c>
      <c r="U631" t="inlineStr">
        <is>
          <t>24/04/2026</t>
        </is>
      </c>
      <c r="V631" t="inlineStr">
        <is>
          <t>01/05/2026</t>
        </is>
      </c>
      <c r="W631">
        <v>40</v>
      </c>
      <c r="AA631" t="inlineStr">
        <is>
          <t>Aberta 30-60 dias</t>
        </is>
      </c>
    </row>
    <row r="632">
      <c r="A632">
        <v>630</v>
      </c>
      <c r="B632">
        <v>2</v>
      </c>
      <c r="C632" t="inlineStr">
        <is>
          <t>1.6</t>
        </is>
      </c>
      <c r="D632" t="inlineStr">
        <is>
          <t>C09</t>
        </is>
      </c>
      <c r="E632" t="inlineStr">
        <is>
          <t>LD/LE</t>
        </is>
      </c>
      <c r="F632" t="inlineStr">
        <is>
          <t>ATERPA</t>
        </is>
      </c>
      <c r="G632" t="inlineStr">
        <is>
          <t>CLP-012</t>
        </is>
      </c>
      <c r="H632" t="inlineStr">
        <is>
          <t>Protocolo</t>
        </is>
      </c>
      <c r="I632">
        <v>4</v>
      </c>
      <c r="J632" t="inlineStr">
        <is>
          <t>Terraplenagem</t>
        </is>
      </c>
      <c r="K632" t="inlineStr">
        <is>
          <t>4.37</t>
        </is>
      </c>
      <c r="L632" t="inlineStr">
        <is>
          <t>Sublastro</t>
        </is>
      </c>
      <c r="M632" t="inlineStr">
        <is>
          <t>Material Solto</t>
        </is>
      </c>
      <c r="N632" t="inlineStr">
        <is>
          <t>Material solto no sublastro</t>
        </is>
      </c>
      <c r="O632" t="inlineStr">
        <is>
          <t>Tipo A</t>
        </is>
      </c>
      <c r="P632" t="inlineStr">
        <is>
          <t>65+520</t>
        </is>
      </c>
      <c r="Q632" t="inlineStr">
        <is>
          <t>65+520</t>
        </is>
      </c>
      <c r="R632" t="inlineStr">
        <is>
          <t>Aberta</t>
        </is>
      </c>
      <c r="T632" t="inlineStr">
        <is>
          <t>Aline Batista</t>
        </is>
      </c>
      <c r="U632" t="inlineStr">
        <is>
          <t>24/04/2026</t>
        </is>
      </c>
      <c r="V632" t="inlineStr">
        <is>
          <t>01/05/2026</t>
        </is>
      </c>
      <c r="W632">
        <v>40</v>
      </c>
      <c r="AA632" t="inlineStr">
        <is>
          <t>Aberta 30-60 dias</t>
        </is>
      </c>
    </row>
    <row r="633">
      <c r="A633">
        <v>631</v>
      </c>
      <c r="B633">
        <v>2</v>
      </c>
      <c r="C633" t="inlineStr">
        <is>
          <t>1.6</t>
        </is>
      </c>
      <c r="D633" t="inlineStr">
        <is>
          <t>A10</t>
        </is>
      </c>
      <c r="E633" t="inlineStr">
        <is>
          <t>LD/LE</t>
        </is>
      </c>
      <c r="F633" t="inlineStr">
        <is>
          <t>ATERPA</t>
        </is>
      </c>
      <c r="G633" t="inlineStr">
        <is>
          <t>CLP-012</t>
        </is>
      </c>
      <c r="H633" t="inlineStr">
        <is>
          <t>Fiscalização</t>
        </is>
      </c>
      <c r="I633">
        <v>4</v>
      </c>
      <c r="J633" t="inlineStr">
        <is>
          <t>Terraplenagem</t>
        </is>
      </c>
      <c r="K633" t="inlineStr">
        <is>
          <t>4.11</t>
        </is>
      </c>
      <c r="L633" t="inlineStr">
        <is>
          <t>Aterro</t>
        </is>
      </c>
      <c r="M633" t="inlineStr">
        <is>
          <t>Erosões</t>
        </is>
      </c>
      <c r="N633" t="inlineStr">
        <is>
          <t>Erosão no talude</t>
        </is>
      </c>
      <c r="O633" t="inlineStr">
        <is>
          <t>Tipo A</t>
        </is>
      </c>
      <c r="P633" t="inlineStr">
        <is>
          <t>69+520</t>
        </is>
      </c>
      <c r="Q633" t="inlineStr">
        <is>
          <t>69+520</t>
        </is>
      </c>
      <c r="R633" t="inlineStr">
        <is>
          <t>Aberta</t>
        </is>
      </c>
      <c r="T633" t="inlineStr">
        <is>
          <t>Aline Batista</t>
        </is>
      </c>
      <c r="U633" t="inlineStr">
        <is>
          <t>24/04/2026</t>
        </is>
      </c>
      <c r="V633" t="inlineStr">
        <is>
          <t>01/05/2026</t>
        </is>
      </c>
      <c r="W633">
        <v>40</v>
      </c>
      <c r="AA633" t="inlineStr">
        <is>
          <t>Aberta 30-60 dias</t>
        </is>
      </c>
    </row>
    <row r="634">
      <c r="A634">
        <v>632</v>
      </c>
      <c r="B634">
        <v>2</v>
      </c>
      <c r="C634" t="inlineStr">
        <is>
          <t>1.6</t>
        </is>
      </c>
      <c r="D634" t="inlineStr">
        <is>
          <t>C10</t>
        </is>
      </c>
      <c r="E634" t="inlineStr">
        <is>
          <t>LD/LE</t>
        </is>
      </c>
      <c r="F634" t="inlineStr">
        <is>
          <t>ATERPA</t>
        </is>
      </c>
      <c r="G634" t="inlineStr">
        <is>
          <t>CLP-012</t>
        </is>
      </c>
      <c r="H634" t="inlineStr">
        <is>
          <t>Protocolo</t>
        </is>
      </c>
      <c r="I634">
        <v>4</v>
      </c>
      <c r="J634" t="inlineStr">
        <is>
          <t>Terraplenagem</t>
        </is>
      </c>
      <c r="K634" t="inlineStr">
        <is>
          <t>4.37</t>
        </is>
      </c>
      <c r="L634" t="inlineStr">
        <is>
          <t>Sublastro</t>
        </is>
      </c>
      <c r="M634" t="inlineStr">
        <is>
          <t>Material Solto</t>
        </is>
      </c>
      <c r="N634" t="inlineStr">
        <is>
          <t>Material solto no sublastro</t>
        </is>
      </c>
      <c r="O634" t="inlineStr">
        <is>
          <t>Tipo A</t>
        </is>
      </c>
      <c r="P634" t="inlineStr">
        <is>
          <t>68+780</t>
        </is>
      </c>
      <c r="Q634" t="inlineStr">
        <is>
          <t>68+780</t>
        </is>
      </c>
      <c r="R634" t="inlineStr">
        <is>
          <t>Aberta</t>
        </is>
      </c>
      <c r="T634" t="inlineStr">
        <is>
          <t>Aline Batista</t>
        </is>
      </c>
      <c r="U634" t="inlineStr">
        <is>
          <t>24/04/2026</t>
        </is>
      </c>
      <c r="V634" t="inlineStr">
        <is>
          <t>01/05/2026</t>
        </is>
      </c>
      <c r="W634">
        <v>40</v>
      </c>
      <c r="AA634" t="inlineStr">
        <is>
          <t>Aberta 30-60 dias</t>
        </is>
      </c>
    </row>
    <row r="635">
      <c r="A635">
        <v>633</v>
      </c>
      <c r="B635">
        <v>2</v>
      </c>
      <c r="C635" t="inlineStr">
        <is>
          <t>1.6</t>
        </is>
      </c>
      <c r="D635" t="inlineStr">
        <is>
          <t>C10</t>
        </is>
      </c>
      <c r="E635" t="inlineStr">
        <is>
          <t>LD/LE</t>
        </is>
      </c>
      <c r="F635" t="inlineStr">
        <is>
          <t>ATERPA</t>
        </is>
      </c>
      <c r="G635" t="inlineStr">
        <is>
          <t>CLP-012</t>
        </is>
      </c>
      <c r="H635" t="inlineStr">
        <is>
          <t>Fiscalização</t>
        </is>
      </c>
      <c r="I635">
        <v>4</v>
      </c>
      <c r="J635" t="inlineStr">
        <is>
          <t>Terraplenagem</t>
        </is>
      </c>
      <c r="K635" t="inlineStr">
        <is>
          <t>4.20</t>
        </is>
      </c>
      <c r="L635" t="inlineStr">
        <is>
          <t>Sublastro</t>
        </is>
      </c>
      <c r="M635" t="inlineStr">
        <is>
          <t>Erosões</t>
        </is>
      </c>
      <c r="N635" t="inlineStr">
        <is>
          <t>Erosão no aterro</t>
        </is>
      </c>
      <c r="O635" t="inlineStr">
        <is>
          <t>Tipo A</t>
        </is>
      </c>
      <c r="P635" t="inlineStr">
        <is>
          <t xml:space="preserve"> 67+240</t>
        </is>
      </c>
      <c r="Q635" t="inlineStr">
        <is>
          <t xml:space="preserve"> 67+240</t>
        </is>
      </c>
      <c r="R635" t="inlineStr">
        <is>
          <t>Aberta</t>
        </is>
      </c>
      <c r="T635" t="inlineStr">
        <is>
          <t>Aline Batista</t>
        </is>
      </c>
      <c r="U635" t="inlineStr">
        <is>
          <t>24/04/2026</t>
        </is>
      </c>
      <c r="V635" t="inlineStr">
        <is>
          <t>01/05/2026</t>
        </is>
      </c>
      <c r="W635">
        <v>40</v>
      </c>
      <c r="AA635" t="inlineStr">
        <is>
          <t>Aberta 30-60 dias</t>
        </is>
      </c>
    </row>
    <row r="636">
      <c r="A636">
        <v>634</v>
      </c>
      <c r="B636">
        <v>2</v>
      </c>
      <c r="C636" t="inlineStr">
        <is>
          <t>1.6</t>
        </is>
      </c>
      <c r="D636" t="inlineStr">
        <is>
          <t>C10</t>
        </is>
      </c>
      <c r="E636" t="inlineStr">
        <is>
          <t>LD/LE</t>
        </is>
      </c>
      <c r="F636" t="inlineStr">
        <is>
          <t>ATERPA</t>
        </is>
      </c>
      <c r="G636" t="inlineStr">
        <is>
          <t>CLP-012</t>
        </is>
      </c>
      <c r="H636" t="inlineStr">
        <is>
          <t>Fiscalização</t>
        </is>
      </c>
      <c r="I636">
        <v>4</v>
      </c>
      <c r="J636" t="inlineStr">
        <is>
          <t>Terraplenagem</t>
        </is>
      </c>
      <c r="K636" t="inlineStr">
        <is>
          <t>4.20</t>
        </is>
      </c>
      <c r="L636" t="inlineStr">
        <is>
          <t>Sublastro</t>
        </is>
      </c>
      <c r="M636" t="inlineStr">
        <is>
          <t>Erosões</t>
        </is>
      </c>
      <c r="N636" t="inlineStr">
        <is>
          <t>Verificado erosão na lateral do sublastro</t>
        </is>
      </c>
      <c r="O636" t="inlineStr">
        <is>
          <t>Tipo A</t>
        </is>
      </c>
      <c r="P636" t="inlineStr">
        <is>
          <t>68+160</t>
        </is>
      </c>
      <c r="Q636" t="inlineStr">
        <is>
          <t>68+160</t>
        </is>
      </c>
      <c r="R636" t="inlineStr">
        <is>
          <t>Aberta</t>
        </is>
      </c>
      <c r="T636" t="inlineStr">
        <is>
          <t>Aline Batista</t>
        </is>
      </c>
      <c r="U636" t="inlineStr">
        <is>
          <t>24/04/2026</t>
        </is>
      </c>
      <c r="V636" t="inlineStr">
        <is>
          <t>01/05/2026</t>
        </is>
      </c>
      <c r="W636">
        <v>40</v>
      </c>
      <c r="AA636" t="inlineStr">
        <is>
          <t>Aberta 30-60 dias</t>
        </is>
      </c>
    </row>
    <row r="637">
      <c r="A637">
        <v>635</v>
      </c>
      <c r="B637">
        <v>2</v>
      </c>
      <c r="C637" t="inlineStr">
        <is>
          <t>1.6</t>
        </is>
      </c>
      <c r="D637" t="inlineStr">
        <is>
          <t>C10</t>
        </is>
      </c>
      <c r="E637" t="inlineStr">
        <is>
          <t>LD/LE</t>
        </is>
      </c>
      <c r="F637" t="inlineStr">
        <is>
          <t>ATERPA</t>
        </is>
      </c>
      <c r="G637" t="inlineStr">
        <is>
          <t>CLP-012</t>
        </is>
      </c>
      <c r="H637" t="inlineStr">
        <is>
          <t>Protocolo</t>
        </is>
      </c>
      <c r="I637">
        <v>4</v>
      </c>
      <c r="J637" t="inlineStr">
        <is>
          <t>Terraplenagem</t>
        </is>
      </c>
      <c r="K637" t="inlineStr">
        <is>
          <t>4.20</t>
        </is>
      </c>
      <c r="L637" t="inlineStr">
        <is>
          <t>Sublastro</t>
        </is>
      </c>
      <c r="M637" t="inlineStr">
        <is>
          <t>Erosões</t>
        </is>
      </c>
      <c r="N637" t="inlineStr">
        <is>
          <t>Verificado erosão na lateral do sublastro</t>
        </is>
      </c>
      <c r="O637" t="inlineStr">
        <is>
          <t>Tipo A</t>
        </is>
      </c>
      <c r="P637" t="inlineStr">
        <is>
          <t xml:space="preserve"> 68+340</t>
        </is>
      </c>
      <c r="Q637" t="inlineStr">
        <is>
          <t xml:space="preserve"> 68+340</t>
        </is>
      </c>
      <c r="R637" t="inlineStr">
        <is>
          <t>Aberta</t>
        </is>
      </c>
      <c r="T637" t="inlineStr">
        <is>
          <t>Aline Batista</t>
        </is>
      </c>
      <c r="U637" t="inlineStr">
        <is>
          <t>24/04/2026</t>
        </is>
      </c>
      <c r="V637" t="inlineStr">
        <is>
          <t>01/05/2026</t>
        </is>
      </c>
      <c r="W637">
        <v>40</v>
      </c>
      <c r="AA637" t="inlineStr">
        <is>
          <t>Aberta 30-60 dias</t>
        </is>
      </c>
    </row>
    <row r="638">
      <c r="A638">
        <v>636</v>
      </c>
      <c r="B638">
        <v>2</v>
      </c>
      <c r="C638" t="inlineStr">
        <is>
          <t>1.6</t>
        </is>
      </c>
      <c r="D638" t="inlineStr">
        <is>
          <t>C12</t>
        </is>
      </c>
      <c r="E638" t="inlineStr">
        <is>
          <t>LD/LE</t>
        </is>
      </c>
      <c r="F638" t="inlineStr">
        <is>
          <t>ATERPA</t>
        </is>
      </c>
      <c r="G638" t="inlineStr">
        <is>
          <t>CLP-012</t>
        </is>
      </c>
      <c r="H638" t="inlineStr">
        <is>
          <t>Protocolo</t>
        </is>
      </c>
      <c r="I638">
        <v>4</v>
      </c>
      <c r="J638" t="inlineStr">
        <is>
          <t>Terraplenagem</t>
        </is>
      </c>
      <c r="K638" t="inlineStr">
        <is>
          <t>4.11</t>
        </is>
      </c>
      <c r="L638" t="inlineStr">
        <is>
          <t>Aterro</t>
        </is>
      </c>
      <c r="M638" t="inlineStr">
        <is>
          <t>Erosões</t>
        </is>
      </c>
      <c r="N638" t="inlineStr">
        <is>
          <t>Erosão no talude</t>
        </is>
      </c>
      <c r="O638" t="inlineStr">
        <is>
          <t>Tipo A</t>
        </is>
      </c>
      <c r="P638" t="inlineStr">
        <is>
          <t xml:space="preserve"> 69+710</t>
        </is>
      </c>
      <c r="Q638" t="inlineStr">
        <is>
          <t xml:space="preserve"> 69+710</t>
        </is>
      </c>
      <c r="R638" t="inlineStr">
        <is>
          <t>Aberta</t>
        </is>
      </c>
      <c r="T638" t="inlineStr">
        <is>
          <t>Aline Batista</t>
        </is>
      </c>
      <c r="U638" t="inlineStr">
        <is>
          <t>24/04/2026</t>
        </is>
      </c>
      <c r="V638" t="inlineStr">
        <is>
          <t>01/05/2026</t>
        </is>
      </c>
      <c r="W638">
        <v>40</v>
      </c>
      <c r="AA638" t="inlineStr">
        <is>
          <t>Aberta 30-60 dias</t>
        </is>
      </c>
    </row>
    <row r="639">
      <c r="A639">
        <v>637</v>
      </c>
      <c r="B639">
        <v>2</v>
      </c>
      <c r="C639" t="inlineStr">
        <is>
          <t>1.6</t>
        </is>
      </c>
      <c r="D639" t="inlineStr">
        <is>
          <t>A12</t>
        </is>
      </c>
      <c r="E639" t="inlineStr">
        <is>
          <t>LD/LE</t>
        </is>
      </c>
      <c r="F639" t="inlineStr">
        <is>
          <t>ATERPA</t>
        </is>
      </c>
      <c r="G639" t="inlineStr">
        <is>
          <t>CLP-012</t>
        </is>
      </c>
      <c r="H639" t="inlineStr">
        <is>
          <t>Protocolo</t>
        </is>
      </c>
      <c r="I639">
        <v>4</v>
      </c>
      <c r="J639" t="inlineStr">
        <is>
          <t>Terraplenagem</t>
        </is>
      </c>
      <c r="K639" t="inlineStr">
        <is>
          <t>4.23</t>
        </is>
      </c>
      <c r="L639" t="inlineStr">
        <is>
          <t>Sublastro</t>
        </is>
      </c>
      <c r="M639" t="inlineStr">
        <is>
          <t>Limpeza/ remoção de material</t>
        </is>
      </c>
      <c r="N639" t="inlineStr">
        <is>
          <t>Presença de tubo de concoreto aparente no sublastro</t>
        </is>
      </c>
      <c r="O639" t="inlineStr">
        <is>
          <t>Tipo A</t>
        </is>
      </c>
      <c r="P639" t="inlineStr">
        <is>
          <t>70+750</t>
        </is>
      </c>
      <c r="Q639" t="inlineStr">
        <is>
          <t>70+750</t>
        </is>
      </c>
      <c r="R639" t="inlineStr">
        <is>
          <t>Aberta</t>
        </is>
      </c>
      <c r="T639" t="inlineStr">
        <is>
          <t>Aline Batista</t>
        </is>
      </c>
      <c r="U639" t="inlineStr">
        <is>
          <t>24/04/2026</t>
        </is>
      </c>
      <c r="V639" t="inlineStr">
        <is>
          <t>01/05/2026</t>
        </is>
      </c>
      <c r="W639">
        <v>40</v>
      </c>
      <c r="AA639" t="inlineStr">
        <is>
          <t>Aberta 30-60 dias</t>
        </is>
      </c>
    </row>
    <row r="640">
      <c r="A640">
        <v>638</v>
      </c>
      <c r="B640">
        <v>2</v>
      </c>
      <c r="C640" t="inlineStr">
        <is>
          <t>1.6</t>
        </is>
      </c>
      <c r="D640" t="inlineStr">
        <is>
          <t>A12</t>
        </is>
      </c>
      <c r="E640" t="inlineStr">
        <is>
          <t>LD/LE</t>
        </is>
      </c>
      <c r="F640" t="inlineStr">
        <is>
          <t>ATERPA</t>
        </is>
      </c>
      <c r="G640" t="inlineStr">
        <is>
          <t>CLP-012</t>
        </is>
      </c>
      <c r="H640" t="inlineStr">
        <is>
          <t>Protocolo</t>
        </is>
      </c>
      <c r="I640">
        <v>4</v>
      </c>
      <c r="J640" t="inlineStr">
        <is>
          <t>Terraplenagem</t>
        </is>
      </c>
      <c r="K640" t="inlineStr">
        <is>
          <t>4.23</t>
        </is>
      </c>
      <c r="L640" t="inlineStr">
        <is>
          <t>Sublastro</t>
        </is>
      </c>
      <c r="M640" t="inlineStr">
        <is>
          <t>Limpeza/ remoção de material</t>
        </is>
      </c>
      <c r="N640" t="inlineStr">
        <is>
          <t>Presença de tubo de concoreto aparente no sublastro</t>
        </is>
      </c>
      <c r="O640" t="inlineStr">
        <is>
          <t>Tipo A</t>
        </is>
      </c>
      <c r="P640" t="inlineStr">
        <is>
          <t>70+900</t>
        </is>
      </c>
      <c r="Q640" t="inlineStr">
        <is>
          <t>70+900</t>
        </is>
      </c>
      <c r="R640" t="inlineStr">
        <is>
          <t>Aberta</t>
        </is>
      </c>
      <c r="T640" t="inlineStr">
        <is>
          <t>Aline Batista</t>
        </is>
      </c>
      <c r="U640" t="inlineStr">
        <is>
          <t>24/04/2026</t>
        </is>
      </c>
      <c r="V640" t="inlineStr">
        <is>
          <t>01/05/2026</t>
        </is>
      </c>
      <c r="W640">
        <v>40</v>
      </c>
      <c r="AA640" t="inlineStr">
        <is>
          <t>Aberta 30-60 dias</t>
        </is>
      </c>
    </row>
    <row r="641">
      <c r="A641">
        <v>639</v>
      </c>
      <c r="B641">
        <v>2</v>
      </c>
      <c r="C641" t="inlineStr">
        <is>
          <t>1.6</t>
        </is>
      </c>
      <c r="D641" t="inlineStr">
        <is>
          <t>C07</t>
        </is>
      </c>
      <c r="E641" t="inlineStr">
        <is>
          <t>LE</t>
        </is>
      </c>
      <c r="F641" t="inlineStr">
        <is>
          <t>ATERPA</t>
        </is>
      </c>
      <c r="G641" t="inlineStr">
        <is>
          <t>CLP-012</t>
        </is>
      </c>
      <c r="H641" t="inlineStr">
        <is>
          <t>Protocolo</t>
        </is>
      </c>
      <c r="I641">
        <v>4</v>
      </c>
      <c r="J641" t="inlineStr">
        <is>
          <t>Terraplenagem</t>
        </is>
      </c>
      <c r="K641" t="inlineStr">
        <is>
          <t>4.9</t>
        </is>
      </c>
      <c r="L641" t="inlineStr">
        <is>
          <t>ADME</t>
        </is>
      </c>
      <c r="M641" t="inlineStr">
        <is>
          <t>Execuçao divergente do projeto</t>
        </is>
      </c>
      <c r="N641" t="inlineStr">
        <is>
          <t>ADMP fora de projeto; canaletas obstruídas</t>
        </is>
      </c>
      <c r="O641" t="inlineStr">
        <is>
          <t>Tipo A</t>
        </is>
      </c>
      <c r="P641" t="inlineStr">
        <is>
          <t>62+500</t>
        </is>
      </c>
      <c r="Q641" t="inlineStr">
        <is>
          <t>62+500</t>
        </is>
      </c>
      <c r="R641" t="inlineStr">
        <is>
          <t>Aberta</t>
        </is>
      </c>
      <c r="T641" t="inlineStr">
        <is>
          <t>Aline Batista</t>
        </is>
      </c>
      <c r="U641" t="inlineStr">
        <is>
          <t>24/04/2026</t>
        </is>
      </c>
      <c r="V641" t="inlineStr">
        <is>
          <t>01/05/2026</t>
        </is>
      </c>
      <c r="W641">
        <v>40</v>
      </c>
      <c r="AA641" t="inlineStr">
        <is>
          <t>Aberta 30-60 dias</t>
        </is>
      </c>
    </row>
    <row r="642">
      <c r="A642">
        <v>640</v>
      </c>
      <c r="B642">
        <v>2</v>
      </c>
      <c r="C642" t="inlineStr">
        <is>
          <t>1.6</t>
        </is>
      </c>
      <c r="D642" t="inlineStr">
        <is>
          <t>C07</t>
        </is>
      </c>
      <c r="E642" t="inlineStr">
        <is>
          <t>LE</t>
        </is>
      </c>
      <c r="F642" t="inlineStr">
        <is>
          <t>ATERPA</t>
        </is>
      </c>
      <c r="G642" t="inlineStr">
        <is>
          <t>CLP-012</t>
        </is>
      </c>
      <c r="H642" t="inlineStr">
        <is>
          <t>Protocolo</t>
        </is>
      </c>
      <c r="I642">
        <v>4</v>
      </c>
      <c r="J642" t="inlineStr">
        <is>
          <t>Terraplenagem</t>
        </is>
      </c>
      <c r="K642" t="inlineStr">
        <is>
          <t>4.37</t>
        </is>
      </c>
      <c r="L642" t="inlineStr">
        <is>
          <t>Sublastro</t>
        </is>
      </c>
      <c r="M642" t="inlineStr">
        <is>
          <t>Limpeza/ remoção de material</t>
        </is>
      </c>
      <c r="N642" t="inlineStr">
        <is>
          <t>Retirada de material excedente</t>
        </is>
      </c>
      <c r="O642" t="inlineStr">
        <is>
          <t>Tipo A</t>
        </is>
      </c>
      <c r="P642" t="inlineStr">
        <is>
          <t>62+840</t>
        </is>
      </c>
      <c r="Q642" t="inlineStr">
        <is>
          <t>62+840</t>
        </is>
      </c>
      <c r="R642" t="inlineStr">
        <is>
          <t>Aberta</t>
        </is>
      </c>
      <c r="T642" t="inlineStr">
        <is>
          <t>Aline Batista</t>
        </is>
      </c>
      <c r="U642" t="inlineStr">
        <is>
          <t>24/04/2026</t>
        </is>
      </c>
      <c r="V642" t="inlineStr">
        <is>
          <t>01/05/2026</t>
        </is>
      </c>
      <c r="W642">
        <v>40</v>
      </c>
      <c r="AA642" t="inlineStr">
        <is>
          <t>Aberta 30-60 dias</t>
        </is>
      </c>
    </row>
    <row r="643">
      <c r="A643">
        <v>641</v>
      </c>
      <c r="B643">
        <v>2</v>
      </c>
      <c r="C643" t="inlineStr">
        <is>
          <t>1.6</t>
        </is>
      </c>
      <c r="D643" t="inlineStr">
        <is>
          <t>C07</t>
        </is>
      </c>
      <c r="E643" t="inlineStr">
        <is>
          <t>LD</t>
        </is>
      </c>
      <c r="F643" t="inlineStr">
        <is>
          <t>ATERPA</t>
        </is>
      </c>
      <c r="G643" t="inlineStr">
        <is>
          <t>CLP-012</t>
        </is>
      </c>
      <c r="H643" t="inlineStr">
        <is>
          <t>Protocolo</t>
        </is>
      </c>
      <c r="I643">
        <v>4</v>
      </c>
      <c r="J643" t="inlineStr">
        <is>
          <t>Terraplenagem</t>
        </is>
      </c>
      <c r="K643" t="inlineStr">
        <is>
          <t>4.11</t>
        </is>
      </c>
      <c r="L643" t="inlineStr">
        <is>
          <t>Talude</t>
        </is>
      </c>
      <c r="M643" t="inlineStr">
        <is>
          <t>Erosões</t>
        </is>
      </c>
      <c r="N643" t="inlineStr">
        <is>
          <t>Erosão no aterro junto ao dreno; solo exposto</t>
        </is>
      </c>
      <c r="O643" t="inlineStr">
        <is>
          <t>Tipo A</t>
        </is>
      </c>
      <c r="P643" t="inlineStr">
        <is>
          <t>62+840</t>
        </is>
      </c>
      <c r="Q643" t="inlineStr">
        <is>
          <t>62+840</t>
        </is>
      </c>
      <c r="R643" t="inlineStr">
        <is>
          <t>Aberta</t>
        </is>
      </c>
      <c r="T643" t="inlineStr">
        <is>
          <t>Aline Batista</t>
        </is>
      </c>
      <c r="U643" t="inlineStr">
        <is>
          <t>24/04/2026</t>
        </is>
      </c>
      <c r="V643" t="inlineStr">
        <is>
          <t>01/05/2026</t>
        </is>
      </c>
      <c r="W643">
        <v>40</v>
      </c>
      <c r="AA643" t="inlineStr">
        <is>
          <t>Aberta 30-60 dias</t>
        </is>
      </c>
    </row>
    <row r="644">
      <c r="A644">
        <v>642</v>
      </c>
      <c r="B644">
        <v>2</v>
      </c>
      <c r="C644" t="inlineStr">
        <is>
          <t>1.6</t>
        </is>
      </c>
      <c r="D644" t="inlineStr">
        <is>
          <t>C07</t>
        </is>
      </c>
      <c r="E644" t="inlineStr">
        <is>
          <t>LD</t>
        </is>
      </c>
      <c r="F644" t="inlineStr">
        <is>
          <t>ATERPA</t>
        </is>
      </c>
      <c r="G644" t="inlineStr">
        <is>
          <t>CLP-012</t>
        </is>
      </c>
      <c r="H644" t="inlineStr">
        <is>
          <t>Protocolo</t>
        </is>
      </c>
      <c r="I644">
        <v>4</v>
      </c>
      <c r="J644" t="inlineStr">
        <is>
          <t>Terraplenagem</t>
        </is>
      </c>
      <c r="K644" t="inlineStr">
        <is>
          <t>4.11</t>
        </is>
      </c>
      <c r="L644" t="inlineStr">
        <is>
          <t>Talude</t>
        </is>
      </c>
      <c r="M644" t="inlineStr">
        <is>
          <t>Revegetação/ Hidrossemeadura</t>
        </is>
      </c>
      <c r="N644" t="inlineStr">
        <is>
          <t>Solo exposto em corte</t>
        </is>
      </c>
      <c r="O644" t="inlineStr">
        <is>
          <t>Tipo A</t>
        </is>
      </c>
      <c r="P644" t="inlineStr">
        <is>
          <t>62+900</t>
        </is>
      </c>
      <c r="Q644" t="inlineStr">
        <is>
          <t>62+900</t>
        </is>
      </c>
      <c r="R644" t="inlineStr">
        <is>
          <t>Aberta</t>
        </is>
      </c>
      <c r="T644" t="inlineStr">
        <is>
          <t>Aline Batista</t>
        </is>
      </c>
      <c r="U644" t="inlineStr">
        <is>
          <t>24/04/2026</t>
        </is>
      </c>
      <c r="V644" t="inlineStr">
        <is>
          <t>01/05/2026</t>
        </is>
      </c>
      <c r="W644">
        <v>40</v>
      </c>
      <c r="AA644" t="inlineStr">
        <is>
          <t>Aberta 30-60 dias</t>
        </is>
      </c>
    </row>
    <row r="645">
      <c r="A645">
        <v>643</v>
      </c>
      <c r="B645">
        <v>2</v>
      </c>
      <c r="C645" t="inlineStr">
        <is>
          <t>1.6</t>
        </is>
      </c>
      <c r="D645" t="inlineStr">
        <is>
          <t>C07</t>
        </is>
      </c>
      <c r="E645" t="inlineStr">
        <is>
          <t>LD</t>
        </is>
      </c>
      <c r="F645" t="inlineStr">
        <is>
          <t>ATERPA</t>
        </is>
      </c>
      <c r="G645" t="inlineStr">
        <is>
          <t>CLP-012</t>
        </is>
      </c>
      <c r="H645" t="inlineStr">
        <is>
          <t>Protocolo</t>
        </is>
      </c>
      <c r="I645">
        <v>4</v>
      </c>
      <c r="J645" t="inlineStr">
        <is>
          <t>Terraplenagem</t>
        </is>
      </c>
      <c r="K645" t="inlineStr">
        <is>
          <t>4.11</t>
        </is>
      </c>
      <c r="L645" t="inlineStr">
        <is>
          <t>Talude</t>
        </is>
      </c>
      <c r="M645" t="inlineStr">
        <is>
          <t>Erosões</t>
        </is>
      </c>
      <c r="N645" t="inlineStr">
        <is>
          <t>Erosão em corte com solo exposto</t>
        </is>
      </c>
      <c r="O645" t="inlineStr">
        <is>
          <t>Tipo A</t>
        </is>
      </c>
      <c r="P645" t="inlineStr">
        <is>
          <t>62+960</t>
        </is>
      </c>
      <c r="Q645" t="inlineStr">
        <is>
          <t>62+960</t>
        </is>
      </c>
      <c r="R645" t="inlineStr">
        <is>
          <t>Aberta</t>
        </is>
      </c>
      <c r="T645" t="inlineStr">
        <is>
          <t>Aline Batista</t>
        </is>
      </c>
      <c r="U645" t="inlineStr">
        <is>
          <t>24/04/2026</t>
        </is>
      </c>
      <c r="V645" t="inlineStr">
        <is>
          <t>01/05/2026</t>
        </is>
      </c>
      <c r="W645">
        <v>40</v>
      </c>
      <c r="AA645" t="inlineStr">
        <is>
          <t>Aberta 30-60 dias</t>
        </is>
      </c>
    </row>
    <row r="646">
      <c r="A646">
        <v>644</v>
      </c>
      <c r="B646">
        <v>2</v>
      </c>
      <c r="C646" t="inlineStr">
        <is>
          <t>1.6</t>
        </is>
      </c>
      <c r="D646" t="inlineStr">
        <is>
          <t>C07</t>
        </is>
      </c>
      <c r="E646" t="inlineStr">
        <is>
          <t>LD</t>
        </is>
      </c>
      <c r="F646" t="inlineStr">
        <is>
          <t>ATERPA</t>
        </is>
      </c>
      <c r="G646" t="inlineStr">
        <is>
          <t>CLP-012</t>
        </is>
      </c>
      <c r="H646" t="inlineStr">
        <is>
          <t>Protocolo</t>
        </is>
      </c>
      <c r="I646">
        <v>4</v>
      </c>
      <c r="J646" t="inlineStr">
        <is>
          <t>Terraplenagem</t>
        </is>
      </c>
      <c r="K646" t="inlineStr">
        <is>
          <t>4.11</t>
        </is>
      </c>
      <c r="L646" t="inlineStr">
        <is>
          <t>Talude</t>
        </is>
      </c>
      <c r="M646" t="inlineStr">
        <is>
          <t>Revegetação/ Hidrossemeadura</t>
        </is>
      </c>
      <c r="N646" t="inlineStr">
        <is>
          <t>Corte com solo exposto</t>
        </is>
      </c>
      <c r="O646" t="inlineStr">
        <is>
          <t>Tipo A</t>
        </is>
      </c>
      <c r="P646" t="inlineStr">
        <is>
          <t>63+020</t>
        </is>
      </c>
      <c r="Q646" t="inlineStr">
        <is>
          <t>63+020</t>
        </is>
      </c>
      <c r="R646" t="inlineStr">
        <is>
          <t>Aberta</t>
        </is>
      </c>
      <c r="T646" t="inlineStr">
        <is>
          <t>Aline Batista</t>
        </is>
      </c>
      <c r="U646" t="inlineStr">
        <is>
          <t>24/04/2026</t>
        </is>
      </c>
      <c r="V646" t="inlineStr">
        <is>
          <t>01/05/2026</t>
        </is>
      </c>
      <c r="W646">
        <v>40</v>
      </c>
      <c r="AA646" t="inlineStr">
        <is>
          <t>Aberta 30-60 dias</t>
        </is>
      </c>
    </row>
    <row r="647">
      <c r="A647">
        <v>645</v>
      </c>
      <c r="B647">
        <v>2</v>
      </c>
      <c r="C647" t="inlineStr">
        <is>
          <t>1.6</t>
        </is>
      </c>
      <c r="D647" t="inlineStr">
        <is>
          <t>C07</t>
        </is>
      </c>
      <c r="E647" t="inlineStr">
        <is>
          <t>LE</t>
        </is>
      </c>
      <c r="F647" t="inlineStr">
        <is>
          <t>ATERPA</t>
        </is>
      </c>
      <c r="G647" t="inlineStr">
        <is>
          <t>CLP-012</t>
        </is>
      </c>
      <c r="H647" t="inlineStr">
        <is>
          <t>Protocolo</t>
        </is>
      </c>
      <c r="I647">
        <v>4</v>
      </c>
      <c r="J647" t="inlineStr">
        <is>
          <t>Terraplenagem</t>
        </is>
      </c>
      <c r="K647" t="inlineStr">
        <is>
          <t>4.11</t>
        </is>
      </c>
      <c r="L647" t="inlineStr">
        <is>
          <t>Talude</t>
        </is>
      </c>
      <c r="M647" t="inlineStr">
        <is>
          <t>Erosões</t>
        </is>
      </c>
      <c r="N647" t="inlineStr">
        <is>
          <t xml:space="preserve">Erosão em corte. Canaletas obstruídas e resíduos de concreto </t>
        </is>
      </c>
      <c r="O647" t="inlineStr">
        <is>
          <t>Tipo A</t>
        </is>
      </c>
      <c r="P647" t="inlineStr">
        <is>
          <t>63+100</t>
        </is>
      </c>
      <c r="Q647" t="inlineStr">
        <is>
          <t>63+100</t>
        </is>
      </c>
      <c r="R647" t="inlineStr">
        <is>
          <t>Aberta</t>
        </is>
      </c>
      <c r="T647" t="inlineStr">
        <is>
          <t>Aline Batista</t>
        </is>
      </c>
      <c r="U647" t="inlineStr">
        <is>
          <t>24/04/2026</t>
        </is>
      </c>
      <c r="V647" t="inlineStr">
        <is>
          <t>01/05/2026</t>
        </is>
      </c>
      <c r="W647">
        <v>40</v>
      </c>
      <c r="AA647" t="inlineStr">
        <is>
          <t>Aberta 30-60 dias</t>
        </is>
      </c>
    </row>
    <row r="648">
      <c r="A648">
        <v>646</v>
      </c>
      <c r="B648">
        <v>2</v>
      </c>
      <c r="C648" t="inlineStr">
        <is>
          <t>1.6</t>
        </is>
      </c>
      <c r="D648" t="inlineStr">
        <is>
          <t>C07</t>
        </is>
      </c>
      <c r="E648" t="inlineStr">
        <is>
          <t>LD e LE</t>
        </is>
      </c>
      <c r="F648" t="inlineStr">
        <is>
          <t>ATERPA</t>
        </is>
      </c>
      <c r="G648" t="inlineStr">
        <is>
          <t>CLP-012</t>
        </is>
      </c>
      <c r="H648" t="inlineStr">
        <is>
          <t>Protocolo</t>
        </is>
      </c>
      <c r="I648">
        <v>4</v>
      </c>
      <c r="J648" t="inlineStr">
        <is>
          <t>Terraplenagem</t>
        </is>
      </c>
      <c r="K648" t="inlineStr">
        <is>
          <t>4.11</t>
        </is>
      </c>
      <c r="L648" t="inlineStr">
        <is>
          <t>Talude</t>
        </is>
      </c>
      <c r="M648" t="inlineStr">
        <is>
          <t>Revegetação/ Hidrossemeadura</t>
        </is>
      </c>
      <c r="N648" t="inlineStr">
        <is>
          <t>Repasse de hidrossemeadura</t>
        </is>
      </c>
      <c r="O648" t="inlineStr">
        <is>
          <t>Tipo A</t>
        </is>
      </c>
      <c r="P648" t="inlineStr">
        <is>
          <t>62+900</t>
        </is>
      </c>
      <c r="Q648" t="inlineStr">
        <is>
          <t>63+400</t>
        </is>
      </c>
      <c r="R648" t="inlineStr">
        <is>
          <t>Aberta</t>
        </is>
      </c>
      <c r="T648" t="inlineStr">
        <is>
          <t>Aline Batista</t>
        </is>
      </c>
      <c r="U648" t="inlineStr">
        <is>
          <t>24/04/2026</t>
        </is>
      </c>
      <c r="V648" t="inlineStr">
        <is>
          <t>01/05/2026</t>
        </is>
      </c>
      <c r="W648">
        <v>40</v>
      </c>
      <c r="AA648" t="inlineStr">
        <is>
          <t>Aberta 30-60 dias</t>
        </is>
      </c>
    </row>
    <row r="649">
      <c r="A649">
        <v>647</v>
      </c>
      <c r="B649">
        <v>2</v>
      </c>
      <c r="C649" t="inlineStr">
        <is>
          <t>1.6</t>
        </is>
      </c>
      <c r="D649" t="inlineStr">
        <is>
          <t>A07</t>
        </is>
      </c>
      <c r="E649" t="inlineStr">
        <is>
          <t>LD</t>
        </is>
      </c>
      <c r="F649" t="inlineStr">
        <is>
          <t>ATERPA</t>
        </is>
      </c>
      <c r="G649" t="inlineStr">
        <is>
          <t>CLP-012</t>
        </is>
      </c>
      <c r="H649" t="inlineStr">
        <is>
          <t>Protocolo</t>
        </is>
      </c>
      <c r="I649">
        <v>4</v>
      </c>
      <c r="J649" t="inlineStr">
        <is>
          <t>Terraplenagem</t>
        </is>
      </c>
      <c r="K649" t="inlineStr">
        <is>
          <t>4.11</t>
        </is>
      </c>
      <c r="L649" t="inlineStr">
        <is>
          <t>Talude</t>
        </is>
      </c>
      <c r="M649" t="inlineStr">
        <is>
          <t>Revegetação/ Hidrossemeadura</t>
        </is>
      </c>
      <c r="N649" t="inlineStr">
        <is>
          <t>Solo exposto; APP com carreamento; cerca danificada</t>
        </is>
      </c>
      <c r="O649" t="inlineStr">
        <is>
          <t>Tipo A</t>
        </is>
      </c>
      <c r="P649" t="inlineStr">
        <is>
          <t>63+420</t>
        </is>
      </c>
      <c r="Q649" t="inlineStr">
        <is>
          <t>63+420</t>
        </is>
      </c>
      <c r="R649" t="inlineStr">
        <is>
          <t>Aberta</t>
        </is>
      </c>
      <c r="T649" t="inlineStr">
        <is>
          <t>Aline Batista</t>
        </is>
      </c>
      <c r="U649" t="inlineStr">
        <is>
          <t>24/04/2026</t>
        </is>
      </c>
      <c r="V649" t="inlineStr">
        <is>
          <t>01/05/2026</t>
        </is>
      </c>
      <c r="W649">
        <v>40</v>
      </c>
      <c r="AA649" t="inlineStr">
        <is>
          <t>Aberta 30-60 dias</t>
        </is>
      </c>
    </row>
    <row r="650">
      <c r="A650">
        <v>648</v>
      </c>
      <c r="B650">
        <v>2</v>
      </c>
      <c r="C650" t="inlineStr">
        <is>
          <t>1.6</t>
        </is>
      </c>
      <c r="D650" t="inlineStr">
        <is>
          <t>A07</t>
        </is>
      </c>
      <c r="E650" t="inlineStr">
        <is>
          <t>LD e LE</t>
        </is>
      </c>
      <c r="F650" t="inlineStr">
        <is>
          <t>ATERPA</t>
        </is>
      </c>
      <c r="G650" t="inlineStr">
        <is>
          <t>CLP-012</t>
        </is>
      </c>
      <c r="H650" t="inlineStr">
        <is>
          <t>Protocolo</t>
        </is>
      </c>
      <c r="I650">
        <v>4</v>
      </c>
      <c r="J650" t="inlineStr">
        <is>
          <t>Terraplenagem</t>
        </is>
      </c>
      <c r="K650" t="inlineStr">
        <is>
          <t>4.11</t>
        </is>
      </c>
      <c r="L650" t="inlineStr">
        <is>
          <t>Acesso</t>
        </is>
      </c>
      <c r="M650" t="inlineStr">
        <is>
          <t>Revegetação/ Hidrossemeadura</t>
        </is>
      </c>
      <c r="N650" t="inlineStr">
        <is>
          <t>Caminho de serviço com solo exposto. Dissipador obstruído e com processo erosivo.</t>
        </is>
      </c>
      <c r="O650" t="inlineStr">
        <is>
          <t>Tipo A</t>
        </is>
      </c>
      <c r="P650" t="inlineStr">
        <is>
          <t>63+600</t>
        </is>
      </c>
      <c r="Q650" t="inlineStr">
        <is>
          <t>63+600</t>
        </is>
      </c>
      <c r="R650" t="inlineStr">
        <is>
          <t>Aberta</t>
        </is>
      </c>
      <c r="T650" t="inlineStr">
        <is>
          <t>Aline Batista</t>
        </is>
      </c>
      <c r="U650" t="inlineStr">
        <is>
          <t>24/04/2026</t>
        </is>
      </c>
      <c r="V650" t="inlineStr">
        <is>
          <t>01/05/2026</t>
        </is>
      </c>
      <c r="W650">
        <v>40</v>
      </c>
      <c r="AA650" t="inlineStr">
        <is>
          <t>Aberta 30-60 dias</t>
        </is>
      </c>
    </row>
    <row r="651">
      <c r="A651">
        <v>649</v>
      </c>
      <c r="B651">
        <v>2</v>
      </c>
      <c r="C651" t="inlineStr">
        <is>
          <t>1.6</t>
        </is>
      </c>
      <c r="D651" t="inlineStr">
        <is>
          <t>C08</t>
        </is>
      </c>
      <c r="E651" t="inlineStr">
        <is>
          <t>LD</t>
        </is>
      </c>
      <c r="F651" t="inlineStr">
        <is>
          <t>ATERPA</t>
        </is>
      </c>
      <c r="G651" t="inlineStr">
        <is>
          <t>CLP-012</t>
        </is>
      </c>
      <c r="H651" t="inlineStr">
        <is>
          <t>Protocolo</t>
        </is>
      </c>
      <c r="I651">
        <v>4</v>
      </c>
      <c r="J651" t="inlineStr">
        <is>
          <t>Terraplenagem</t>
        </is>
      </c>
      <c r="K651" t="inlineStr">
        <is>
          <t>4.24</t>
        </is>
      </c>
      <c r="L651" t="inlineStr">
        <is>
          <t>Acesso</t>
        </is>
      </c>
      <c r="M651" t="inlineStr">
        <is>
          <t>Erosões</t>
        </is>
      </c>
      <c r="N651" t="inlineStr">
        <is>
          <t>Erosão em acesso da comunidade e sem drenagem instalada</t>
        </is>
      </c>
      <c r="O651" t="inlineStr">
        <is>
          <t>Tipo A</t>
        </is>
      </c>
      <c r="P651" t="inlineStr">
        <is>
          <t>63+750</t>
        </is>
      </c>
      <c r="Q651" t="inlineStr">
        <is>
          <t>63+750</t>
        </is>
      </c>
      <c r="R651" t="inlineStr">
        <is>
          <t>Aberta</t>
        </is>
      </c>
      <c r="T651" t="inlineStr">
        <is>
          <t>Aline Batista</t>
        </is>
      </c>
      <c r="U651" t="inlineStr">
        <is>
          <t>24/04/2026</t>
        </is>
      </c>
      <c r="V651" t="inlineStr">
        <is>
          <t>01/05/2026</t>
        </is>
      </c>
      <c r="W651">
        <v>40</v>
      </c>
      <c r="AA651" t="inlineStr">
        <is>
          <t>Aberta 30-60 dias</t>
        </is>
      </c>
    </row>
    <row r="652">
      <c r="A652">
        <v>650</v>
      </c>
      <c r="B652">
        <v>2</v>
      </c>
      <c r="C652" t="inlineStr">
        <is>
          <t>1.6</t>
        </is>
      </c>
      <c r="D652" t="inlineStr">
        <is>
          <t>C08</t>
        </is>
      </c>
      <c r="E652" t="inlineStr">
        <is>
          <t>LD e LE</t>
        </is>
      </c>
      <c r="F652" t="inlineStr">
        <is>
          <t>ATERPA</t>
        </is>
      </c>
      <c r="G652" t="inlineStr">
        <is>
          <t>CLP-012</t>
        </is>
      </c>
      <c r="H652" t="inlineStr">
        <is>
          <t>Protocolo</t>
        </is>
      </c>
      <c r="I652">
        <v>4</v>
      </c>
      <c r="J652" t="inlineStr">
        <is>
          <t>Terraplenagem</t>
        </is>
      </c>
      <c r="K652" t="inlineStr">
        <is>
          <t>4.11</t>
        </is>
      </c>
      <c r="L652" t="inlineStr">
        <is>
          <t>Talude</t>
        </is>
      </c>
      <c r="M652" t="inlineStr">
        <is>
          <t>Revegetação/ Hidrossemeadura</t>
        </is>
      </c>
      <c r="N652" t="inlineStr">
        <is>
          <t>Corte com solo exposto. Necessário aplicação de hidrossemeadura</t>
        </is>
      </c>
      <c r="O652" t="inlineStr">
        <is>
          <t>Tipo A</t>
        </is>
      </c>
      <c r="P652" t="inlineStr">
        <is>
          <t>63+800</t>
        </is>
      </c>
      <c r="Q652" t="inlineStr">
        <is>
          <t>64+200</t>
        </is>
      </c>
      <c r="R652" t="inlineStr">
        <is>
          <t>Aberta</t>
        </is>
      </c>
      <c r="T652" t="inlineStr">
        <is>
          <t>Aline Batista</t>
        </is>
      </c>
      <c r="U652" t="inlineStr">
        <is>
          <t>24/04/2026</t>
        </is>
      </c>
      <c r="V652" t="inlineStr">
        <is>
          <t>01/05/2026</t>
        </is>
      </c>
      <c r="W652">
        <v>40</v>
      </c>
      <c r="AA652" t="inlineStr">
        <is>
          <t>Aberta 30-60 dias</t>
        </is>
      </c>
    </row>
    <row r="653">
      <c r="A653">
        <v>651</v>
      </c>
      <c r="B653">
        <v>2</v>
      </c>
      <c r="C653" t="inlineStr">
        <is>
          <t>1.6</t>
        </is>
      </c>
      <c r="D653" t="inlineStr">
        <is>
          <t>C08</t>
        </is>
      </c>
      <c r="E653" t="inlineStr">
        <is>
          <t>LD e LE</t>
        </is>
      </c>
      <c r="F653" t="inlineStr">
        <is>
          <t>ATERPA</t>
        </is>
      </c>
      <c r="G653" t="inlineStr">
        <is>
          <t>CLP-012</t>
        </is>
      </c>
      <c r="H653" t="inlineStr">
        <is>
          <t>Protocolo</t>
        </is>
      </c>
      <c r="I653">
        <v>4</v>
      </c>
      <c r="J653" t="inlineStr">
        <is>
          <t>Terraplenagem</t>
        </is>
      </c>
      <c r="K653" t="inlineStr">
        <is>
          <t>4.11</t>
        </is>
      </c>
      <c r="L653" t="inlineStr">
        <is>
          <t>Talude</t>
        </is>
      </c>
      <c r="M653" t="inlineStr">
        <is>
          <t>Revegetação/ Hidrossemeadura</t>
        </is>
      </c>
      <c r="N653" t="inlineStr">
        <is>
          <t>Solo com corte desprotegido, inicio de ravinamento. Necessário conformação e repasse de hidrossemeadura</t>
        </is>
      </c>
      <c r="O653" t="inlineStr">
        <is>
          <t>Tipo A</t>
        </is>
      </c>
      <c r="P653" t="inlineStr">
        <is>
          <t>64+140</t>
        </is>
      </c>
      <c r="Q653" t="inlineStr">
        <is>
          <t>64+140</t>
        </is>
      </c>
      <c r="R653" t="inlineStr">
        <is>
          <t>Aberta</t>
        </is>
      </c>
      <c r="T653" t="inlineStr">
        <is>
          <t>Aline Batista</t>
        </is>
      </c>
      <c r="U653" t="inlineStr">
        <is>
          <t>24/04/2026</t>
        </is>
      </c>
      <c r="V653" t="inlineStr">
        <is>
          <t>01/05/2026</t>
        </is>
      </c>
      <c r="W653">
        <v>40</v>
      </c>
      <c r="AA653" t="inlineStr">
        <is>
          <t>Aberta 30-60 dias</t>
        </is>
      </c>
    </row>
    <row r="654">
      <c r="A654">
        <v>652</v>
      </c>
      <c r="B654">
        <v>2</v>
      </c>
      <c r="C654" t="inlineStr">
        <is>
          <t>1.6</t>
        </is>
      </c>
      <c r="D654" t="inlineStr">
        <is>
          <t>A08</t>
        </is>
      </c>
      <c r="E654" t="inlineStr">
        <is>
          <t>LD e LE</t>
        </is>
      </c>
      <c r="F654" t="inlineStr">
        <is>
          <t>ATERPA</t>
        </is>
      </c>
      <c r="G654" t="inlineStr">
        <is>
          <t>CLP-012</t>
        </is>
      </c>
      <c r="H654" t="inlineStr">
        <is>
          <t>Protocolo</t>
        </is>
      </c>
      <c r="I654">
        <v>4</v>
      </c>
      <c r="J654" t="inlineStr">
        <is>
          <t>Terraplenagem</t>
        </is>
      </c>
      <c r="K654" t="inlineStr">
        <is>
          <t>4.11</t>
        </is>
      </c>
      <c r="L654" t="inlineStr">
        <is>
          <t>Acesso</t>
        </is>
      </c>
      <c r="M654" t="inlineStr">
        <is>
          <t>Revegetação/ Hidrossemeadura</t>
        </is>
      </c>
      <c r="N654" t="inlineStr">
        <is>
          <t>Caminho de serviço com solo exposto</t>
        </is>
      </c>
      <c r="O654" t="inlineStr">
        <is>
          <t>Tipo A</t>
        </is>
      </c>
      <c r="P654" t="inlineStr">
        <is>
          <t>64+500</t>
        </is>
      </c>
      <c r="Q654" t="inlineStr">
        <is>
          <t>65+100</t>
        </is>
      </c>
      <c r="R654" t="inlineStr">
        <is>
          <t>Aberta</t>
        </is>
      </c>
      <c r="T654" t="inlineStr">
        <is>
          <t>Aline Batista</t>
        </is>
      </c>
      <c r="U654" t="inlineStr">
        <is>
          <t>24/04/2026</t>
        </is>
      </c>
      <c r="V654" t="inlineStr">
        <is>
          <t>01/05/2026</t>
        </is>
      </c>
      <c r="W654">
        <v>40</v>
      </c>
      <c r="AA654" t="inlineStr">
        <is>
          <t>Aberta 30-60 dias</t>
        </is>
      </c>
    </row>
    <row r="655">
      <c r="A655">
        <v>653</v>
      </c>
      <c r="B655">
        <v>2</v>
      </c>
      <c r="C655" t="inlineStr">
        <is>
          <t>1.6</t>
        </is>
      </c>
      <c r="D655" t="inlineStr">
        <is>
          <t>A08</t>
        </is>
      </c>
      <c r="E655" t="inlineStr">
        <is>
          <t>LD</t>
        </is>
      </c>
      <c r="F655" t="inlineStr">
        <is>
          <t>ATERPA</t>
        </is>
      </c>
      <c r="G655" t="inlineStr">
        <is>
          <t>CLP-012</t>
        </is>
      </c>
      <c r="H655" t="inlineStr">
        <is>
          <t>Protocolo</t>
        </is>
      </c>
      <c r="I655">
        <v>4</v>
      </c>
      <c r="J655" t="inlineStr">
        <is>
          <t>Terraplenagem</t>
        </is>
      </c>
      <c r="K655" t="inlineStr">
        <is>
          <t>4.32</t>
        </is>
      </c>
      <c r="L655" t="inlineStr">
        <is>
          <t>Acesso</t>
        </is>
      </c>
      <c r="M655" t="inlineStr">
        <is>
          <t>Limpeza/ remoção de material</t>
        </is>
      </c>
      <c r="N655" t="inlineStr">
        <is>
          <t>Resíduos de concreto</t>
        </is>
      </c>
      <c r="O655" t="inlineStr">
        <is>
          <t>Tipo A</t>
        </is>
      </c>
      <c r="P655" t="inlineStr">
        <is>
          <t>64+500</t>
        </is>
      </c>
      <c r="Q655" t="inlineStr">
        <is>
          <t>64+500</t>
        </is>
      </c>
      <c r="R655" t="inlineStr">
        <is>
          <t>Aberta</t>
        </is>
      </c>
      <c r="T655" t="inlineStr">
        <is>
          <t>Aline Batista</t>
        </is>
      </c>
      <c r="U655" t="inlineStr">
        <is>
          <t>24/04/2026</t>
        </is>
      </c>
      <c r="V655" t="inlineStr">
        <is>
          <t>01/05/2026</t>
        </is>
      </c>
      <c r="W655">
        <v>40</v>
      </c>
      <c r="AA655" t="inlineStr">
        <is>
          <t>Aberta 30-60 dias</t>
        </is>
      </c>
    </row>
    <row r="656">
      <c r="A656">
        <v>654</v>
      </c>
      <c r="B656">
        <v>2</v>
      </c>
      <c r="C656" t="inlineStr">
        <is>
          <t>1.6</t>
        </is>
      </c>
      <c r="D656" t="inlineStr">
        <is>
          <t>A08</t>
        </is>
      </c>
      <c r="E656" t="inlineStr">
        <is>
          <t>LE</t>
        </is>
      </c>
      <c r="F656" t="inlineStr">
        <is>
          <t>ATERPA</t>
        </is>
      </c>
      <c r="G656" t="inlineStr">
        <is>
          <t>CLP-012</t>
        </is>
      </c>
      <c r="H656" t="inlineStr">
        <is>
          <t>Protocolo</t>
        </is>
      </c>
      <c r="I656">
        <v>4</v>
      </c>
      <c r="J656" t="inlineStr">
        <is>
          <t>Terraplenagem</t>
        </is>
      </c>
      <c r="K656" t="inlineStr">
        <is>
          <t>4.11</t>
        </is>
      </c>
      <c r="L656" t="inlineStr">
        <is>
          <t>Talude</t>
        </is>
      </c>
      <c r="M656" t="inlineStr">
        <is>
          <t>Revegetação/ Hidrossemeadura</t>
        </is>
      </c>
      <c r="N656" t="inlineStr">
        <is>
          <t>Solo exposto</t>
        </is>
      </c>
      <c r="O656" t="inlineStr">
        <is>
          <t>Tipo A</t>
        </is>
      </c>
      <c r="P656" t="inlineStr">
        <is>
          <t>64+800</t>
        </is>
      </c>
      <c r="Q656" t="inlineStr">
        <is>
          <t>64+800</t>
        </is>
      </c>
      <c r="R656" t="inlineStr">
        <is>
          <t>Aberta</t>
        </is>
      </c>
      <c r="T656" t="inlineStr">
        <is>
          <t>Aline Batista</t>
        </is>
      </c>
      <c r="U656" t="inlineStr">
        <is>
          <t>24/04/2026</t>
        </is>
      </c>
      <c r="V656" t="inlineStr">
        <is>
          <t>01/05/2026</t>
        </is>
      </c>
      <c r="W656">
        <v>40</v>
      </c>
      <c r="AA656" t="inlineStr">
        <is>
          <t>Aberta 30-60 dias</t>
        </is>
      </c>
    </row>
    <row r="657">
      <c r="A657">
        <v>655</v>
      </c>
      <c r="B657">
        <v>2</v>
      </c>
      <c r="C657" t="inlineStr">
        <is>
          <t>1.6</t>
        </is>
      </c>
      <c r="D657" t="inlineStr">
        <is>
          <t>A08</t>
        </is>
      </c>
      <c r="E657" t="inlineStr">
        <is>
          <t>LD e LE</t>
        </is>
      </c>
      <c r="F657" t="inlineStr">
        <is>
          <t>ATERPA</t>
        </is>
      </c>
      <c r="G657" t="inlineStr">
        <is>
          <t>CLP-012</t>
        </is>
      </c>
      <c r="H657" t="inlineStr">
        <is>
          <t>Protocolo</t>
        </is>
      </c>
      <c r="I657">
        <v>4</v>
      </c>
      <c r="J657" t="inlineStr">
        <is>
          <t>Terraplenagem</t>
        </is>
      </c>
      <c r="K657" t="inlineStr">
        <is>
          <t>4.11</t>
        </is>
      </c>
      <c r="L657" t="inlineStr">
        <is>
          <t>Talude</t>
        </is>
      </c>
      <c r="M657" t="inlineStr">
        <is>
          <t>Obstrução do dispositivo</t>
        </is>
      </c>
      <c r="N657" t="inlineStr">
        <is>
          <t>Canaletas obstruídas. Solo exposto necessitando hidrossemeadura</t>
        </is>
      </c>
      <c r="O657" t="inlineStr">
        <is>
          <t>Tipo A</t>
        </is>
      </c>
      <c r="P657" t="inlineStr">
        <is>
          <t>64+850</t>
        </is>
      </c>
      <c r="Q657" t="inlineStr">
        <is>
          <t>64+850</t>
        </is>
      </c>
      <c r="R657" t="inlineStr">
        <is>
          <t>Aberta</t>
        </is>
      </c>
      <c r="T657" t="inlineStr">
        <is>
          <t>Aline Batista</t>
        </is>
      </c>
      <c r="U657" t="inlineStr">
        <is>
          <t>24/04/2026</t>
        </is>
      </c>
      <c r="V657" t="inlineStr">
        <is>
          <t>01/05/2026</t>
        </is>
      </c>
      <c r="W657">
        <v>40</v>
      </c>
      <c r="AA657" t="inlineStr">
        <is>
          <t>Aberta 30-60 dias</t>
        </is>
      </c>
    </row>
    <row r="658">
      <c r="A658">
        <v>656</v>
      </c>
      <c r="B658">
        <v>2</v>
      </c>
      <c r="C658" t="inlineStr">
        <is>
          <t>1.6</t>
        </is>
      </c>
      <c r="D658" t="inlineStr">
        <is>
          <t>A08</t>
        </is>
      </c>
      <c r="E658" t="inlineStr">
        <is>
          <t>LE</t>
        </is>
      </c>
      <c r="F658" t="inlineStr">
        <is>
          <t>ATERPA</t>
        </is>
      </c>
      <c r="G658" t="inlineStr">
        <is>
          <t>CLP-012</t>
        </is>
      </c>
      <c r="H658" t="inlineStr">
        <is>
          <t>Protocolo</t>
        </is>
      </c>
      <c r="I658">
        <v>4</v>
      </c>
      <c r="J658" t="inlineStr">
        <is>
          <t>Terraplenagem</t>
        </is>
      </c>
      <c r="K658" t="inlineStr">
        <is>
          <t>4.9</t>
        </is>
      </c>
      <c r="L658" t="inlineStr">
        <is>
          <t>ADME</t>
        </is>
      </c>
      <c r="M658" t="inlineStr">
        <is>
          <t>Erosões</t>
        </is>
      </c>
      <c r="N658" t="inlineStr">
        <is>
          <t>ADME com erosão</t>
        </is>
      </c>
      <c r="O658" t="inlineStr">
        <is>
          <t>Tipo A</t>
        </is>
      </c>
      <c r="P658" t="inlineStr">
        <is>
          <t>65+250</t>
        </is>
      </c>
      <c r="Q658" t="inlineStr">
        <is>
          <t>65+250</t>
        </is>
      </c>
      <c r="R658" t="inlineStr">
        <is>
          <t>Aberta</t>
        </is>
      </c>
      <c r="T658" t="inlineStr">
        <is>
          <t>Aline Batista</t>
        </is>
      </c>
      <c r="U658" t="inlineStr">
        <is>
          <t>24/04/2026</t>
        </is>
      </c>
      <c r="V658" t="inlineStr">
        <is>
          <t>01/05/2026</t>
        </is>
      </c>
      <c r="W658">
        <v>40</v>
      </c>
      <c r="AA658" t="inlineStr">
        <is>
          <t>Aberta 30-60 dias</t>
        </is>
      </c>
    </row>
    <row r="659">
      <c r="A659">
        <v>657</v>
      </c>
      <c r="B659">
        <v>2</v>
      </c>
      <c r="C659" t="inlineStr">
        <is>
          <t>1.6</t>
        </is>
      </c>
      <c r="D659" t="inlineStr">
        <is>
          <t>C09</t>
        </is>
      </c>
      <c r="E659" t="inlineStr">
        <is>
          <t>LD e LE</t>
        </is>
      </c>
      <c r="F659" t="inlineStr">
        <is>
          <t>ATERPA</t>
        </is>
      </c>
      <c r="G659" t="inlineStr">
        <is>
          <t>CLP-012</t>
        </is>
      </c>
      <c r="H659" t="inlineStr">
        <is>
          <t>Protocolo</t>
        </is>
      </c>
      <c r="I659">
        <v>4</v>
      </c>
      <c r="J659" t="inlineStr">
        <is>
          <t>Terraplenagem</t>
        </is>
      </c>
      <c r="K659" t="inlineStr">
        <is>
          <t>4.11</t>
        </is>
      </c>
      <c r="L659" t="inlineStr">
        <is>
          <t>Talude</t>
        </is>
      </c>
      <c r="M659" t="inlineStr">
        <is>
          <t>Revegetação/ Hidrossemeadura</t>
        </is>
      </c>
      <c r="N659" t="inlineStr">
        <is>
          <t>Solo exposto próximo à PN</t>
        </is>
      </c>
      <c r="O659" t="inlineStr">
        <is>
          <t>Tipo A</t>
        </is>
      </c>
      <c r="P659" t="inlineStr">
        <is>
          <t>65+400</t>
        </is>
      </c>
      <c r="Q659" t="inlineStr">
        <is>
          <t>65+400</t>
        </is>
      </c>
      <c r="R659" t="inlineStr">
        <is>
          <t>Aberta</t>
        </is>
      </c>
      <c r="T659" t="inlineStr">
        <is>
          <t>Aline Batista</t>
        </is>
      </c>
      <c r="U659" t="inlineStr">
        <is>
          <t>24/04/2026</t>
        </is>
      </c>
      <c r="V659" t="inlineStr">
        <is>
          <t>01/05/2026</t>
        </is>
      </c>
      <c r="W659">
        <v>40</v>
      </c>
      <c r="AA659" t="inlineStr">
        <is>
          <t>Aberta 30-60 dias</t>
        </is>
      </c>
    </row>
    <row r="660">
      <c r="A660">
        <v>658</v>
      </c>
      <c r="B660">
        <v>2</v>
      </c>
      <c r="C660" t="inlineStr">
        <is>
          <t>1.6</t>
        </is>
      </c>
      <c r="D660" t="inlineStr">
        <is>
          <t>C09</t>
        </is>
      </c>
      <c r="E660" t="inlineStr">
        <is>
          <t>LD e LE</t>
        </is>
      </c>
      <c r="F660" t="inlineStr">
        <is>
          <t>ATERPA</t>
        </is>
      </c>
      <c r="G660" t="inlineStr">
        <is>
          <t>CLP-012</t>
        </is>
      </c>
      <c r="H660" t="inlineStr">
        <is>
          <t>Protocolo</t>
        </is>
      </c>
      <c r="I660">
        <v>4</v>
      </c>
      <c r="J660" t="inlineStr">
        <is>
          <t>Terraplenagem</t>
        </is>
      </c>
      <c r="K660" t="inlineStr">
        <is>
          <t>4.11</t>
        </is>
      </c>
      <c r="L660" t="inlineStr">
        <is>
          <t>Talude</t>
        </is>
      </c>
      <c r="M660" t="inlineStr">
        <is>
          <t>Revegetação/ Hidrossemeadura</t>
        </is>
      </c>
      <c r="N660" t="inlineStr">
        <is>
          <t>Corte com solo exposto</t>
        </is>
      </c>
      <c r="O660" t="inlineStr">
        <is>
          <t>Tipo A</t>
        </is>
      </c>
      <c r="P660" t="inlineStr">
        <is>
          <t>65+700</t>
        </is>
      </c>
      <c r="Q660" t="inlineStr">
        <is>
          <t>65+700</t>
        </is>
      </c>
      <c r="R660" t="inlineStr">
        <is>
          <t>Aberta</t>
        </is>
      </c>
      <c r="T660" t="inlineStr">
        <is>
          <t>Aline Batista</t>
        </is>
      </c>
      <c r="U660" t="inlineStr">
        <is>
          <t>24/04/2026</t>
        </is>
      </c>
      <c r="V660" t="inlineStr">
        <is>
          <t>01/05/2026</t>
        </is>
      </c>
      <c r="W660">
        <v>40</v>
      </c>
      <c r="AA660" t="inlineStr">
        <is>
          <t>Aberta 30-60 dias</t>
        </is>
      </c>
    </row>
    <row r="661">
      <c r="A661">
        <v>659</v>
      </c>
      <c r="B661">
        <v>2</v>
      </c>
      <c r="C661" t="inlineStr">
        <is>
          <t>1.6</t>
        </is>
      </c>
      <c r="D661" t="inlineStr">
        <is>
          <t>C10</t>
        </is>
      </c>
      <c r="E661" t="inlineStr">
        <is>
          <t>LD</t>
        </is>
      </c>
      <c r="F661" t="inlineStr">
        <is>
          <t>ATERPA</t>
        </is>
      </c>
      <c r="G661" t="inlineStr">
        <is>
          <t>CLP-012</t>
        </is>
      </c>
      <c r="H661" t="inlineStr">
        <is>
          <t>Fiscalização</t>
        </is>
      </c>
      <c r="I661">
        <v>4</v>
      </c>
      <c r="J661" t="inlineStr">
        <is>
          <t>Terraplenagem</t>
        </is>
      </c>
      <c r="K661" t="inlineStr">
        <is>
          <t>4.9</t>
        </is>
      </c>
      <c r="L661" t="inlineStr">
        <is>
          <t>ADME</t>
        </is>
      </c>
      <c r="M661" t="inlineStr">
        <is>
          <t>Erosões</t>
        </is>
      </c>
      <c r="N661" t="inlineStr">
        <is>
          <t>ADME com erosão</t>
        </is>
      </c>
      <c r="O661" t="inlineStr">
        <is>
          <t>Tipo A</t>
        </is>
      </c>
      <c r="P661" t="inlineStr">
        <is>
          <t>67+200</t>
        </is>
      </c>
      <c r="Q661" t="inlineStr">
        <is>
          <t>67+200</t>
        </is>
      </c>
      <c r="R661" t="inlineStr">
        <is>
          <t>Aberta</t>
        </is>
      </c>
      <c r="T661" t="inlineStr">
        <is>
          <t>Aline Batista</t>
        </is>
      </c>
      <c r="U661" t="inlineStr">
        <is>
          <t>24/04/2026</t>
        </is>
      </c>
      <c r="V661" t="inlineStr">
        <is>
          <t>01/05/2026</t>
        </is>
      </c>
      <c r="W661">
        <v>40</v>
      </c>
      <c r="AA661" t="inlineStr">
        <is>
          <t>Aberta 30-60 dias</t>
        </is>
      </c>
    </row>
    <row r="662">
      <c r="A662">
        <v>660</v>
      </c>
      <c r="B662">
        <v>2</v>
      </c>
      <c r="C662" t="inlineStr">
        <is>
          <t>1.6</t>
        </is>
      </c>
      <c r="D662" t="inlineStr">
        <is>
          <t>C10</t>
        </is>
      </c>
      <c r="E662" t="inlineStr">
        <is>
          <t>LD</t>
        </is>
      </c>
      <c r="F662" t="inlineStr">
        <is>
          <t>ATERPA</t>
        </is>
      </c>
      <c r="G662" t="inlineStr">
        <is>
          <t>CLP-012</t>
        </is>
      </c>
      <c r="H662" t="inlineStr">
        <is>
          <t>Protocolo</t>
        </is>
      </c>
      <c r="I662">
        <v>4</v>
      </c>
      <c r="J662" t="inlineStr">
        <is>
          <t>Terraplenagem</t>
        </is>
      </c>
      <c r="K662" t="inlineStr">
        <is>
          <t>4.24</t>
        </is>
      </c>
      <c r="L662" t="inlineStr">
        <is>
          <t>Acesso</t>
        </is>
      </c>
      <c r="M662" t="inlineStr">
        <is>
          <t>Erosões</t>
        </is>
      </c>
      <c r="N662" t="inlineStr">
        <is>
          <t>Acesso com processo erosivo e cerca danificada. Área de app com deposito irregular de material</t>
        </is>
      </c>
      <c r="O662" t="inlineStr">
        <is>
          <t>Tipo A</t>
        </is>
      </c>
      <c r="P662" t="inlineStr">
        <is>
          <t>67+200</t>
        </is>
      </c>
      <c r="Q662" t="inlineStr">
        <is>
          <t>67+200</t>
        </is>
      </c>
      <c r="R662" t="inlineStr">
        <is>
          <t>Aberta</t>
        </is>
      </c>
      <c r="T662" t="inlineStr">
        <is>
          <t>Aline Batista</t>
        </is>
      </c>
      <c r="U662" t="inlineStr">
        <is>
          <t>24/04/2026</t>
        </is>
      </c>
      <c r="V662" t="inlineStr">
        <is>
          <t>01/05/2026</t>
        </is>
      </c>
      <c r="W662">
        <v>40</v>
      </c>
      <c r="AA662" t="inlineStr">
        <is>
          <t>Aberta 30-60 dias</t>
        </is>
      </c>
    </row>
    <row r="663">
      <c r="A663">
        <v>661</v>
      </c>
      <c r="B663">
        <v>2</v>
      </c>
      <c r="C663" t="inlineStr">
        <is>
          <t>1.6</t>
        </is>
      </c>
      <c r="D663" t="inlineStr">
        <is>
          <t>C10</t>
        </is>
      </c>
      <c r="E663" t="inlineStr">
        <is>
          <t>LD e LE</t>
        </is>
      </c>
      <c r="F663" t="inlineStr">
        <is>
          <t>ATERPA</t>
        </is>
      </c>
      <c r="G663" t="inlineStr">
        <is>
          <t>CLP-012</t>
        </is>
      </c>
      <c r="H663" t="inlineStr">
        <is>
          <t>Protocolo</t>
        </is>
      </c>
      <c r="I663">
        <v>4</v>
      </c>
      <c r="J663" t="inlineStr">
        <is>
          <t>Terraplenagem</t>
        </is>
      </c>
      <c r="K663" t="inlineStr">
        <is>
          <t>4.11</t>
        </is>
      </c>
      <c r="L663" t="inlineStr">
        <is>
          <t>Acesso</t>
        </is>
      </c>
      <c r="M663" t="inlineStr">
        <is>
          <t>Revegetação/ Hidrossemeadura</t>
        </is>
      </c>
      <c r="N663" t="inlineStr">
        <is>
          <t>Solo exposto</t>
        </is>
      </c>
      <c r="O663" t="inlineStr">
        <is>
          <t>Tipo A</t>
        </is>
      </c>
      <c r="P663" t="inlineStr">
        <is>
          <t>67+220</t>
        </is>
      </c>
      <c r="Q663" t="inlineStr">
        <is>
          <t>67+220</t>
        </is>
      </c>
      <c r="R663" t="inlineStr">
        <is>
          <t>Aberta</t>
        </is>
      </c>
      <c r="T663" t="inlineStr">
        <is>
          <t>Aline Batista</t>
        </is>
      </c>
      <c r="U663" t="inlineStr">
        <is>
          <t>24/04/2026</t>
        </is>
      </c>
      <c r="V663" t="inlineStr">
        <is>
          <t>01/05/2026</t>
        </is>
      </c>
      <c r="W663">
        <v>40</v>
      </c>
      <c r="AA663" t="inlineStr">
        <is>
          <t>Aberta 30-60 dias</t>
        </is>
      </c>
    </row>
    <row r="664">
      <c r="A664">
        <v>662</v>
      </c>
      <c r="B664">
        <v>2</v>
      </c>
      <c r="C664" t="inlineStr">
        <is>
          <t>1.6</t>
        </is>
      </c>
      <c r="D664" t="inlineStr">
        <is>
          <t>C10</t>
        </is>
      </c>
      <c r="E664" t="inlineStr">
        <is>
          <t>LD</t>
        </is>
      </c>
      <c r="F664" t="inlineStr">
        <is>
          <t>ATERPA</t>
        </is>
      </c>
      <c r="G664" t="inlineStr">
        <is>
          <t>CLP-012</t>
        </is>
      </c>
      <c r="H664" t="inlineStr">
        <is>
          <t>Protocolo</t>
        </is>
      </c>
      <c r="I664">
        <v>4</v>
      </c>
      <c r="J664" t="inlineStr">
        <is>
          <t>Terraplenagem</t>
        </is>
      </c>
      <c r="K664" t="inlineStr">
        <is>
          <t>4.32</t>
        </is>
      </c>
      <c r="L664" t="inlineStr">
        <is>
          <t>Talude</t>
        </is>
      </c>
      <c r="M664" t="inlineStr">
        <is>
          <t>Limpeza/ remoção de material</t>
        </is>
      </c>
      <c r="N664" t="inlineStr">
        <is>
          <t>Resíduos de concreto. Canaletas obstruídas</t>
        </is>
      </c>
      <c r="O664" t="inlineStr">
        <is>
          <t>Tipo A</t>
        </is>
      </c>
      <c r="P664" t="inlineStr">
        <is>
          <t>67+600</t>
        </is>
      </c>
      <c r="Q664" t="inlineStr">
        <is>
          <t>67+600</t>
        </is>
      </c>
      <c r="R664" t="inlineStr">
        <is>
          <t>Aberta</t>
        </is>
      </c>
      <c r="T664" t="inlineStr">
        <is>
          <t>Aline Batista</t>
        </is>
      </c>
      <c r="U664" t="inlineStr">
        <is>
          <t>24/04/2026</t>
        </is>
      </c>
      <c r="V664" t="inlineStr">
        <is>
          <t>01/05/2026</t>
        </is>
      </c>
      <c r="W664">
        <v>40</v>
      </c>
      <c r="AA664" t="inlineStr">
        <is>
          <t>Aberta 30-60 dias</t>
        </is>
      </c>
    </row>
    <row r="665">
      <c r="A665">
        <v>663</v>
      </c>
      <c r="B665">
        <v>2</v>
      </c>
      <c r="C665" t="inlineStr">
        <is>
          <t>1.6</t>
        </is>
      </c>
      <c r="D665" t="inlineStr">
        <is>
          <t>C10</t>
        </is>
      </c>
      <c r="E665" t="inlineStr">
        <is>
          <t>LE</t>
        </is>
      </c>
      <c r="F665" t="inlineStr">
        <is>
          <t>ATERPA</t>
        </is>
      </c>
      <c r="G665" t="inlineStr">
        <is>
          <t>CLP-012</t>
        </is>
      </c>
      <c r="H665" t="inlineStr">
        <is>
          <t>Fiscalização</t>
        </is>
      </c>
      <c r="I665">
        <v>4</v>
      </c>
      <c r="J665" t="inlineStr">
        <is>
          <t>Terraplenagem</t>
        </is>
      </c>
      <c r="K665" t="inlineStr">
        <is>
          <t>4.11</t>
        </is>
      </c>
      <c r="L665" t="inlineStr">
        <is>
          <t>Talude</t>
        </is>
      </c>
      <c r="M665" t="inlineStr">
        <is>
          <t>Erosões</t>
        </is>
      </c>
      <c r="N665" t="inlineStr">
        <is>
          <t>Erosão com desplacamento</t>
        </is>
      </c>
      <c r="O665" t="inlineStr">
        <is>
          <t>Tipo A</t>
        </is>
      </c>
      <c r="P665" t="inlineStr">
        <is>
          <t>67+650</t>
        </is>
      </c>
      <c r="Q665" t="inlineStr">
        <is>
          <t>67+650</t>
        </is>
      </c>
      <c r="R665" t="inlineStr">
        <is>
          <t>Aberta</t>
        </is>
      </c>
      <c r="T665" t="inlineStr">
        <is>
          <t>Aline Batista</t>
        </is>
      </c>
      <c r="U665" t="inlineStr">
        <is>
          <t>24/04/2026</t>
        </is>
      </c>
      <c r="V665" t="inlineStr">
        <is>
          <t>01/05/2026</t>
        </is>
      </c>
      <c r="W665">
        <v>40</v>
      </c>
      <c r="AA665" t="inlineStr">
        <is>
          <t>Aberta 30-60 dias</t>
        </is>
      </c>
    </row>
    <row r="666">
      <c r="A666">
        <v>664</v>
      </c>
      <c r="B666">
        <v>2</v>
      </c>
      <c r="C666" t="inlineStr">
        <is>
          <t>1.6</t>
        </is>
      </c>
      <c r="D666" t="inlineStr">
        <is>
          <t>C10</t>
        </is>
      </c>
      <c r="E666" t="inlineStr">
        <is>
          <t>LE</t>
        </is>
      </c>
      <c r="F666" t="inlineStr">
        <is>
          <t>ATERPA</t>
        </is>
      </c>
      <c r="G666" t="inlineStr">
        <is>
          <t>CLP-012</t>
        </is>
      </c>
      <c r="H666" t="inlineStr">
        <is>
          <t>Fiscalização</t>
        </is>
      </c>
      <c r="I666">
        <v>4</v>
      </c>
      <c r="J666" t="inlineStr">
        <is>
          <t>Terraplenagem</t>
        </is>
      </c>
      <c r="K666" t="inlineStr">
        <is>
          <t>4.11</t>
        </is>
      </c>
      <c r="L666" t="inlineStr">
        <is>
          <t>Talude</t>
        </is>
      </c>
      <c r="M666" t="inlineStr">
        <is>
          <t>Erosões</t>
        </is>
      </c>
      <c r="N666" t="inlineStr">
        <is>
          <t>Erosão com desplacamento</t>
        </is>
      </c>
      <c r="O666" t="inlineStr">
        <is>
          <t>Tipo A</t>
        </is>
      </c>
      <c r="P666" t="inlineStr">
        <is>
          <t>68+000</t>
        </is>
      </c>
      <c r="Q666" t="inlineStr">
        <is>
          <t>68+000</t>
        </is>
      </c>
      <c r="R666" t="inlineStr">
        <is>
          <t>Aberta</t>
        </is>
      </c>
      <c r="T666" t="inlineStr">
        <is>
          <t>Aline Batista</t>
        </is>
      </c>
      <c r="U666" t="inlineStr">
        <is>
          <t>24/04/2026</t>
        </is>
      </c>
      <c r="V666" t="inlineStr">
        <is>
          <t>01/05/2026</t>
        </is>
      </c>
      <c r="W666">
        <v>40</v>
      </c>
      <c r="AA666" t="inlineStr">
        <is>
          <t>Aberta 30-60 dias</t>
        </is>
      </c>
    </row>
    <row r="667">
      <c r="A667">
        <v>665</v>
      </c>
      <c r="B667">
        <v>2</v>
      </c>
      <c r="C667" t="inlineStr">
        <is>
          <t>1.6</t>
        </is>
      </c>
      <c r="D667" t="inlineStr">
        <is>
          <t>C10</t>
        </is>
      </c>
      <c r="E667" t="inlineStr">
        <is>
          <t>LE</t>
        </is>
      </c>
      <c r="F667" t="inlineStr">
        <is>
          <t>ATERPA</t>
        </is>
      </c>
      <c r="G667" t="inlineStr">
        <is>
          <t>CLP-012</t>
        </is>
      </c>
      <c r="H667" t="inlineStr">
        <is>
          <t>Fiscalização</t>
        </is>
      </c>
      <c r="I667">
        <v>4</v>
      </c>
      <c r="J667" t="inlineStr">
        <is>
          <t>Terraplenagem</t>
        </is>
      </c>
      <c r="K667" t="inlineStr">
        <is>
          <t>4.11</t>
        </is>
      </c>
      <c r="L667" t="inlineStr">
        <is>
          <t>Talude</t>
        </is>
      </c>
      <c r="M667" t="inlineStr">
        <is>
          <t>Erosões</t>
        </is>
      </c>
      <c r="N667" t="inlineStr">
        <is>
          <t>Erosão com desplacamento</t>
        </is>
      </c>
      <c r="O667" t="inlineStr">
        <is>
          <t>Tipo A</t>
        </is>
      </c>
      <c r="P667" t="inlineStr">
        <is>
          <t>68+300</t>
        </is>
      </c>
      <c r="Q667" t="inlineStr">
        <is>
          <t>68+300</t>
        </is>
      </c>
      <c r="R667" t="inlineStr">
        <is>
          <t>Aberta</t>
        </is>
      </c>
      <c r="T667" t="inlineStr">
        <is>
          <t>Aline Batista</t>
        </is>
      </c>
      <c r="U667" t="inlineStr">
        <is>
          <t>24/04/2026</t>
        </is>
      </c>
      <c r="V667" t="inlineStr">
        <is>
          <t>01/05/2026</t>
        </is>
      </c>
      <c r="W667">
        <v>40</v>
      </c>
      <c r="AA667" t="inlineStr">
        <is>
          <t>Aberta 30-60 dias</t>
        </is>
      </c>
    </row>
    <row r="668">
      <c r="A668">
        <v>666</v>
      </c>
      <c r="B668">
        <v>2</v>
      </c>
      <c r="C668" t="inlineStr">
        <is>
          <t>1.6</t>
        </is>
      </c>
      <c r="D668" t="inlineStr">
        <is>
          <t>C10</t>
        </is>
      </c>
      <c r="E668" t="inlineStr">
        <is>
          <t>LE</t>
        </is>
      </c>
      <c r="F668" t="inlineStr">
        <is>
          <t>ATERPA</t>
        </is>
      </c>
      <c r="G668" t="inlineStr">
        <is>
          <t>CLP-012</t>
        </is>
      </c>
      <c r="H668" t="inlineStr">
        <is>
          <t>Fiscalização</t>
        </is>
      </c>
      <c r="I668">
        <v>4</v>
      </c>
      <c r="J668" t="inlineStr">
        <is>
          <t>Terraplenagem</t>
        </is>
      </c>
      <c r="K668" t="inlineStr">
        <is>
          <t>4.11</t>
        </is>
      </c>
      <c r="L668" t="inlineStr">
        <is>
          <t>Talude</t>
        </is>
      </c>
      <c r="M668" t="inlineStr">
        <is>
          <t>Erosões</t>
        </is>
      </c>
      <c r="N668" t="inlineStr">
        <is>
          <t>Erosão com desplacamento</t>
        </is>
      </c>
      <c r="O668" t="inlineStr">
        <is>
          <t>Tipo A</t>
        </is>
      </c>
      <c r="P668" t="inlineStr">
        <is>
          <t>68+400</t>
        </is>
      </c>
      <c r="Q668" t="inlineStr">
        <is>
          <t>68+400</t>
        </is>
      </c>
      <c r="R668" t="inlineStr">
        <is>
          <t>Aberta</t>
        </is>
      </c>
      <c r="T668" t="inlineStr">
        <is>
          <t>Aline Batista</t>
        </is>
      </c>
      <c r="U668" t="inlineStr">
        <is>
          <t>24/04/2026</t>
        </is>
      </c>
      <c r="V668" t="inlineStr">
        <is>
          <t>01/05/2026</t>
        </is>
      </c>
      <c r="W668">
        <v>40</v>
      </c>
      <c r="AA668" t="inlineStr">
        <is>
          <t>Aberta 30-60 dias</t>
        </is>
      </c>
    </row>
    <row r="669">
      <c r="A669">
        <v>667</v>
      </c>
      <c r="B669">
        <v>2</v>
      </c>
      <c r="C669" t="inlineStr">
        <is>
          <t>1.6</t>
        </is>
      </c>
      <c r="D669" t="inlineStr">
        <is>
          <t>C10</t>
        </is>
      </c>
      <c r="E669" t="inlineStr">
        <is>
          <t>LE</t>
        </is>
      </c>
      <c r="F669" t="inlineStr">
        <is>
          <t>ATERPA</t>
        </is>
      </c>
      <c r="G669" t="inlineStr">
        <is>
          <t>CLP-012</t>
        </is>
      </c>
      <c r="H669" t="inlineStr">
        <is>
          <t>Fiscalização</t>
        </is>
      </c>
      <c r="I669">
        <v>4</v>
      </c>
      <c r="J669" t="inlineStr">
        <is>
          <t>Terraplenagem</t>
        </is>
      </c>
      <c r="K669" t="inlineStr">
        <is>
          <t>4.11</t>
        </is>
      </c>
      <c r="L669" t="inlineStr">
        <is>
          <t>Talude</t>
        </is>
      </c>
      <c r="M669" t="inlineStr">
        <is>
          <t>Erosões</t>
        </is>
      </c>
      <c r="N669" t="inlineStr">
        <is>
          <t>Erosão em voçoroca. Solo exposto, carreamento de sedimentos para fora da faixa de domínio acima do aterro.</t>
        </is>
      </c>
      <c r="O669" t="inlineStr">
        <is>
          <t>Tipo A</t>
        </is>
      </c>
      <c r="P669" t="inlineStr">
        <is>
          <t>69+080</t>
        </is>
      </c>
      <c r="Q669" t="inlineStr">
        <is>
          <t>69+080</t>
        </is>
      </c>
      <c r="R669" t="inlineStr">
        <is>
          <t>Aberta</t>
        </is>
      </c>
      <c r="T669" t="inlineStr">
        <is>
          <t>Aline Batista</t>
        </is>
      </c>
      <c r="U669" t="inlineStr">
        <is>
          <t>24/04/2026</t>
        </is>
      </c>
      <c r="V669" t="inlineStr">
        <is>
          <t>01/05/2026</t>
        </is>
      </c>
      <c r="W669">
        <v>40</v>
      </c>
      <c r="AA669" t="inlineStr">
        <is>
          <t>Aberta 30-60 dias</t>
        </is>
      </c>
    </row>
    <row r="670">
      <c r="A670">
        <v>668</v>
      </c>
      <c r="B670">
        <v>2</v>
      </c>
      <c r="C670" t="inlineStr">
        <is>
          <t>1.6</t>
        </is>
      </c>
      <c r="D670" t="inlineStr">
        <is>
          <t>A10</t>
        </is>
      </c>
      <c r="E670" t="inlineStr">
        <is>
          <t>LD</t>
        </is>
      </c>
      <c r="F670" t="inlineStr">
        <is>
          <t>ATERPA</t>
        </is>
      </c>
      <c r="G670" t="inlineStr">
        <is>
          <t>CLP-012</t>
        </is>
      </c>
      <c r="H670" t="inlineStr">
        <is>
          <t>Protocolo</t>
        </is>
      </c>
      <c r="I670">
        <v>4</v>
      </c>
      <c r="J670" t="inlineStr">
        <is>
          <t>Terraplenagem</t>
        </is>
      </c>
      <c r="K670" t="inlineStr">
        <is>
          <t>4.11</t>
        </is>
      </c>
      <c r="L670" t="inlineStr">
        <is>
          <t>Caminho de serviço</t>
        </is>
      </c>
      <c r="M670" t="inlineStr">
        <is>
          <t>Revegetação/ Hidrossemeadura</t>
        </is>
      </c>
      <c r="N670" t="inlineStr">
        <is>
          <t>Solo exposto necessário recuperação</t>
        </is>
      </c>
      <c r="O670" t="inlineStr">
        <is>
          <t>Tipo A</t>
        </is>
      </c>
      <c r="P670" t="inlineStr">
        <is>
          <t>69+300</t>
        </is>
      </c>
      <c r="Q670" t="inlineStr">
        <is>
          <t>69+300</t>
        </is>
      </c>
      <c r="R670" t="inlineStr">
        <is>
          <t>Aberta</t>
        </is>
      </c>
      <c r="T670" t="inlineStr">
        <is>
          <t>Aline Batista</t>
        </is>
      </c>
      <c r="U670" t="inlineStr">
        <is>
          <t>24/04/2026</t>
        </is>
      </c>
      <c r="V670" t="inlineStr">
        <is>
          <t>01/05/2026</t>
        </is>
      </c>
      <c r="W670">
        <v>40</v>
      </c>
      <c r="AA670" t="inlineStr">
        <is>
          <t>Aberta 30-60 dias</t>
        </is>
      </c>
    </row>
    <row r="671">
      <c r="A671">
        <v>669</v>
      </c>
      <c r="B671">
        <v>2</v>
      </c>
      <c r="C671" t="inlineStr">
        <is>
          <t>1.6</t>
        </is>
      </c>
      <c r="D671" t="inlineStr">
        <is>
          <t>C12</t>
        </is>
      </c>
      <c r="E671" t="inlineStr">
        <is>
          <t>LD</t>
        </is>
      </c>
      <c r="F671" t="inlineStr">
        <is>
          <t>ATERPA</t>
        </is>
      </c>
      <c r="G671" t="inlineStr">
        <is>
          <t>CLP-012</t>
        </is>
      </c>
      <c r="H671" t="inlineStr">
        <is>
          <t>Protocolo</t>
        </is>
      </c>
      <c r="I671">
        <v>4</v>
      </c>
      <c r="J671" t="inlineStr">
        <is>
          <t>Terraplenagem</t>
        </is>
      </c>
      <c r="K671" t="inlineStr">
        <is>
          <t>4.11</t>
        </is>
      </c>
      <c r="L671" t="inlineStr">
        <is>
          <t>Talude</t>
        </is>
      </c>
      <c r="M671" t="inlineStr">
        <is>
          <t>Material Solto</t>
        </is>
      </c>
      <c r="N671" t="inlineStr">
        <is>
          <t>Material solto sem conformação. Decida de água com processo erosivo.</t>
        </is>
      </c>
      <c r="O671" t="inlineStr">
        <is>
          <t>Tipo A</t>
        </is>
      </c>
      <c r="P671" t="inlineStr">
        <is>
          <t>69+700</t>
        </is>
      </c>
      <c r="Q671" t="inlineStr">
        <is>
          <t>69+700</t>
        </is>
      </c>
      <c r="R671" t="inlineStr">
        <is>
          <t>Aberta</t>
        </is>
      </c>
      <c r="T671" t="inlineStr">
        <is>
          <t>Aline Batista</t>
        </is>
      </c>
      <c r="U671" t="inlineStr">
        <is>
          <t>24/04/2026</t>
        </is>
      </c>
      <c r="V671" t="inlineStr">
        <is>
          <t>01/05/2026</t>
        </is>
      </c>
      <c r="W671">
        <v>40</v>
      </c>
      <c r="AA671" t="inlineStr">
        <is>
          <t>Aberta 30-60 dias</t>
        </is>
      </c>
    </row>
    <row r="672">
      <c r="A672">
        <v>670</v>
      </c>
      <c r="B672">
        <v>2</v>
      </c>
      <c r="C672" t="inlineStr">
        <is>
          <t>1.6</t>
        </is>
      </c>
      <c r="D672" t="inlineStr">
        <is>
          <t>C12</t>
        </is>
      </c>
      <c r="E672" t="inlineStr">
        <is>
          <t>LD/ LE</t>
        </is>
      </c>
      <c r="F672" t="inlineStr">
        <is>
          <t>ATERPA</t>
        </is>
      </c>
      <c r="G672" t="inlineStr">
        <is>
          <t>CLP-012</t>
        </is>
      </c>
      <c r="H672" t="inlineStr">
        <is>
          <t>Fiscalização</t>
        </is>
      </c>
      <c r="I672">
        <v>4</v>
      </c>
      <c r="J672" t="inlineStr">
        <is>
          <t>Terraplenagem</t>
        </is>
      </c>
      <c r="K672" t="inlineStr">
        <is>
          <t>4.9</t>
        </is>
      </c>
      <c r="L672" t="inlineStr">
        <is>
          <t>ADME</t>
        </is>
      </c>
      <c r="M672" t="inlineStr">
        <is>
          <t>Erosões</t>
        </is>
      </c>
      <c r="N672" t="inlineStr">
        <is>
          <t xml:space="preserve">ADME com processo erosivo </t>
        </is>
      </c>
      <c r="O672" t="inlineStr">
        <is>
          <t>Tipo A</t>
        </is>
      </c>
      <c r="P672" t="inlineStr">
        <is>
          <t>69+720</t>
        </is>
      </c>
      <c r="Q672" t="inlineStr">
        <is>
          <t>69+720</t>
        </is>
      </c>
      <c r="R672" t="inlineStr">
        <is>
          <t>Aberta</t>
        </is>
      </c>
      <c r="T672" t="inlineStr">
        <is>
          <t>Aline Batista</t>
        </is>
      </c>
      <c r="U672" t="inlineStr">
        <is>
          <t>24/04/2026</t>
        </is>
      </c>
      <c r="V672" t="inlineStr">
        <is>
          <t>01/05/2026</t>
        </is>
      </c>
      <c r="W672">
        <v>40</v>
      </c>
      <c r="AA672" t="inlineStr">
        <is>
          <t>Aberta 30-60 dias</t>
        </is>
      </c>
    </row>
    <row r="673">
      <c r="A673">
        <v>671</v>
      </c>
      <c r="B673">
        <v>2</v>
      </c>
      <c r="C673" t="inlineStr">
        <is>
          <t>1.6</t>
        </is>
      </c>
      <c r="D673" t="inlineStr">
        <is>
          <t>C12</t>
        </is>
      </c>
      <c r="E673" t="inlineStr">
        <is>
          <t>LE</t>
        </is>
      </c>
      <c r="F673" t="inlineStr">
        <is>
          <t>ATERPA</t>
        </is>
      </c>
      <c r="G673" t="inlineStr">
        <is>
          <t>CLP-012</t>
        </is>
      </c>
      <c r="H673" t="inlineStr">
        <is>
          <t>Protocolo</t>
        </is>
      </c>
      <c r="I673">
        <v>4</v>
      </c>
      <c r="J673" t="inlineStr">
        <is>
          <t>Terraplenagem</t>
        </is>
      </c>
      <c r="K673" t="inlineStr">
        <is>
          <t>4.11</t>
        </is>
      </c>
      <c r="L673" t="inlineStr">
        <is>
          <t>Talude</t>
        </is>
      </c>
      <c r="M673" t="inlineStr">
        <is>
          <t>Revegetação/ Hidrossemeadura</t>
        </is>
      </c>
      <c r="N673" t="inlineStr">
        <is>
          <t>Necessário repasse de hidrossemeadura</t>
        </is>
      </c>
      <c r="O673" t="inlineStr">
        <is>
          <t>Tipo A</t>
        </is>
      </c>
      <c r="P673" t="inlineStr">
        <is>
          <t>69+950</t>
        </is>
      </c>
      <c r="Q673" t="inlineStr">
        <is>
          <t>69+950</t>
        </is>
      </c>
      <c r="R673" t="inlineStr">
        <is>
          <t>Aberta</t>
        </is>
      </c>
      <c r="T673" t="inlineStr">
        <is>
          <t>Aline Batista</t>
        </is>
      </c>
      <c r="U673" t="inlineStr">
        <is>
          <t>24/04/2026</t>
        </is>
      </c>
      <c r="V673" t="inlineStr">
        <is>
          <t>01/05/2026</t>
        </is>
      </c>
      <c r="W673">
        <v>40</v>
      </c>
      <c r="AA673" t="inlineStr">
        <is>
          <t>Aberta 30-60 dias</t>
        </is>
      </c>
    </row>
    <row r="674">
      <c r="A674">
        <v>672</v>
      </c>
      <c r="B674">
        <v>2</v>
      </c>
      <c r="C674" t="inlineStr">
        <is>
          <t>1.6</t>
        </is>
      </c>
      <c r="D674" t="inlineStr">
        <is>
          <t>A12</t>
        </is>
      </c>
      <c r="E674" t="inlineStr">
        <is>
          <t>LD</t>
        </is>
      </c>
      <c r="F674" t="inlineStr">
        <is>
          <t>ATERPA</t>
        </is>
      </c>
      <c r="G674" t="inlineStr">
        <is>
          <t>CLP-012</t>
        </is>
      </c>
      <c r="H674" t="inlineStr">
        <is>
          <t>Protocolo</t>
        </is>
      </c>
      <c r="I674">
        <v>4</v>
      </c>
      <c r="J674" t="inlineStr">
        <is>
          <t>Terraplenagem</t>
        </is>
      </c>
      <c r="K674" t="inlineStr">
        <is>
          <t>4.9</t>
        </is>
      </c>
      <c r="L674" t="inlineStr">
        <is>
          <t>ADME</t>
        </is>
      </c>
      <c r="M674" t="inlineStr">
        <is>
          <t>Revegetação/ Hidrossemeadura</t>
        </is>
      </c>
      <c r="N674" t="inlineStr">
        <is>
          <t>ADME com solo exposto</t>
        </is>
      </c>
      <c r="O674" t="inlineStr">
        <is>
          <t>Tipo A</t>
        </is>
      </c>
      <c r="P674" t="inlineStr">
        <is>
          <t>70+500</t>
        </is>
      </c>
      <c r="Q674" t="inlineStr">
        <is>
          <t>70+500</t>
        </is>
      </c>
      <c r="R674" t="inlineStr">
        <is>
          <t>Aberta</t>
        </is>
      </c>
      <c r="T674" t="inlineStr">
        <is>
          <t>Aline Batista</t>
        </is>
      </c>
      <c r="U674" t="inlineStr">
        <is>
          <t>24/04/2026</t>
        </is>
      </c>
      <c r="V674" t="inlineStr">
        <is>
          <t>01/05/2026</t>
        </is>
      </c>
      <c r="W674">
        <v>40</v>
      </c>
      <c r="AA674" t="inlineStr">
        <is>
          <t>Aberta 30-60 dias</t>
        </is>
      </c>
    </row>
    <row r="675">
      <c r="A675">
        <v>673</v>
      </c>
      <c r="B675">
        <v>2</v>
      </c>
      <c r="C675" t="inlineStr">
        <is>
          <t>1.6</t>
        </is>
      </c>
      <c r="D675" t="inlineStr">
        <is>
          <t>A12</t>
        </is>
      </c>
      <c r="E675" t="inlineStr">
        <is>
          <t>LD</t>
        </is>
      </c>
      <c r="F675" t="inlineStr">
        <is>
          <t>ATERPA</t>
        </is>
      </c>
      <c r="G675" t="inlineStr">
        <is>
          <t>CLP-012</t>
        </is>
      </c>
      <c r="H675" t="inlineStr">
        <is>
          <t>Fiscalização</t>
        </is>
      </c>
      <c r="I675">
        <v>4</v>
      </c>
      <c r="J675" t="inlineStr">
        <is>
          <t>Terraplenagem</t>
        </is>
      </c>
      <c r="K675" t="inlineStr">
        <is>
          <t>4.11</t>
        </is>
      </c>
      <c r="L675" t="inlineStr">
        <is>
          <t>PG</t>
        </is>
      </c>
      <c r="M675" t="inlineStr">
        <is>
          <t>Erosões</t>
        </is>
      </c>
      <c r="N675" t="inlineStr">
        <is>
          <t>Erosão na PG</t>
        </is>
      </c>
      <c r="O675" t="inlineStr">
        <is>
          <t>Tipo A</t>
        </is>
      </c>
      <c r="P675" t="inlineStr">
        <is>
          <t>70+580</t>
        </is>
      </c>
      <c r="Q675" t="inlineStr">
        <is>
          <t>70+580</t>
        </is>
      </c>
      <c r="R675" t="inlineStr">
        <is>
          <t>Aberta</t>
        </is>
      </c>
      <c r="T675" t="inlineStr">
        <is>
          <t>Aline Batista</t>
        </is>
      </c>
      <c r="U675" t="inlineStr">
        <is>
          <t>24/04/2026</t>
        </is>
      </c>
      <c r="V675" t="inlineStr">
        <is>
          <t>01/05/2026</t>
        </is>
      </c>
      <c r="W675">
        <v>40</v>
      </c>
      <c r="AA675" t="inlineStr">
        <is>
          <t>Aberta 30-60 dias</t>
        </is>
      </c>
    </row>
    <row r="676">
      <c r="A676">
        <v>674</v>
      </c>
      <c r="B676">
        <v>2</v>
      </c>
      <c r="C676" t="inlineStr">
        <is>
          <t>1.6</t>
        </is>
      </c>
      <c r="D676" t="inlineStr">
        <is>
          <t>A12</t>
        </is>
      </c>
      <c r="E676" t="inlineStr">
        <is>
          <t>LD e LE</t>
        </is>
      </c>
      <c r="F676" t="inlineStr">
        <is>
          <t>ATERPA</t>
        </is>
      </c>
      <c r="G676" t="inlineStr">
        <is>
          <t>CLP-012</t>
        </is>
      </c>
      <c r="H676" t="inlineStr">
        <is>
          <t>Fiscalização</t>
        </is>
      </c>
      <c r="I676">
        <v>4</v>
      </c>
      <c r="J676" t="inlineStr">
        <is>
          <t>Terraplenagem</t>
        </is>
      </c>
      <c r="K676" t="inlineStr">
        <is>
          <t>4.11</t>
        </is>
      </c>
      <c r="L676" t="inlineStr">
        <is>
          <t>Acesso</t>
        </is>
      </c>
      <c r="M676" t="inlineStr">
        <is>
          <t>Revegetação/ Hidrossemeadura</t>
        </is>
      </c>
      <c r="N676" t="inlineStr">
        <is>
          <t>Caminho de serviço com solo exposto, carreamento de sedimentos para fora da faixa de domínio. Canaletas obstruídas. No aterro necessário repasse de hidrossemeadura</t>
        </is>
      </c>
      <c r="O676" t="inlineStr">
        <is>
          <t>Tipo A</t>
        </is>
      </c>
      <c r="P676" t="inlineStr">
        <is>
          <t>70+580</t>
        </is>
      </c>
      <c r="Q676" t="inlineStr">
        <is>
          <t>71+100</t>
        </is>
      </c>
      <c r="R676" t="inlineStr">
        <is>
          <t>Aberta</t>
        </is>
      </c>
      <c r="T676" t="inlineStr">
        <is>
          <t>Aline Batista</t>
        </is>
      </c>
      <c r="U676" t="inlineStr">
        <is>
          <t>24/04/2026</t>
        </is>
      </c>
      <c r="V676" t="inlineStr">
        <is>
          <t>01/05/2026</t>
        </is>
      </c>
      <c r="W676">
        <v>40</v>
      </c>
      <c r="AA676" t="inlineStr">
        <is>
          <t>Aberta 30-60 dias</t>
        </is>
      </c>
    </row>
    <row r="677">
      <c r="A677">
        <v>675</v>
      </c>
      <c r="B677">
        <v>2</v>
      </c>
      <c r="C677" t="inlineStr">
        <is>
          <t>1.6</t>
        </is>
      </c>
      <c r="D677" t="inlineStr">
        <is>
          <t>C07</t>
        </is>
      </c>
      <c r="E677" t="inlineStr">
        <is>
          <t>LD/LE</t>
        </is>
      </c>
      <c r="F677" t="inlineStr">
        <is>
          <t>ATERPA</t>
        </is>
      </c>
      <c r="G677" t="inlineStr">
        <is>
          <t>CLP-012</t>
        </is>
      </c>
      <c r="H677" t="inlineStr">
        <is>
          <t>Protocolo</t>
        </is>
      </c>
      <c r="I677">
        <v>4</v>
      </c>
      <c r="J677" t="inlineStr">
        <is>
          <t>Terraplenagem</t>
        </is>
      </c>
      <c r="K677" t="inlineStr">
        <is>
          <t>4.17</t>
        </is>
      </c>
      <c r="L677" t="inlineStr">
        <is>
          <t>Sublastro</t>
        </is>
      </c>
      <c r="M677" t="inlineStr">
        <is>
          <t>Fissuras/ trincas na plataforma</t>
        </is>
      </c>
      <c r="N677" t="inlineStr">
        <is>
          <t>Verificado a presença de trincas no sublastro</t>
        </is>
      </c>
      <c r="O677" t="inlineStr">
        <is>
          <t>Tipo A</t>
        </is>
      </c>
      <c r="P677" t="inlineStr">
        <is>
          <t>63+260</t>
        </is>
      </c>
      <c r="Q677" t="inlineStr">
        <is>
          <t>63+260</t>
        </is>
      </c>
      <c r="R677" t="inlineStr">
        <is>
          <t>Aberta</t>
        </is>
      </c>
      <c r="T677" t="inlineStr">
        <is>
          <t>Aline Batista</t>
        </is>
      </c>
      <c r="U677" t="inlineStr">
        <is>
          <t>24/04/2026</t>
        </is>
      </c>
      <c r="V677" t="inlineStr">
        <is>
          <t>01/05/2026</t>
        </is>
      </c>
      <c r="W677">
        <v>40</v>
      </c>
      <c r="AA677" t="inlineStr">
        <is>
          <t>Aberta 30-60 dias</t>
        </is>
      </c>
    </row>
    <row r="678">
      <c r="A678">
        <v>676</v>
      </c>
      <c r="B678">
        <v>2</v>
      </c>
      <c r="C678" t="inlineStr">
        <is>
          <t>1.6</t>
        </is>
      </c>
      <c r="D678" t="inlineStr">
        <is>
          <t>A12</t>
        </is>
      </c>
      <c r="E678" t="inlineStr">
        <is>
          <t>LD</t>
        </is>
      </c>
      <c r="F678" t="inlineStr">
        <is>
          <t>ATERPA</t>
        </is>
      </c>
      <c r="G678" t="inlineStr">
        <is>
          <t>CLP-012</t>
        </is>
      </c>
      <c r="H678" t="inlineStr">
        <is>
          <t>Fiscalização</t>
        </is>
      </c>
      <c r="I678">
        <v>4</v>
      </c>
      <c r="J678" t="inlineStr">
        <is>
          <t>Terraplenagem</t>
        </is>
      </c>
      <c r="K678" t="inlineStr">
        <is>
          <t>4.24</t>
        </is>
      </c>
      <c r="L678" t="inlineStr">
        <is>
          <t>Acesso</t>
        </is>
      </c>
      <c r="M678" t="inlineStr">
        <is>
          <t>Erosões</t>
        </is>
      </c>
      <c r="N678" t="inlineStr">
        <is>
          <t>Erosão  no caminho de serviço com carreamento para fora da faixa de domínio em APP</t>
        </is>
      </c>
      <c r="O678" t="inlineStr">
        <is>
          <t>Tipo A</t>
        </is>
      </c>
      <c r="P678" t="inlineStr">
        <is>
          <t>71+300</t>
        </is>
      </c>
      <c r="Q678" t="inlineStr">
        <is>
          <t>71+300</t>
        </is>
      </c>
      <c r="R678" t="inlineStr">
        <is>
          <t>Aberta</t>
        </is>
      </c>
      <c r="T678" t="inlineStr">
        <is>
          <t>Aline Batista</t>
        </is>
      </c>
      <c r="U678" t="inlineStr">
        <is>
          <t>24/04/2026</t>
        </is>
      </c>
      <c r="V678" t="inlineStr">
        <is>
          <t>01/05/2026</t>
        </is>
      </c>
      <c r="W678">
        <v>40</v>
      </c>
      <c r="AA678" t="inlineStr">
        <is>
          <t>Aberta 30-60 dias</t>
        </is>
      </c>
    </row>
    <row r="679">
      <c r="A679">
        <v>677</v>
      </c>
      <c r="B679">
        <v>2</v>
      </c>
      <c r="C679" t="inlineStr">
        <is>
          <t>1.6</t>
        </is>
      </c>
      <c r="D679" t="inlineStr">
        <is>
          <t>A08</t>
        </is>
      </c>
      <c r="E679" t="inlineStr">
        <is>
          <t>LD/LE</t>
        </is>
      </c>
      <c r="F679" t="inlineStr">
        <is>
          <t>ATERPA</t>
        </is>
      </c>
      <c r="G679" t="inlineStr">
        <is>
          <t>CLP-012</t>
        </is>
      </c>
      <c r="H679" t="inlineStr">
        <is>
          <t>Protocolo</t>
        </is>
      </c>
      <c r="I679">
        <v>4</v>
      </c>
      <c r="J679" t="inlineStr">
        <is>
          <t>Terraplenagem</t>
        </is>
      </c>
      <c r="K679" t="inlineStr">
        <is>
          <t>4.32</t>
        </is>
      </c>
      <c r="L679" t="inlineStr">
        <is>
          <t>Acesso</t>
        </is>
      </c>
      <c r="M679" t="inlineStr">
        <is>
          <t>Limpeza/ remoção de material</t>
        </is>
      </c>
      <c r="N679" t="inlineStr">
        <is>
          <t>Residuo de obra</t>
        </is>
      </c>
      <c r="O679" t="inlineStr">
        <is>
          <t>Tipo A</t>
        </is>
      </c>
      <c r="P679" t="inlineStr">
        <is>
          <t>64+590</t>
        </is>
      </c>
      <c r="Q679" t="inlineStr">
        <is>
          <t>64+590</t>
        </is>
      </c>
      <c r="R679" t="inlineStr">
        <is>
          <t>Aberta</t>
        </is>
      </c>
      <c r="T679" t="inlineStr">
        <is>
          <t>Aline Batista</t>
        </is>
      </c>
      <c r="U679" t="inlineStr">
        <is>
          <t>24/04/2026</t>
        </is>
      </c>
      <c r="V679" t="inlineStr">
        <is>
          <t>01/05/2026</t>
        </is>
      </c>
      <c r="W679">
        <v>40</v>
      </c>
      <c r="AA679" t="inlineStr">
        <is>
          <t>Aberta 30-60 dias</t>
        </is>
      </c>
    </row>
    <row r="680">
      <c r="A680">
        <v>678</v>
      </c>
      <c r="B680">
        <v>2</v>
      </c>
      <c r="C680" t="inlineStr">
        <is>
          <t>1.6</t>
        </is>
      </c>
      <c r="D680" t="inlineStr">
        <is>
          <t>A08</t>
        </is>
      </c>
      <c r="E680" t="inlineStr">
        <is>
          <t>LD/LE</t>
        </is>
      </c>
      <c r="F680" t="inlineStr">
        <is>
          <t>ATERPA</t>
        </is>
      </c>
      <c r="G680" t="inlineStr">
        <is>
          <t>CLP-012</t>
        </is>
      </c>
      <c r="H680" t="inlineStr">
        <is>
          <t>Protocolo</t>
        </is>
      </c>
      <c r="I680">
        <v>4</v>
      </c>
      <c r="J680" t="inlineStr">
        <is>
          <t>Terraplenagem</t>
        </is>
      </c>
      <c r="K680" t="inlineStr">
        <is>
          <t>4.24</t>
        </is>
      </c>
      <c r="L680" t="inlineStr">
        <is>
          <t>Acesso</t>
        </is>
      </c>
      <c r="M680" t="inlineStr">
        <is>
          <t>Revegetação/ Hidrossemeadura</t>
        </is>
      </c>
      <c r="N680" t="inlineStr">
        <is>
          <t>Necessáro revegetação da área</t>
        </is>
      </c>
      <c r="O680" t="inlineStr">
        <is>
          <t>Tipo A</t>
        </is>
      </c>
      <c r="P680" t="inlineStr">
        <is>
          <t>64+620</t>
        </is>
      </c>
      <c r="Q680" t="inlineStr">
        <is>
          <t>64+620</t>
        </is>
      </c>
      <c r="R680" t="inlineStr">
        <is>
          <t>Aberta</t>
        </is>
      </c>
      <c r="T680" t="inlineStr">
        <is>
          <t>Aline Batista</t>
        </is>
      </c>
      <c r="U680" t="inlineStr">
        <is>
          <t>24/04/2026</t>
        </is>
      </c>
      <c r="V680" t="inlineStr">
        <is>
          <t>01/05/2026</t>
        </is>
      </c>
      <c r="W680">
        <v>40</v>
      </c>
      <c r="AA680" t="inlineStr">
        <is>
          <t>Aberta 30-60 dias</t>
        </is>
      </c>
    </row>
    <row r="681">
      <c r="A681">
        <v>679</v>
      </c>
      <c r="B681">
        <v>2</v>
      </c>
      <c r="C681" t="inlineStr">
        <is>
          <t>1.6</t>
        </is>
      </c>
      <c r="D681" t="inlineStr">
        <is>
          <t>C01/A01/C02/A02/C03/A03/C04/A04/C05/A05/C06/A06/C07/A07/C08/A08/C09/A09/C10/A10/C12/A12/A13</t>
        </is>
      </c>
      <c r="E681" t="inlineStr">
        <is>
          <t>LD/LE</t>
        </is>
      </c>
      <c r="F681" t="inlineStr">
        <is>
          <t>ATERPA</t>
        </is>
      </c>
      <c r="G681" t="inlineStr">
        <is>
          <t>CLP-012</t>
        </is>
      </c>
      <c r="H681" t="inlineStr">
        <is>
          <t>Protocolo</t>
        </is>
      </c>
      <c r="I681">
        <v>4</v>
      </c>
      <c r="J681" t="inlineStr">
        <is>
          <t>Terraplenagem</t>
        </is>
      </c>
      <c r="K681" t="inlineStr">
        <is>
          <t>4.34</t>
        </is>
      </c>
      <c r="L681" t="inlineStr">
        <is>
          <t>RNC</t>
        </is>
      </c>
      <c r="M681" t="inlineStr">
        <is>
          <t>Documental</t>
        </is>
      </c>
      <c r="N681" t="inlineStr">
        <is>
          <t>RNC-01407/26; RNC-01424/26; RNC-01547/26; RNC-01892/26;  RNC-02119/26; RNC-02300/26; RNC-02301/26; RNC-02302/26; RNC-02325/26</t>
        </is>
      </c>
      <c r="O681" t="inlineStr">
        <is>
          <t>Tipo B</t>
        </is>
      </c>
      <c r="P681" t="inlineStr">
        <is>
          <t>55+050</t>
        </is>
      </c>
      <c r="Q681" t="inlineStr">
        <is>
          <t>71+150</t>
        </is>
      </c>
      <c r="R681" t="inlineStr">
        <is>
          <t>Aberta</t>
        </is>
      </c>
      <c r="T681" t="inlineStr">
        <is>
          <t>Aline Batista</t>
        </is>
      </c>
      <c r="U681" t="inlineStr">
        <is>
          <t>24/04/2026</t>
        </is>
      </c>
      <c r="V681" t="inlineStr">
        <is>
          <t>09/05/2026</t>
        </is>
      </c>
      <c r="W681">
        <v>32</v>
      </c>
      <c r="AA681" t="inlineStr">
        <is>
          <t>Aberta 30-60 dias</t>
        </is>
      </c>
    </row>
    <row r="682">
      <c r="A682">
        <v>680</v>
      </c>
      <c r="B682">
        <v>2</v>
      </c>
      <c r="C682" t="inlineStr">
        <is>
          <t>1.6</t>
        </is>
      </c>
      <c r="D682" t="inlineStr">
        <is>
          <t>C01/A01/C02/A02/C03/A03/C04/A04/C05/A05/C06/A06/C07/A07/C08/A08/C09/A09/C10/A10/C12/A12/A13</t>
        </is>
      </c>
      <c r="F682" t="inlineStr">
        <is>
          <t>ATERPA</t>
        </is>
      </c>
      <c r="G682" t="inlineStr">
        <is>
          <t>CLP-012</t>
        </is>
      </c>
      <c r="H682" t="inlineStr">
        <is>
          <t>Protocolo</t>
        </is>
      </c>
      <c r="I682">
        <v>4</v>
      </c>
      <c r="J682" t="inlineStr">
        <is>
          <t>Terraplenagem</t>
        </is>
      </c>
      <c r="K682" t="inlineStr">
        <is>
          <t>4.26</t>
        </is>
      </c>
      <c r="L682" t="inlineStr">
        <is>
          <t>As Built</t>
        </is>
      </c>
      <c r="M682" t="inlineStr">
        <is>
          <t>Documental</t>
        </is>
      </c>
      <c r="N682" t="inlineStr">
        <is>
          <t>Não apresentando</t>
        </is>
      </c>
      <c r="O682" t="inlineStr">
        <is>
          <t>Tipo B</t>
        </is>
      </c>
      <c r="P682" t="inlineStr">
        <is>
          <t>55+050</t>
        </is>
      </c>
      <c r="Q682" t="inlineStr">
        <is>
          <t>71+150</t>
        </is>
      </c>
      <c r="R682" t="inlineStr">
        <is>
          <t>Aberta</t>
        </is>
      </c>
      <c r="T682" t="inlineStr">
        <is>
          <t>Aline Batista</t>
        </is>
      </c>
      <c r="U682" t="inlineStr">
        <is>
          <t>24/04/2026</t>
        </is>
      </c>
      <c r="V682" t="inlineStr">
        <is>
          <t>09/05/2026</t>
        </is>
      </c>
      <c r="W682">
        <v>32</v>
      </c>
      <c r="AA682" t="inlineStr">
        <is>
          <t>Aberta 30-60 dias</t>
        </is>
      </c>
    </row>
    <row r="683">
      <c r="A683">
        <v>681</v>
      </c>
      <c r="B683">
        <v>2</v>
      </c>
      <c r="C683" t="inlineStr">
        <is>
          <t>1.6</t>
        </is>
      </c>
      <c r="D683" t="inlineStr">
        <is>
          <t>C01/A01/C02/A02/C03/A03/C04/A04/C05/A05/C06/A06/C07/A07/C08/A08/C09/A09/C10/A10/C12/A12/A13</t>
        </is>
      </c>
      <c r="E683" t="inlineStr">
        <is>
          <t>LE/LD</t>
        </is>
      </c>
      <c r="F683" t="inlineStr">
        <is>
          <t>ATERPA</t>
        </is>
      </c>
      <c r="G683" t="inlineStr">
        <is>
          <t>CLP-012</t>
        </is>
      </c>
      <c r="H683" t="inlineStr">
        <is>
          <t>Protocolo</t>
        </is>
      </c>
      <c r="I683">
        <v>5</v>
      </c>
      <c r="J683" t="inlineStr">
        <is>
          <t>Dreno Profundo</t>
        </is>
      </c>
      <c r="K683" t="inlineStr">
        <is>
          <t>5.5</t>
        </is>
      </c>
      <c r="L683" t="inlineStr">
        <is>
          <t>DPS</t>
        </is>
      </c>
      <c r="M683" t="inlineStr">
        <is>
          <t>Dispositivo não executado</t>
        </is>
      </c>
      <c r="N683" t="inlineStr">
        <is>
          <t>Pendente execução de todos os terminais de dreno</t>
        </is>
      </c>
      <c r="O683" t="inlineStr">
        <is>
          <t>Tipo A</t>
        </is>
      </c>
      <c r="P683" t="inlineStr">
        <is>
          <t>55+050</t>
        </is>
      </c>
      <c r="Q683" t="inlineStr">
        <is>
          <t>71+150</t>
        </is>
      </c>
      <c r="R683" t="inlineStr">
        <is>
          <t>Aberta</t>
        </is>
      </c>
      <c r="T683" t="inlineStr">
        <is>
          <t>Aline Batista</t>
        </is>
      </c>
      <c r="U683" t="inlineStr">
        <is>
          <t>24/04/2026</t>
        </is>
      </c>
      <c r="V683" t="inlineStr">
        <is>
          <t>01/05/2026</t>
        </is>
      </c>
      <c r="W683">
        <v>40</v>
      </c>
      <c r="AA683" t="inlineStr">
        <is>
          <t>Aberta 30-60 dias</t>
        </is>
      </c>
    </row>
    <row r="684">
      <c r="A684">
        <v>682</v>
      </c>
      <c r="B684">
        <v>2</v>
      </c>
      <c r="C684" t="inlineStr">
        <is>
          <t>1.6</t>
        </is>
      </c>
      <c r="D684" t="inlineStr">
        <is>
          <t>C04</t>
        </is>
      </c>
      <c r="E684" t="inlineStr">
        <is>
          <t>EX</t>
        </is>
      </c>
      <c r="F684" t="inlineStr">
        <is>
          <t>ATERPA</t>
        </is>
      </c>
      <c r="G684" t="inlineStr">
        <is>
          <t>CLP-012</t>
        </is>
      </c>
      <c r="H684" t="inlineStr">
        <is>
          <t>Protocolo</t>
        </is>
      </c>
      <c r="I684">
        <v>5</v>
      </c>
      <c r="J684" t="inlineStr">
        <is>
          <t>Dreno Profundo</t>
        </is>
      </c>
      <c r="K684" t="inlineStr">
        <is>
          <t>5.6</t>
        </is>
      </c>
      <c r="L684" t="inlineStr">
        <is>
          <t>Colchão drenate</t>
        </is>
      </c>
      <c r="M684" t="inlineStr">
        <is>
          <t>Dispositivo não executado</t>
        </is>
      </c>
      <c r="N684" t="inlineStr">
        <is>
          <t>Pendente conclusão</t>
        </is>
      </c>
      <c r="O684" t="inlineStr">
        <is>
          <t>Tipo A</t>
        </is>
      </c>
      <c r="P684" t="inlineStr">
        <is>
          <t>56+900</t>
        </is>
      </c>
      <c r="Q684" t="inlineStr">
        <is>
          <t>56+900</t>
        </is>
      </c>
      <c r="R684" t="inlineStr">
        <is>
          <t>Aberta</t>
        </is>
      </c>
      <c r="T684" t="inlineStr">
        <is>
          <t>Aline Batista</t>
        </is>
      </c>
      <c r="U684" t="inlineStr">
        <is>
          <t>24/04/2026</t>
        </is>
      </c>
      <c r="V684" t="inlineStr">
        <is>
          <t>01/05/2026</t>
        </is>
      </c>
      <c r="W684">
        <v>40</v>
      </c>
      <c r="AA684" t="inlineStr">
        <is>
          <t>Aberta 30-60 dias</t>
        </is>
      </c>
    </row>
    <row r="685">
      <c r="A685">
        <v>683</v>
      </c>
      <c r="B685">
        <v>2</v>
      </c>
      <c r="C685" t="inlineStr">
        <is>
          <t>1.6</t>
        </is>
      </c>
      <c r="D685" t="inlineStr">
        <is>
          <t>C04</t>
        </is>
      </c>
      <c r="E685" t="inlineStr">
        <is>
          <t>LE/LD</t>
        </is>
      </c>
      <c r="F685" t="inlineStr">
        <is>
          <t>ATERPA</t>
        </is>
      </c>
      <c r="G685" t="inlineStr">
        <is>
          <t>CLP-012</t>
        </is>
      </c>
      <c r="H685" t="inlineStr">
        <is>
          <t>Protocolo</t>
        </is>
      </c>
      <c r="I685">
        <v>5</v>
      </c>
      <c r="J685" t="inlineStr">
        <is>
          <t>Dreno Profundo</t>
        </is>
      </c>
      <c r="K685" t="inlineStr">
        <is>
          <t>5.5</t>
        </is>
      </c>
      <c r="L685" t="inlineStr">
        <is>
          <t>DSH</t>
        </is>
      </c>
      <c r="M685" t="inlineStr">
        <is>
          <t>Dispositivo não executado</t>
        </is>
      </c>
      <c r="N685" t="inlineStr">
        <is>
          <t>Pendente execução de todos os terminais de dreno</t>
        </is>
      </c>
      <c r="O685" t="inlineStr">
        <is>
          <t>Tipo A</t>
        </is>
      </c>
      <c r="P685" t="inlineStr">
        <is>
          <t>56+ 560</t>
        </is>
      </c>
      <c r="Q685" t="inlineStr">
        <is>
          <t xml:space="preserve"> 68+900</t>
        </is>
      </c>
      <c r="R685" t="inlineStr">
        <is>
          <t>Aberta</t>
        </is>
      </c>
      <c r="T685" t="inlineStr">
        <is>
          <t>Aline Batista</t>
        </is>
      </c>
      <c r="U685" t="inlineStr">
        <is>
          <t>24/04/2026</t>
        </is>
      </c>
      <c r="V685" t="inlineStr">
        <is>
          <t>01/05/2026</t>
        </is>
      </c>
      <c r="W685">
        <v>40</v>
      </c>
      <c r="AA685" t="inlineStr">
        <is>
          <t>Aberta 30-60 dias</t>
        </is>
      </c>
    </row>
    <row r="686">
      <c r="A686">
        <v>684</v>
      </c>
      <c r="B686">
        <v>2</v>
      </c>
      <c r="C686" t="inlineStr">
        <is>
          <t>1.6</t>
        </is>
      </c>
      <c r="D686" t="inlineStr">
        <is>
          <t>C04</t>
        </is>
      </c>
      <c r="E686" t="inlineStr">
        <is>
          <t>EX</t>
        </is>
      </c>
      <c r="F686" t="inlineStr">
        <is>
          <t>ATERPA</t>
        </is>
      </c>
      <c r="G686" t="inlineStr">
        <is>
          <t>CLP-012</t>
        </is>
      </c>
      <c r="H686" t="inlineStr">
        <is>
          <t>Protocolo</t>
        </is>
      </c>
      <c r="I686">
        <v>5</v>
      </c>
      <c r="J686" t="inlineStr">
        <is>
          <t>Dreno Profundo</t>
        </is>
      </c>
      <c r="K686" t="inlineStr">
        <is>
          <t>5.6</t>
        </is>
      </c>
      <c r="L686" t="inlineStr">
        <is>
          <t>Colchão drenate</t>
        </is>
      </c>
      <c r="M686" t="inlineStr">
        <is>
          <t>Dispositivo não executado</t>
        </is>
      </c>
      <c r="N686" t="inlineStr">
        <is>
          <t>Pendente conclusão</t>
        </is>
      </c>
      <c r="O686" t="inlineStr">
        <is>
          <t>Tipo A</t>
        </is>
      </c>
      <c r="P686" t="inlineStr">
        <is>
          <t>56+900</t>
        </is>
      </c>
      <c r="Q686" t="inlineStr">
        <is>
          <t>56+900</t>
        </is>
      </c>
      <c r="R686" t="inlineStr">
        <is>
          <t>Aberta</t>
        </is>
      </c>
      <c r="T686" t="inlineStr">
        <is>
          <t>Aline Batista</t>
        </is>
      </c>
      <c r="U686" t="inlineStr">
        <is>
          <t>24/04/2026</t>
        </is>
      </c>
      <c r="V686" t="inlineStr">
        <is>
          <t>01/05/2026</t>
        </is>
      </c>
      <c r="W686">
        <v>40</v>
      </c>
      <c r="AA686" t="inlineStr">
        <is>
          <t>Aberta 30-60 dias</t>
        </is>
      </c>
    </row>
    <row r="687">
      <c r="A687">
        <v>685</v>
      </c>
      <c r="B687">
        <v>2</v>
      </c>
      <c r="C687" t="inlineStr">
        <is>
          <t>1.6</t>
        </is>
      </c>
      <c r="D687" t="inlineStr">
        <is>
          <t>A05</t>
        </is>
      </c>
      <c r="E687" t="inlineStr">
        <is>
          <t>LD</t>
        </is>
      </c>
      <c r="F687" t="inlineStr">
        <is>
          <t>ATERPA</t>
        </is>
      </c>
      <c r="G687" t="inlineStr">
        <is>
          <t>CLP-012</t>
        </is>
      </c>
      <c r="H687" t="inlineStr">
        <is>
          <t>Protocolo</t>
        </is>
      </c>
      <c r="I687">
        <v>4</v>
      </c>
      <c r="J687" t="inlineStr">
        <is>
          <t>Terraplenagem</t>
        </is>
      </c>
      <c r="K687" t="inlineStr">
        <is>
          <t>4.20</t>
        </is>
      </c>
      <c r="L687" t="inlineStr">
        <is>
          <t>Crista do corte</t>
        </is>
      </c>
      <c r="M687" t="inlineStr">
        <is>
          <t>Erosões</t>
        </is>
      </c>
      <c r="N687" t="inlineStr">
        <is>
          <t>Erosão profunda com carreamento para fora da faixa</t>
        </is>
      </c>
      <c r="O687" t="inlineStr">
        <is>
          <t>Tipo A</t>
        </is>
      </c>
      <c r="P687" t="inlineStr">
        <is>
          <t>58+900</t>
        </is>
      </c>
      <c r="Q687" t="inlineStr">
        <is>
          <t>59+069</t>
        </is>
      </c>
      <c r="R687" t="inlineStr">
        <is>
          <t>Aberta</t>
        </is>
      </c>
      <c r="T687" t="inlineStr">
        <is>
          <t>Aline Batista</t>
        </is>
      </c>
      <c r="U687" t="inlineStr">
        <is>
          <t>24/04/2026</t>
        </is>
      </c>
      <c r="V687" t="inlineStr">
        <is>
          <t>01/05/2026</t>
        </is>
      </c>
      <c r="W687">
        <v>40</v>
      </c>
      <c r="AA687" t="inlineStr">
        <is>
          <t>Aberta 30-60 dias</t>
        </is>
      </c>
    </row>
    <row r="688">
      <c r="A688">
        <v>686</v>
      </c>
      <c r="B688">
        <v>2</v>
      </c>
      <c r="C688" t="inlineStr">
        <is>
          <t>1.6</t>
        </is>
      </c>
      <c r="D688" t="inlineStr">
        <is>
          <t>C01/A01/C02/A02/C03/A03/C04/A04/C05/A05/C06/A06/C07/A07/C08/A08/C09/A09/C10/A10/C12/A12/A13</t>
        </is>
      </c>
      <c r="F688" t="inlineStr">
        <is>
          <t>ATERPA</t>
        </is>
      </c>
      <c r="G688" t="inlineStr">
        <is>
          <t>CLP-012</t>
        </is>
      </c>
      <c r="H688" t="inlineStr">
        <is>
          <t>Protocolo</t>
        </is>
      </c>
      <c r="I688">
        <v>5</v>
      </c>
      <c r="J688" t="inlineStr">
        <is>
          <t>Dreno Profundo</t>
        </is>
      </c>
      <c r="K688" t="inlineStr">
        <is>
          <t>5.8</t>
        </is>
      </c>
      <c r="L688" t="inlineStr">
        <is>
          <t>As built</t>
        </is>
      </c>
      <c r="M688" t="inlineStr">
        <is>
          <t>Documental</t>
        </is>
      </c>
      <c r="N688" t="inlineStr">
        <is>
          <t>Não apresentado os As built</t>
        </is>
      </c>
      <c r="O688" t="inlineStr">
        <is>
          <t>Tipo B</t>
        </is>
      </c>
      <c r="P688" t="inlineStr">
        <is>
          <t>55+050</t>
        </is>
      </c>
      <c r="Q688" t="inlineStr">
        <is>
          <t>71+150</t>
        </is>
      </c>
      <c r="R688" t="inlineStr">
        <is>
          <t>Aberta</t>
        </is>
      </c>
      <c r="T688" t="inlineStr">
        <is>
          <t>Aline Batista</t>
        </is>
      </c>
      <c r="U688" t="inlineStr">
        <is>
          <t>24/04/2026</t>
        </is>
      </c>
      <c r="V688" t="inlineStr">
        <is>
          <t>09/05/2026</t>
        </is>
      </c>
      <c r="W688">
        <v>32</v>
      </c>
      <c r="AA688" t="inlineStr">
        <is>
          <t>Aberta 30-60 dias</t>
        </is>
      </c>
    </row>
    <row r="689">
      <c r="A689">
        <v>687</v>
      </c>
      <c r="B689">
        <v>2</v>
      </c>
      <c r="C689" t="inlineStr">
        <is>
          <t>1.6</t>
        </is>
      </c>
      <c r="D689" t="inlineStr">
        <is>
          <t>C01/A01/C02/A02/C03/A03/C04/A04/C05/A05/C06/A06/C07/A07/C08/A08/C09/A09/C10/A10/C12/A12/A13</t>
        </is>
      </c>
      <c r="F689" t="inlineStr">
        <is>
          <t>ATERPA</t>
        </is>
      </c>
      <c r="G689" t="inlineStr">
        <is>
          <t>CLP-012</t>
        </is>
      </c>
      <c r="H689" t="inlineStr">
        <is>
          <t>Protocolo</t>
        </is>
      </c>
      <c r="I689">
        <v>6</v>
      </c>
      <c r="J689" t="inlineStr">
        <is>
          <t>Drenagem Superficial</t>
        </is>
      </c>
      <c r="K689" t="inlineStr">
        <is>
          <t>6.14</t>
        </is>
      </c>
      <c r="L689" t="inlineStr">
        <is>
          <t>Ensaios</t>
        </is>
      </c>
      <c r="M689" t="inlineStr">
        <is>
          <t>Documental</t>
        </is>
      </c>
      <c r="N689" t="inlineStr">
        <is>
          <t xml:space="preserve">Registro 0146-C Pendente rompimento aos 28 dias – TSS 07
Registro 8945-C não atingiu resistência aos 63 dias, RNC aberta
Registro 3496-C lançado com temperatura acima do especificado - 37,8°C canaleta VPC 01
Registro 0146-C lançado com temperatura acima do especificado – 37,0°C canaleta
Registros 2x 0158-C lançado com temperatura acima do especificado – 38,6°C canaleta
Registros 2x 0627-C lançado com temperatura acima do especificado - 36,9°C canaleta
Registro 0630-C lançado com temperatura acima do especificado - 37,3°C canaleta
Registro 0337-C lançado com temperatura acima do especificado - 37,4°C canaleta
Registro 14212-C lançado com temperatura acima do especificado – 3313,6°C sarjeta
Registros 20337-C ao 20408-C pendente rompimento aos 28 dias
Registro 50050-C resultado de rompimento aos 28 dias inferior ao especificado em projeto, descida dágua
Registro 20351-C sem registro de rompimento aos 28 dias
Registro 20363-C sem registro de rompimento aos 28 dias</t>
        </is>
      </c>
      <c r="O689" t="inlineStr">
        <is>
          <t>Tipo B</t>
        </is>
      </c>
      <c r="P689" t="inlineStr">
        <is>
          <t>55+050</t>
        </is>
      </c>
      <c r="Q689" t="inlineStr">
        <is>
          <t>71+150</t>
        </is>
      </c>
      <c r="R689" t="inlineStr">
        <is>
          <t>Aberta</t>
        </is>
      </c>
      <c r="T689" t="inlineStr">
        <is>
          <t>Aline Batista</t>
        </is>
      </c>
      <c r="U689" t="inlineStr">
        <is>
          <t>24/04/2026</t>
        </is>
      </c>
      <c r="V689" t="inlineStr">
        <is>
          <t>09/05/2026</t>
        </is>
      </c>
      <c r="W689">
        <v>32</v>
      </c>
      <c r="AA689" t="inlineStr">
        <is>
          <t>Aberta 30-60 dias</t>
        </is>
      </c>
    </row>
    <row r="690">
      <c r="A690">
        <v>688</v>
      </c>
      <c r="B690">
        <v>2</v>
      </c>
      <c r="C690" t="inlineStr">
        <is>
          <t>1.6</t>
        </is>
      </c>
      <c r="D690" t="inlineStr">
        <is>
          <t>C05</t>
        </is>
      </c>
      <c r="E690" t="inlineStr">
        <is>
          <t>LE</t>
        </is>
      </c>
      <c r="F690" t="inlineStr">
        <is>
          <t>ATERPA</t>
        </is>
      </c>
      <c r="G690" t="inlineStr">
        <is>
          <t>CLP-012</t>
        </is>
      </c>
      <c r="H690" t="inlineStr">
        <is>
          <t>Protocolo</t>
        </is>
      </c>
      <c r="I690">
        <v>6</v>
      </c>
      <c r="J690" t="inlineStr">
        <is>
          <t>Drenagem Superficial</t>
        </is>
      </c>
      <c r="K690" t="inlineStr">
        <is>
          <t>6.1</t>
        </is>
      </c>
      <c r="L690" t="inlineStr">
        <is>
          <t>Drenagem superficial</t>
        </is>
      </c>
      <c r="M690" t="inlineStr">
        <is>
          <t>Dispositivo não executado</t>
        </is>
      </c>
      <c r="N690" t="inlineStr">
        <is>
          <t>Pendente conclusão</t>
        </is>
      </c>
      <c r="O690" t="inlineStr">
        <is>
          <t>Tipo A</t>
        </is>
      </c>
      <c r="P690" t="inlineStr">
        <is>
          <t>57+540</t>
        </is>
      </c>
      <c r="Q690" t="inlineStr">
        <is>
          <t>57+540</t>
        </is>
      </c>
      <c r="R690" t="inlineStr">
        <is>
          <t>Aberta</t>
        </is>
      </c>
      <c r="T690" t="inlineStr">
        <is>
          <t>Aline Batista</t>
        </is>
      </c>
      <c r="U690" t="inlineStr">
        <is>
          <t>24/04/2026</t>
        </is>
      </c>
      <c r="V690" t="inlineStr">
        <is>
          <t>01/05/2026</t>
        </is>
      </c>
      <c r="W690">
        <v>40</v>
      </c>
      <c r="AA690" t="inlineStr">
        <is>
          <t>Aberta 30-60 dias</t>
        </is>
      </c>
    </row>
    <row r="691">
      <c r="A691">
        <v>689</v>
      </c>
      <c r="B691">
        <v>2</v>
      </c>
      <c r="C691" t="inlineStr">
        <is>
          <t>1.6</t>
        </is>
      </c>
      <c r="D691" t="inlineStr">
        <is>
          <t>A05</t>
        </is>
      </c>
      <c r="E691" t="inlineStr">
        <is>
          <t>LE</t>
        </is>
      </c>
      <c r="F691" t="inlineStr">
        <is>
          <t>ATERPA</t>
        </is>
      </c>
      <c r="G691" t="inlineStr">
        <is>
          <t>CLP-012</t>
        </is>
      </c>
      <c r="H691" t="inlineStr">
        <is>
          <t>Protocolo</t>
        </is>
      </c>
      <c r="I691">
        <v>6</v>
      </c>
      <c r="J691" t="inlineStr">
        <is>
          <t>Drenagem Superficial</t>
        </is>
      </c>
      <c r="K691" t="inlineStr">
        <is>
          <t>6.1</t>
        </is>
      </c>
      <c r="L691" t="inlineStr">
        <is>
          <t>VPC</t>
        </is>
      </c>
      <c r="M691" t="inlineStr">
        <is>
          <t>Dispositivo não executado</t>
        </is>
      </c>
      <c r="N691" t="inlineStr">
        <is>
          <t>Pendente conclusão</t>
        </is>
      </c>
      <c r="O691" t="inlineStr">
        <is>
          <t>Tipo A</t>
        </is>
      </c>
      <c r="P691" t="inlineStr">
        <is>
          <t>59+000</t>
        </is>
      </c>
      <c r="Q691" t="inlineStr">
        <is>
          <t>59+000</t>
        </is>
      </c>
      <c r="R691" t="inlineStr">
        <is>
          <t>Aberta</t>
        </is>
      </c>
      <c r="T691" t="inlineStr">
        <is>
          <t>Aline Batista</t>
        </is>
      </c>
      <c r="U691" t="inlineStr">
        <is>
          <t>24/04/2026</t>
        </is>
      </c>
      <c r="V691" t="inlineStr">
        <is>
          <t>01/05/2026</t>
        </is>
      </c>
      <c r="W691">
        <v>40</v>
      </c>
      <c r="AA691" t="inlineStr">
        <is>
          <t>Aberta 30-60 dias</t>
        </is>
      </c>
    </row>
    <row r="692">
      <c r="A692">
        <v>690</v>
      </c>
      <c r="B692">
        <v>2</v>
      </c>
      <c r="C692" t="inlineStr">
        <is>
          <t>1.6</t>
        </is>
      </c>
      <c r="D692" t="inlineStr">
        <is>
          <t>A05</t>
        </is>
      </c>
      <c r="E692" t="inlineStr">
        <is>
          <t>LE</t>
        </is>
      </c>
      <c r="F692" t="inlineStr">
        <is>
          <t>ATERPA</t>
        </is>
      </c>
      <c r="G692" t="inlineStr">
        <is>
          <t>CLP-012</t>
        </is>
      </c>
      <c r="H692" t="inlineStr">
        <is>
          <t>Protocolo</t>
        </is>
      </c>
      <c r="I692">
        <v>6</v>
      </c>
      <c r="J692" t="inlineStr">
        <is>
          <t>Drenagem Superficial</t>
        </is>
      </c>
      <c r="K692" t="inlineStr">
        <is>
          <t>6.1</t>
        </is>
      </c>
      <c r="L692" t="inlineStr">
        <is>
          <t>VPC</t>
        </is>
      </c>
      <c r="M692" t="inlineStr">
        <is>
          <t>Dispositivo não executado</t>
        </is>
      </c>
      <c r="N692" t="inlineStr">
        <is>
          <t>Pendente conclusão</t>
        </is>
      </c>
      <c r="O692" t="inlineStr">
        <is>
          <t>Tipo A</t>
        </is>
      </c>
      <c r="P692" t="inlineStr">
        <is>
          <t>62+040</t>
        </is>
      </c>
      <c r="Q692" t="inlineStr">
        <is>
          <t>62+040</t>
        </is>
      </c>
      <c r="R692" t="inlineStr">
        <is>
          <t>Aberta</t>
        </is>
      </c>
      <c r="T692" t="inlineStr">
        <is>
          <t>Aline Batista</t>
        </is>
      </c>
      <c r="U692" t="inlineStr">
        <is>
          <t>24/04/2026</t>
        </is>
      </c>
      <c r="V692" t="inlineStr">
        <is>
          <t>01/05/2026</t>
        </is>
      </c>
      <c r="W692">
        <v>40</v>
      </c>
      <c r="AA692" t="inlineStr">
        <is>
          <t>Aberta 30-60 dias</t>
        </is>
      </c>
    </row>
    <row r="693">
      <c r="A693">
        <v>691</v>
      </c>
      <c r="B693">
        <v>2</v>
      </c>
      <c r="C693" t="inlineStr">
        <is>
          <t>1.6</t>
        </is>
      </c>
      <c r="D693" t="inlineStr">
        <is>
          <t>A06</t>
        </is>
      </c>
      <c r="E693" t="inlineStr">
        <is>
          <t>LE</t>
        </is>
      </c>
      <c r="F693" t="inlineStr">
        <is>
          <t>ATERPA</t>
        </is>
      </c>
      <c r="G693" t="inlineStr">
        <is>
          <t>CLP-012</t>
        </is>
      </c>
      <c r="H693" t="inlineStr">
        <is>
          <t>Protocolo</t>
        </is>
      </c>
      <c r="I693">
        <v>6</v>
      </c>
      <c r="J693" t="inlineStr">
        <is>
          <t>Drenagem Superficial</t>
        </is>
      </c>
      <c r="K693" t="inlineStr">
        <is>
          <t>6.1</t>
        </is>
      </c>
      <c r="L693" t="inlineStr">
        <is>
          <t>SZA 01</t>
        </is>
      </c>
      <c r="M693" t="inlineStr">
        <is>
          <t>Dispositivo não executado</t>
        </is>
      </c>
      <c r="N693" t="inlineStr">
        <is>
          <t>Pendente execução</t>
        </is>
      </c>
      <c r="O693" t="inlineStr">
        <is>
          <t>Tipo A</t>
        </is>
      </c>
      <c r="P693" t="inlineStr">
        <is>
          <t>59+180</t>
        </is>
      </c>
      <c r="Q693" t="inlineStr">
        <is>
          <t>59+186</t>
        </is>
      </c>
      <c r="R693" t="inlineStr">
        <is>
          <t>Aberta</t>
        </is>
      </c>
      <c r="T693" t="inlineStr">
        <is>
          <t>Aline Batista</t>
        </is>
      </c>
      <c r="U693" t="inlineStr">
        <is>
          <t>24/04/2026</t>
        </is>
      </c>
      <c r="V693" t="inlineStr">
        <is>
          <t>01/05/2026</t>
        </is>
      </c>
      <c r="W693">
        <v>40</v>
      </c>
      <c r="AA693" t="inlineStr">
        <is>
          <t>Aberta 30-60 dias</t>
        </is>
      </c>
    </row>
    <row r="694">
      <c r="A694">
        <v>692</v>
      </c>
      <c r="B694">
        <v>2</v>
      </c>
      <c r="C694" t="inlineStr">
        <is>
          <t>1.6</t>
        </is>
      </c>
      <c r="D694" t="inlineStr">
        <is>
          <t>A02</t>
        </is>
      </c>
      <c r="E694" t="inlineStr">
        <is>
          <t>LD/LE</t>
        </is>
      </c>
      <c r="F694" t="inlineStr">
        <is>
          <t>ATERPA</t>
        </is>
      </c>
      <c r="G694" t="inlineStr">
        <is>
          <t>CLP-012</t>
        </is>
      </c>
      <c r="H694" t="inlineStr">
        <is>
          <t>Protocolo</t>
        </is>
      </c>
      <c r="I694">
        <v>6</v>
      </c>
      <c r="J694" t="inlineStr">
        <is>
          <t>Drenagem Superficial</t>
        </is>
      </c>
      <c r="K694" t="inlineStr">
        <is>
          <t>6.2</t>
        </is>
      </c>
      <c r="L694" t="inlineStr">
        <is>
          <t>Dispositivo de drenagem</t>
        </is>
      </c>
      <c r="M694" t="inlineStr">
        <is>
          <t>Dispositivo não executado</t>
        </is>
      </c>
      <c r="N694" t="inlineStr">
        <is>
          <t>Pendente conclusão</t>
        </is>
      </c>
      <c r="O694" t="inlineStr">
        <is>
          <t>Tipo A</t>
        </is>
      </c>
      <c r="P694" t="inlineStr">
        <is>
          <t>56+020</t>
        </is>
      </c>
      <c r="Q694" t="inlineStr">
        <is>
          <t>56+020</t>
        </is>
      </c>
      <c r="R694" t="inlineStr">
        <is>
          <t>Aberta</t>
        </is>
      </c>
      <c r="T694" t="inlineStr">
        <is>
          <t>Aline Batista</t>
        </is>
      </c>
      <c r="U694" t="inlineStr">
        <is>
          <t>24/04/2026</t>
        </is>
      </c>
      <c r="V694" t="inlineStr">
        <is>
          <t>01/05/2026</t>
        </is>
      </c>
      <c r="W694">
        <v>40</v>
      </c>
      <c r="AA694" t="inlineStr">
        <is>
          <t>Aberta 30-60 dias</t>
        </is>
      </c>
    </row>
    <row r="695">
      <c r="A695">
        <v>693</v>
      </c>
      <c r="B695">
        <v>2</v>
      </c>
      <c r="C695" t="inlineStr">
        <is>
          <t>1.6</t>
        </is>
      </c>
      <c r="D695" t="inlineStr">
        <is>
          <t>C03</t>
        </is>
      </c>
      <c r="E695" t="inlineStr">
        <is>
          <t>LD/LE</t>
        </is>
      </c>
      <c r="F695" t="inlineStr">
        <is>
          <t>ATERPA</t>
        </is>
      </c>
      <c r="G695" t="inlineStr">
        <is>
          <t>CLP-012</t>
        </is>
      </c>
      <c r="H695" t="inlineStr">
        <is>
          <t>Protocolo</t>
        </is>
      </c>
      <c r="I695">
        <v>6</v>
      </c>
      <c r="J695" t="inlineStr">
        <is>
          <t>Drenagem Superficial</t>
        </is>
      </c>
      <c r="K695" t="inlineStr">
        <is>
          <t>6.2</t>
        </is>
      </c>
      <c r="L695" t="inlineStr">
        <is>
          <t>Dispositivo de drenagem</t>
        </is>
      </c>
      <c r="M695" t="inlineStr">
        <is>
          <t>Dispositivo não executado</t>
        </is>
      </c>
      <c r="N695" t="inlineStr">
        <is>
          <t>Pendente conclusão</t>
        </is>
      </c>
      <c r="O695" t="inlineStr">
        <is>
          <t>Tipo A</t>
        </is>
      </c>
      <c r="P695" t="inlineStr">
        <is>
          <t>56+120</t>
        </is>
      </c>
      <c r="Q695" t="inlineStr">
        <is>
          <t>56+120</t>
        </is>
      </c>
      <c r="R695" t="inlineStr">
        <is>
          <t>Aberta</t>
        </is>
      </c>
      <c r="T695" t="inlineStr">
        <is>
          <t>Aline Batista</t>
        </is>
      </c>
      <c r="U695" t="inlineStr">
        <is>
          <t>24/04/2026</t>
        </is>
      </c>
      <c r="V695" t="inlineStr">
        <is>
          <t>01/05/2026</t>
        </is>
      </c>
      <c r="W695">
        <v>40</v>
      </c>
      <c r="AA695" t="inlineStr">
        <is>
          <t>Aberta 30-60 dias</t>
        </is>
      </c>
    </row>
    <row r="696">
      <c r="A696">
        <v>694</v>
      </c>
      <c r="B696">
        <v>2</v>
      </c>
      <c r="C696" t="inlineStr">
        <is>
          <t>1.6</t>
        </is>
      </c>
      <c r="D696" t="inlineStr">
        <is>
          <t>A03</t>
        </is>
      </c>
      <c r="E696" t="inlineStr">
        <is>
          <t>LD/LE</t>
        </is>
      </c>
      <c r="F696" t="inlineStr">
        <is>
          <t>ATERPA</t>
        </is>
      </c>
      <c r="G696" t="inlineStr">
        <is>
          <t>CLP-012</t>
        </is>
      </c>
      <c r="H696" t="inlineStr">
        <is>
          <t>Protocolo</t>
        </is>
      </c>
      <c r="I696">
        <v>6</v>
      </c>
      <c r="J696" t="inlineStr">
        <is>
          <t>Drenagem Superficial</t>
        </is>
      </c>
      <c r="K696" t="inlineStr">
        <is>
          <t>6.2</t>
        </is>
      </c>
      <c r="L696" t="inlineStr">
        <is>
          <t>Dispositivo de drenagem</t>
        </is>
      </c>
      <c r="M696" t="inlineStr">
        <is>
          <t>Dispositivo não executado</t>
        </is>
      </c>
      <c r="N696" t="inlineStr">
        <is>
          <t>Pendente conclusão</t>
        </is>
      </c>
      <c r="O696" t="inlineStr">
        <is>
          <t>Tipo A</t>
        </is>
      </c>
      <c r="P696" t="inlineStr">
        <is>
          <t>56+250</t>
        </is>
      </c>
      <c r="Q696" t="inlineStr">
        <is>
          <t>56+250</t>
        </is>
      </c>
      <c r="R696" t="inlineStr">
        <is>
          <t>Aberta</t>
        </is>
      </c>
      <c r="T696" t="inlineStr">
        <is>
          <t>Aline Batista</t>
        </is>
      </c>
      <c r="U696" t="inlineStr">
        <is>
          <t>24/04/2026</t>
        </is>
      </c>
      <c r="V696" t="inlineStr">
        <is>
          <t>01/05/2026</t>
        </is>
      </c>
      <c r="W696">
        <v>40</v>
      </c>
      <c r="AA696" t="inlineStr">
        <is>
          <t>Aberta 30-60 dias</t>
        </is>
      </c>
    </row>
    <row r="697">
      <c r="A697">
        <v>695</v>
      </c>
      <c r="B697">
        <v>2</v>
      </c>
      <c r="C697" t="inlineStr">
        <is>
          <t>1.6</t>
        </is>
      </c>
      <c r="D697" t="inlineStr">
        <is>
          <t>A03</t>
        </is>
      </c>
      <c r="E697" t="inlineStr">
        <is>
          <t>LD/LE</t>
        </is>
      </c>
      <c r="F697" t="inlineStr">
        <is>
          <t>ATERPA</t>
        </is>
      </c>
      <c r="G697" t="inlineStr">
        <is>
          <t>CLP-012</t>
        </is>
      </c>
      <c r="H697" t="inlineStr">
        <is>
          <t>Protocolo</t>
        </is>
      </c>
      <c r="I697">
        <v>6</v>
      </c>
      <c r="J697" t="inlineStr">
        <is>
          <t>Drenagem Superficial</t>
        </is>
      </c>
      <c r="K697" t="inlineStr">
        <is>
          <t>6.2</t>
        </is>
      </c>
      <c r="L697" t="inlineStr">
        <is>
          <t>Dispositivo de drenagem</t>
        </is>
      </c>
      <c r="M697" t="inlineStr">
        <is>
          <t>Dispositivo não executado</t>
        </is>
      </c>
      <c r="N697" t="inlineStr">
        <is>
          <t>Pendente conclusão</t>
        </is>
      </c>
      <c r="O697" t="inlineStr">
        <is>
          <t>Tipo A</t>
        </is>
      </c>
      <c r="P697" t="inlineStr">
        <is>
          <t>56+320</t>
        </is>
      </c>
      <c r="Q697" t="inlineStr">
        <is>
          <t>56+580</t>
        </is>
      </c>
      <c r="R697" t="inlineStr">
        <is>
          <t>Aberta</t>
        </is>
      </c>
      <c r="T697" t="inlineStr">
        <is>
          <t>Aline Batista</t>
        </is>
      </c>
      <c r="U697" t="inlineStr">
        <is>
          <t>24/04/2026</t>
        </is>
      </c>
      <c r="V697" t="inlineStr">
        <is>
          <t>01/05/2026</t>
        </is>
      </c>
      <c r="W697">
        <v>40</v>
      </c>
      <c r="AA697" t="inlineStr">
        <is>
          <t>Aberta 30-60 dias</t>
        </is>
      </c>
    </row>
    <row r="698">
      <c r="A698">
        <v>696</v>
      </c>
      <c r="B698">
        <v>2</v>
      </c>
      <c r="C698" t="inlineStr">
        <is>
          <t>1.6</t>
        </is>
      </c>
      <c r="D698" t="inlineStr">
        <is>
          <t>C04</t>
        </is>
      </c>
      <c r="E698" t="inlineStr">
        <is>
          <t>LD/LE</t>
        </is>
      </c>
      <c r="F698" t="inlineStr">
        <is>
          <t>ATERPA</t>
        </is>
      </c>
      <c r="G698" t="inlineStr">
        <is>
          <t>CLP-012</t>
        </is>
      </c>
      <c r="H698" t="inlineStr">
        <is>
          <t>Protocolo</t>
        </is>
      </c>
      <c r="I698">
        <v>6</v>
      </c>
      <c r="J698" t="inlineStr">
        <is>
          <t>Drenagem Superficial</t>
        </is>
      </c>
      <c r="K698" t="inlineStr">
        <is>
          <t>6.2</t>
        </is>
      </c>
      <c r="L698" t="inlineStr">
        <is>
          <t>Dispositivo de drenagem</t>
        </is>
      </c>
      <c r="M698" t="inlineStr">
        <is>
          <t>Dispositivo não executado</t>
        </is>
      </c>
      <c r="N698" t="inlineStr">
        <is>
          <t>Pendente execução</t>
        </is>
      </c>
      <c r="O698" t="inlineStr">
        <is>
          <t>Tipo A</t>
        </is>
      </c>
      <c r="P698" t="inlineStr">
        <is>
          <t xml:space="preserve"> 57+140</t>
        </is>
      </c>
      <c r="Q698" t="inlineStr">
        <is>
          <t xml:space="preserve"> 57+140</t>
        </is>
      </c>
      <c r="R698" t="inlineStr">
        <is>
          <t>Aberta</t>
        </is>
      </c>
      <c r="T698" t="inlineStr">
        <is>
          <t>Aline Batista</t>
        </is>
      </c>
      <c r="U698" t="inlineStr">
        <is>
          <t>24/04/2026</t>
        </is>
      </c>
      <c r="V698" t="inlineStr">
        <is>
          <t>01/05/2026</t>
        </is>
      </c>
      <c r="W698">
        <v>40</v>
      </c>
      <c r="AA698" t="inlineStr">
        <is>
          <t>Aberta 30-60 dias</t>
        </is>
      </c>
    </row>
    <row r="699">
      <c r="A699">
        <v>697</v>
      </c>
      <c r="B699">
        <v>2</v>
      </c>
      <c r="C699" t="inlineStr">
        <is>
          <t>1.6</t>
        </is>
      </c>
      <c r="D699" t="inlineStr">
        <is>
          <t>C04</t>
        </is>
      </c>
      <c r="E699" t="inlineStr">
        <is>
          <t>LD/LE</t>
        </is>
      </c>
      <c r="F699" t="inlineStr">
        <is>
          <t>ATERPA</t>
        </is>
      </c>
      <c r="G699" t="inlineStr">
        <is>
          <t>CLP-012</t>
        </is>
      </c>
      <c r="H699" t="inlineStr">
        <is>
          <t>Protocolo</t>
        </is>
      </c>
      <c r="I699">
        <v>6</v>
      </c>
      <c r="J699" t="inlineStr">
        <is>
          <t>Drenagem Superficial</t>
        </is>
      </c>
      <c r="K699" t="inlineStr">
        <is>
          <t>6.2</t>
        </is>
      </c>
      <c r="L699" t="inlineStr">
        <is>
          <t>Dispositivo de drenagem</t>
        </is>
      </c>
      <c r="M699" t="inlineStr">
        <is>
          <t>Dispositivo não executado</t>
        </is>
      </c>
      <c r="N699" t="inlineStr">
        <is>
          <t>Pendente execução</t>
        </is>
      </c>
      <c r="O699" t="inlineStr">
        <is>
          <t>Tipo A</t>
        </is>
      </c>
      <c r="P699" t="inlineStr">
        <is>
          <t>57+200</t>
        </is>
      </c>
      <c r="Q699" t="inlineStr">
        <is>
          <t>57+200</t>
        </is>
      </c>
      <c r="R699" t="inlineStr">
        <is>
          <t>Aberta</t>
        </is>
      </c>
      <c r="T699" t="inlineStr">
        <is>
          <t>Aline Batista</t>
        </is>
      </c>
      <c r="U699" t="inlineStr">
        <is>
          <t>24/04/2026</t>
        </is>
      </c>
      <c r="V699" t="inlineStr">
        <is>
          <t>01/05/2026</t>
        </is>
      </c>
      <c r="W699">
        <v>40</v>
      </c>
      <c r="AA699" t="inlineStr">
        <is>
          <t>Aberta 30-60 dias</t>
        </is>
      </c>
    </row>
    <row r="700">
      <c r="A700">
        <v>698</v>
      </c>
      <c r="B700">
        <v>2</v>
      </c>
      <c r="C700" t="inlineStr">
        <is>
          <t>1.6</t>
        </is>
      </c>
      <c r="D700" t="inlineStr">
        <is>
          <t>A05</t>
        </is>
      </c>
      <c r="E700" t="inlineStr">
        <is>
          <t>LE</t>
        </is>
      </c>
      <c r="F700" t="inlineStr">
        <is>
          <t>ATERPA</t>
        </is>
      </c>
      <c r="G700" t="inlineStr">
        <is>
          <t>CLP-012</t>
        </is>
      </c>
      <c r="H700" t="inlineStr">
        <is>
          <t>Protocolo</t>
        </is>
      </c>
      <c r="I700">
        <v>6</v>
      </c>
      <c r="J700" t="inlineStr">
        <is>
          <t>Drenagem Superficial</t>
        </is>
      </c>
      <c r="K700" t="inlineStr">
        <is>
          <t>6.2</t>
        </is>
      </c>
      <c r="L700" t="inlineStr">
        <is>
          <t>Dispositivo de drenagem</t>
        </is>
      </c>
      <c r="M700" t="inlineStr">
        <is>
          <t>Dispositivo não executado</t>
        </is>
      </c>
      <c r="N700" t="inlineStr">
        <is>
          <t>Pendente conclusão</t>
        </is>
      </c>
      <c r="O700" t="inlineStr">
        <is>
          <t>Tipo A</t>
        </is>
      </c>
      <c r="P700" t="inlineStr">
        <is>
          <t>59+180</t>
        </is>
      </c>
      <c r="Q700" t="inlineStr">
        <is>
          <t>59+180</t>
        </is>
      </c>
      <c r="R700" t="inlineStr">
        <is>
          <t>Aberta</t>
        </is>
      </c>
      <c r="T700" t="inlineStr">
        <is>
          <t>Aline Batista</t>
        </is>
      </c>
      <c r="U700" t="inlineStr">
        <is>
          <t>24/04/2026</t>
        </is>
      </c>
      <c r="V700" t="inlineStr">
        <is>
          <t>01/05/2026</t>
        </is>
      </c>
      <c r="W700">
        <v>40</v>
      </c>
      <c r="AA700" t="inlineStr">
        <is>
          <t>Aberta 30-60 dias</t>
        </is>
      </c>
    </row>
    <row r="701">
      <c r="A701">
        <v>699</v>
      </c>
      <c r="B701">
        <v>2</v>
      </c>
      <c r="C701" t="inlineStr">
        <is>
          <t>1.6</t>
        </is>
      </c>
      <c r="D701" t="inlineStr">
        <is>
          <t>C06</t>
        </is>
      </c>
      <c r="E701" t="inlineStr">
        <is>
          <t>LE/LD</t>
        </is>
      </c>
      <c r="F701" t="inlineStr">
        <is>
          <t>ATERPA</t>
        </is>
      </c>
      <c r="G701" t="inlineStr">
        <is>
          <t>CLP-012</t>
        </is>
      </c>
      <c r="H701" t="inlineStr">
        <is>
          <t>Protocolo</t>
        </is>
      </c>
      <c r="I701">
        <v>6</v>
      </c>
      <c r="J701" t="inlineStr">
        <is>
          <t>Drenagem Superficial</t>
        </is>
      </c>
      <c r="K701" t="inlineStr">
        <is>
          <t>6.2</t>
        </is>
      </c>
      <c r="L701" t="inlineStr">
        <is>
          <t>Dispositivo de drenagem</t>
        </is>
      </c>
      <c r="M701" t="inlineStr">
        <is>
          <t>Dispositivo não executado</t>
        </is>
      </c>
      <c r="N701" t="inlineStr">
        <is>
          <t>Pendente execução</t>
        </is>
      </c>
      <c r="O701" t="inlineStr">
        <is>
          <t>Tipo A</t>
        </is>
      </c>
      <c r="P701" t="inlineStr">
        <is>
          <t>59+440</t>
        </is>
      </c>
      <c r="Q701" t="inlineStr">
        <is>
          <t>59+440</t>
        </is>
      </c>
      <c r="R701" t="inlineStr">
        <is>
          <t>Aberta</t>
        </is>
      </c>
      <c r="T701" t="inlineStr">
        <is>
          <t>Aline Batista</t>
        </is>
      </c>
      <c r="U701" t="inlineStr">
        <is>
          <t>24/04/2026</t>
        </is>
      </c>
      <c r="V701" t="inlineStr">
        <is>
          <t>01/05/2026</t>
        </is>
      </c>
      <c r="W701">
        <v>40</v>
      </c>
      <c r="AA701" t="inlineStr">
        <is>
          <t>Aberta 30-60 dias</t>
        </is>
      </c>
    </row>
    <row r="702">
      <c r="A702">
        <v>700</v>
      </c>
      <c r="B702">
        <v>2</v>
      </c>
      <c r="C702" t="inlineStr">
        <is>
          <t>1.6</t>
        </is>
      </c>
      <c r="D702" t="inlineStr">
        <is>
          <t>A06</t>
        </is>
      </c>
      <c r="E702" t="inlineStr">
        <is>
          <t>LE/LD</t>
        </is>
      </c>
      <c r="F702" t="inlineStr">
        <is>
          <t>ATERPA</t>
        </is>
      </c>
      <c r="G702" t="inlineStr">
        <is>
          <t>CLP-012</t>
        </is>
      </c>
      <c r="H702" t="inlineStr">
        <is>
          <t>Protocolo</t>
        </is>
      </c>
      <c r="I702">
        <v>6</v>
      </c>
      <c r="J702" t="inlineStr">
        <is>
          <t>Drenagem Superficial</t>
        </is>
      </c>
      <c r="K702" t="inlineStr">
        <is>
          <t>6.2</t>
        </is>
      </c>
      <c r="L702" t="inlineStr">
        <is>
          <t>Dispositivo de drenagem</t>
        </is>
      </c>
      <c r="M702" t="inlineStr">
        <is>
          <t>Dispositivo não executado</t>
        </is>
      </c>
      <c r="N702" t="inlineStr">
        <is>
          <t>Pendente conclusão</t>
        </is>
      </c>
      <c r="O702" t="inlineStr">
        <is>
          <t>Tipo A</t>
        </is>
      </c>
      <c r="P702" t="inlineStr">
        <is>
          <t>62+265</t>
        </is>
      </c>
      <c r="Q702" t="inlineStr">
        <is>
          <t>62+265</t>
        </is>
      </c>
      <c r="R702" t="inlineStr">
        <is>
          <t>Aberta</t>
        </is>
      </c>
      <c r="T702" t="inlineStr">
        <is>
          <t>Aline Batista</t>
        </is>
      </c>
      <c r="U702" t="inlineStr">
        <is>
          <t>24/04/2026</t>
        </is>
      </c>
      <c r="V702" t="inlineStr">
        <is>
          <t>01/05/2026</t>
        </is>
      </c>
      <c r="W702">
        <v>40</v>
      </c>
      <c r="AA702" t="inlineStr">
        <is>
          <t>Aberta 30-60 dias</t>
        </is>
      </c>
    </row>
    <row r="703">
      <c r="A703">
        <v>701</v>
      </c>
      <c r="B703">
        <v>2</v>
      </c>
      <c r="C703" t="inlineStr">
        <is>
          <t>1.6</t>
        </is>
      </c>
      <c r="D703" t="inlineStr">
        <is>
          <t>C01/A01/C02/A02/C03/A03/C04/A04/C05/A05/C06/A06/C07/A07/C08/A08/C09/A09/C10/A10/C12/A12/A13</t>
        </is>
      </c>
      <c r="E703" t="inlineStr">
        <is>
          <t>LE/LD</t>
        </is>
      </c>
      <c r="F703" t="inlineStr">
        <is>
          <t>ATERPA</t>
        </is>
      </c>
      <c r="G703" t="inlineStr">
        <is>
          <t>CLP-012</t>
        </is>
      </c>
      <c r="H703" t="inlineStr">
        <is>
          <t>Protocolo</t>
        </is>
      </c>
      <c r="I703">
        <v>6</v>
      </c>
      <c r="J703" t="inlineStr">
        <is>
          <t>Drenagem Superficial</t>
        </is>
      </c>
      <c r="K703" t="inlineStr">
        <is>
          <t>6.3</t>
        </is>
      </c>
      <c r="L703" t="inlineStr">
        <is>
          <t>EDA 01</t>
        </is>
      </c>
      <c r="M703" t="inlineStr">
        <is>
          <t>Execuçao divergente do projeto</t>
        </is>
      </c>
      <c r="N703" t="inlineStr">
        <is>
          <t>Todas as EDAs foram executadas em desacordo com o projeto</t>
        </is>
      </c>
      <c r="O703" t="inlineStr">
        <is>
          <t>Tipo A</t>
        </is>
      </c>
      <c r="P703" t="inlineStr">
        <is>
          <t>55+050</t>
        </is>
      </c>
      <c r="Q703" t="inlineStr">
        <is>
          <t>71+150</t>
        </is>
      </c>
      <c r="R703" t="inlineStr">
        <is>
          <t>Aberta</t>
        </is>
      </c>
      <c r="T703" t="inlineStr">
        <is>
          <t>Aline Batista</t>
        </is>
      </c>
      <c r="U703" t="inlineStr">
        <is>
          <t>24/04/2026</t>
        </is>
      </c>
      <c r="V703" t="inlineStr">
        <is>
          <t>01/05/2026</t>
        </is>
      </c>
      <c r="W703">
        <v>40</v>
      </c>
      <c r="AA703" t="inlineStr">
        <is>
          <t>Aberta 30-60 dias</t>
        </is>
      </c>
    </row>
    <row r="704">
      <c r="A704">
        <v>702</v>
      </c>
      <c r="B704">
        <v>2</v>
      </c>
      <c r="C704" t="inlineStr">
        <is>
          <t>1.6</t>
        </is>
      </c>
      <c r="D704" t="inlineStr">
        <is>
          <t>C07</t>
        </is>
      </c>
      <c r="E704" t="inlineStr">
        <is>
          <t>LE/LD</t>
        </is>
      </c>
      <c r="F704" t="inlineStr">
        <is>
          <t>ATERPA</t>
        </is>
      </c>
      <c r="G704" t="inlineStr">
        <is>
          <t>CLP-012</t>
        </is>
      </c>
      <c r="H704" t="inlineStr">
        <is>
          <t>Protocolo</t>
        </is>
      </c>
      <c r="I704">
        <v>6</v>
      </c>
      <c r="J704" t="inlineStr">
        <is>
          <t>Drenagem Superficial</t>
        </is>
      </c>
      <c r="K704" t="inlineStr">
        <is>
          <t>6.3</t>
        </is>
      </c>
      <c r="L704" t="inlineStr">
        <is>
          <t>DRA/ Dissipador</t>
        </is>
      </c>
      <c r="M704" t="inlineStr">
        <is>
          <t>Obstrução do dispositivo</t>
        </is>
      </c>
      <c r="N704" t="inlineStr">
        <is>
          <t>DRA Obstruida, conformação com o talude e dissipador afogado</t>
        </is>
      </c>
      <c r="O704" t="inlineStr">
        <is>
          <t>Tipo A</t>
        </is>
      </c>
      <c r="P704" t="inlineStr">
        <is>
          <t>62+550</t>
        </is>
      </c>
      <c r="Q704" t="inlineStr">
        <is>
          <t>62+550</t>
        </is>
      </c>
      <c r="R704" t="inlineStr">
        <is>
          <t>Aberta</t>
        </is>
      </c>
      <c r="T704" t="inlineStr">
        <is>
          <t>Aline Batista</t>
        </is>
      </c>
      <c r="U704" t="inlineStr">
        <is>
          <t>24/04/2026</t>
        </is>
      </c>
      <c r="V704" t="inlineStr">
        <is>
          <t>01/05/2026</t>
        </is>
      </c>
      <c r="W704">
        <v>40</v>
      </c>
      <c r="AA704" t="inlineStr">
        <is>
          <t>Aberta 30-60 dias</t>
        </is>
      </c>
    </row>
    <row r="705">
      <c r="A705">
        <v>703</v>
      </c>
      <c r="B705">
        <v>2</v>
      </c>
      <c r="C705" t="inlineStr">
        <is>
          <t>1.6</t>
        </is>
      </c>
      <c r="D705" t="inlineStr">
        <is>
          <t>C07</t>
        </is>
      </c>
      <c r="E705" t="inlineStr">
        <is>
          <t>LE</t>
        </is>
      </c>
      <c r="F705" t="inlineStr">
        <is>
          <t>ATERPA</t>
        </is>
      </c>
      <c r="G705" t="inlineStr">
        <is>
          <t>CLP-012</t>
        </is>
      </c>
      <c r="H705" t="inlineStr">
        <is>
          <t>Protocolo</t>
        </is>
      </c>
      <c r="I705">
        <v>6</v>
      </c>
      <c r="J705" t="inlineStr">
        <is>
          <t>Drenagem Superficial</t>
        </is>
      </c>
      <c r="K705" t="inlineStr">
        <is>
          <t>6.5</t>
        </is>
      </c>
      <c r="L705" t="inlineStr">
        <is>
          <t>Drenagem superficial</t>
        </is>
      </c>
      <c r="M705" t="inlineStr">
        <is>
          <t>Dispositivo descalçado</t>
        </is>
      </c>
      <c r="N705" t="inlineStr">
        <is>
          <t>Dissipador descalçado</t>
        </is>
      </c>
      <c r="O705" t="inlineStr">
        <is>
          <t>Tipo A</t>
        </is>
      </c>
      <c r="P705" t="inlineStr">
        <is>
          <t>62+550</t>
        </is>
      </c>
      <c r="Q705" t="inlineStr">
        <is>
          <t>62+550</t>
        </is>
      </c>
      <c r="R705" t="inlineStr">
        <is>
          <t>Aberta</t>
        </is>
      </c>
      <c r="T705" t="inlineStr">
        <is>
          <t>Aline Batista</t>
        </is>
      </c>
      <c r="U705" t="inlineStr">
        <is>
          <t>24/04/2026</t>
        </is>
      </c>
      <c r="V705" t="inlineStr">
        <is>
          <t>01/05/2026</t>
        </is>
      </c>
      <c r="W705">
        <v>40</v>
      </c>
      <c r="AA705" t="inlineStr">
        <is>
          <t>Aberta 30-60 dias</t>
        </is>
      </c>
    </row>
    <row r="706">
      <c r="A706">
        <v>704</v>
      </c>
      <c r="B706">
        <v>2</v>
      </c>
      <c r="C706" t="inlineStr">
        <is>
          <t>1.6</t>
        </is>
      </c>
      <c r="D706" t="inlineStr">
        <is>
          <t>C03</t>
        </is>
      </c>
      <c r="E706" t="inlineStr">
        <is>
          <t>LE</t>
        </is>
      </c>
      <c r="F706" t="inlineStr">
        <is>
          <t>ATERPA</t>
        </is>
      </c>
      <c r="G706" t="inlineStr">
        <is>
          <t>CLP-012</t>
        </is>
      </c>
      <c r="H706" t="inlineStr">
        <is>
          <t>Protocolo</t>
        </is>
      </c>
      <c r="I706">
        <v>6</v>
      </c>
      <c r="J706" t="inlineStr">
        <is>
          <t>Drenagem Superficial</t>
        </is>
      </c>
      <c r="K706" t="inlineStr">
        <is>
          <t>6.5</t>
        </is>
      </c>
      <c r="L706" t="inlineStr">
        <is>
          <t>Drenagem superficial</t>
        </is>
      </c>
      <c r="M706" t="inlineStr">
        <is>
          <t>Dispositivo não executado</t>
        </is>
      </c>
      <c r="N706" t="inlineStr">
        <is>
          <t>Pendente execução do dissipador</t>
        </is>
      </c>
      <c r="O706" t="inlineStr">
        <is>
          <t>Tipo A</t>
        </is>
      </c>
      <c r="P706" t="inlineStr">
        <is>
          <t>56+140</t>
        </is>
      </c>
      <c r="Q706" t="inlineStr">
        <is>
          <t>56+140</t>
        </is>
      </c>
      <c r="R706" t="inlineStr">
        <is>
          <t>Aberta</t>
        </is>
      </c>
      <c r="T706" t="inlineStr">
        <is>
          <t>Aline Batista</t>
        </is>
      </c>
      <c r="U706" t="inlineStr">
        <is>
          <t>24/04/2026</t>
        </is>
      </c>
      <c r="V706" t="inlineStr">
        <is>
          <t>01/05/2026</t>
        </is>
      </c>
      <c r="W706">
        <v>40</v>
      </c>
      <c r="AA706" t="inlineStr">
        <is>
          <t>Aberta 30-60 dias</t>
        </is>
      </c>
    </row>
    <row r="707">
      <c r="A707">
        <v>705</v>
      </c>
      <c r="B707">
        <v>2</v>
      </c>
      <c r="C707" t="inlineStr">
        <is>
          <t>1.6</t>
        </is>
      </c>
      <c r="D707" t="inlineStr">
        <is>
          <t>A05</t>
        </is>
      </c>
      <c r="E707" t="inlineStr">
        <is>
          <t>LE</t>
        </is>
      </c>
      <c r="F707" t="inlineStr">
        <is>
          <t>ATERPA</t>
        </is>
      </c>
      <c r="G707" t="inlineStr">
        <is>
          <t>CLP-012</t>
        </is>
      </c>
      <c r="H707" t="inlineStr">
        <is>
          <t>Protocolo</t>
        </is>
      </c>
      <c r="I707">
        <v>6</v>
      </c>
      <c r="J707" t="inlineStr">
        <is>
          <t>Drenagem Superficial</t>
        </is>
      </c>
      <c r="K707" t="inlineStr">
        <is>
          <t>6.5</t>
        </is>
      </c>
      <c r="L707" t="inlineStr">
        <is>
          <t>Dissipador</t>
        </is>
      </c>
      <c r="M707" t="inlineStr">
        <is>
          <t>Dispositivo não executado</t>
        </is>
      </c>
      <c r="N707" t="inlineStr">
        <is>
          <t>Pendente execução da conexão da DRA com a canaleta</t>
        </is>
      </c>
      <c r="O707" t="inlineStr">
        <is>
          <t>Tipo A</t>
        </is>
      </c>
      <c r="P707" t="inlineStr">
        <is>
          <t>59+160</t>
        </is>
      </c>
      <c r="Q707" t="inlineStr">
        <is>
          <t>59+160</t>
        </is>
      </c>
      <c r="R707" t="inlineStr">
        <is>
          <t>Aberta</t>
        </is>
      </c>
      <c r="T707" t="inlineStr">
        <is>
          <t>Aline Batista</t>
        </is>
      </c>
      <c r="U707" t="inlineStr">
        <is>
          <t>24/04/2026</t>
        </is>
      </c>
      <c r="V707" t="inlineStr">
        <is>
          <t>01/05/2026</t>
        </is>
      </c>
      <c r="W707">
        <v>40</v>
      </c>
      <c r="AA707" t="inlineStr">
        <is>
          <t>Aberta 30-60 dias</t>
        </is>
      </c>
    </row>
    <row r="708">
      <c r="A708">
        <v>706</v>
      </c>
      <c r="B708">
        <v>2</v>
      </c>
      <c r="C708" t="inlineStr">
        <is>
          <t>1.6</t>
        </is>
      </c>
      <c r="D708" t="inlineStr">
        <is>
          <t>A06</t>
        </is>
      </c>
      <c r="E708" t="inlineStr">
        <is>
          <t>LD/LE</t>
        </is>
      </c>
      <c r="F708" t="inlineStr">
        <is>
          <t>ATERPA</t>
        </is>
      </c>
      <c r="G708" t="inlineStr">
        <is>
          <t>CLP-012</t>
        </is>
      </c>
      <c r="H708" t="inlineStr">
        <is>
          <t>Protocolo</t>
        </is>
      </c>
      <c r="I708">
        <v>6</v>
      </c>
      <c r="J708" t="inlineStr">
        <is>
          <t>Drenagem Superficial</t>
        </is>
      </c>
      <c r="K708" t="inlineStr">
        <is>
          <t>6.5</t>
        </is>
      </c>
      <c r="L708" t="inlineStr">
        <is>
          <t xml:space="preserve">Dissipador </t>
        </is>
      </c>
      <c r="M708" t="inlineStr">
        <is>
          <t>Erosões</t>
        </is>
      </c>
      <c r="N708" t="inlineStr">
        <is>
          <t>Dissipador com processo erosivo e descalçado</t>
        </is>
      </c>
      <c r="O708" t="inlineStr">
        <is>
          <t>Tipo A</t>
        </is>
      </c>
      <c r="P708" t="inlineStr">
        <is>
          <t>59+920</t>
        </is>
      </c>
      <c r="Q708" t="inlineStr">
        <is>
          <t>59+920</t>
        </is>
      </c>
      <c r="R708" t="inlineStr">
        <is>
          <t>Aberta</t>
        </is>
      </c>
      <c r="T708" t="inlineStr">
        <is>
          <t>Aline Batista</t>
        </is>
      </c>
      <c r="U708" t="inlineStr">
        <is>
          <t>24/04/2026</t>
        </is>
      </c>
      <c r="V708" t="inlineStr">
        <is>
          <t>01/05/2026</t>
        </is>
      </c>
      <c r="W708">
        <v>40</v>
      </c>
      <c r="AA708" t="inlineStr">
        <is>
          <t>Aberta 30-60 dias</t>
        </is>
      </c>
    </row>
    <row r="709">
      <c r="A709">
        <v>707</v>
      </c>
      <c r="B709">
        <v>2</v>
      </c>
      <c r="C709" t="inlineStr">
        <is>
          <t>1.6</t>
        </is>
      </c>
      <c r="D709" t="inlineStr">
        <is>
          <t>A06</t>
        </is>
      </c>
      <c r="E709" t="inlineStr">
        <is>
          <t>LD</t>
        </is>
      </c>
      <c r="F709" t="inlineStr">
        <is>
          <t>ATERPA</t>
        </is>
      </c>
      <c r="G709" t="inlineStr">
        <is>
          <t>CLP-012</t>
        </is>
      </c>
      <c r="H709" t="inlineStr">
        <is>
          <t>Protocolo</t>
        </is>
      </c>
      <c r="I709">
        <v>6</v>
      </c>
      <c r="J709" t="inlineStr">
        <is>
          <t>Drenagem Superficial</t>
        </is>
      </c>
      <c r="K709" t="inlineStr">
        <is>
          <t>6.5</t>
        </is>
      </c>
      <c r="L709" t="inlineStr">
        <is>
          <t>Dissipador DVS</t>
        </is>
      </c>
      <c r="M709" t="inlineStr">
        <is>
          <t>Dispositivo não executado</t>
        </is>
      </c>
      <c r="N709" t="inlineStr">
        <is>
          <t>Dissipador não executado</t>
        </is>
      </c>
      <c r="O709" t="inlineStr">
        <is>
          <t>Tipo A</t>
        </is>
      </c>
      <c r="P709" t="inlineStr">
        <is>
          <t xml:space="preserve">  61+910</t>
        </is>
      </c>
      <c r="Q709" t="inlineStr">
        <is>
          <t>62+026</t>
        </is>
      </c>
      <c r="R709" t="inlineStr">
        <is>
          <t>Aberta</t>
        </is>
      </c>
      <c r="T709" t="inlineStr">
        <is>
          <t>Aline Batista</t>
        </is>
      </c>
      <c r="U709" t="inlineStr">
        <is>
          <t>24/04/2026</t>
        </is>
      </c>
      <c r="V709" t="inlineStr">
        <is>
          <t>01/05/2026</t>
        </is>
      </c>
      <c r="W709">
        <v>40</v>
      </c>
      <c r="AA709" t="inlineStr">
        <is>
          <t>Aberta 30-60 dias</t>
        </is>
      </c>
    </row>
    <row r="710">
      <c r="A710">
        <v>708</v>
      </c>
      <c r="B710">
        <v>2</v>
      </c>
      <c r="C710" t="inlineStr">
        <is>
          <t>1.6</t>
        </is>
      </c>
      <c r="D710" t="inlineStr">
        <is>
          <t>A06</t>
        </is>
      </c>
      <c r="E710" t="inlineStr">
        <is>
          <t>LD</t>
        </is>
      </c>
      <c r="F710" t="inlineStr">
        <is>
          <t>ATERPA</t>
        </is>
      </c>
      <c r="G710" t="inlineStr">
        <is>
          <t>CLP-012</t>
        </is>
      </c>
      <c r="H710" t="inlineStr">
        <is>
          <t>Protocolo</t>
        </is>
      </c>
      <c r="I710">
        <v>6</v>
      </c>
      <c r="J710" t="inlineStr">
        <is>
          <t>Drenagem Superficial</t>
        </is>
      </c>
      <c r="K710" t="inlineStr">
        <is>
          <t>6.5</t>
        </is>
      </c>
      <c r="L710" t="inlineStr">
        <is>
          <t>DEN 02</t>
        </is>
      </c>
      <c r="M710" t="inlineStr">
        <is>
          <t>Dispositivo não executado</t>
        </is>
      </c>
      <c r="N710" t="inlineStr">
        <is>
          <t>Dissipador não executado</t>
        </is>
      </c>
      <c r="O710" t="inlineStr">
        <is>
          <t>Tipo A</t>
        </is>
      </c>
      <c r="P710" t="inlineStr">
        <is>
          <t>61+300</t>
        </is>
      </c>
      <c r="Q710" t="inlineStr">
        <is>
          <t>61+300</t>
        </is>
      </c>
      <c r="R710" t="inlineStr">
        <is>
          <t>Aberta</t>
        </is>
      </c>
      <c r="T710" t="inlineStr">
        <is>
          <t>Aline Batista</t>
        </is>
      </c>
      <c r="U710" t="inlineStr">
        <is>
          <t>24/04/2026</t>
        </is>
      </c>
      <c r="V710" t="inlineStr">
        <is>
          <t>01/05/2026</t>
        </is>
      </c>
      <c r="W710">
        <v>40</v>
      </c>
      <c r="AA710" t="inlineStr">
        <is>
          <t>Aberta 30-60 dias</t>
        </is>
      </c>
    </row>
    <row r="711">
      <c r="A711">
        <v>709</v>
      </c>
      <c r="B711">
        <v>2</v>
      </c>
      <c r="C711" t="inlineStr">
        <is>
          <t>1.6</t>
        </is>
      </c>
      <c r="D711" t="inlineStr">
        <is>
          <t>A06</t>
        </is>
      </c>
      <c r="E711" t="inlineStr">
        <is>
          <t>LD</t>
        </is>
      </c>
      <c r="F711" t="inlineStr">
        <is>
          <t>ATERPA</t>
        </is>
      </c>
      <c r="G711" t="inlineStr">
        <is>
          <t>CLP-012</t>
        </is>
      </c>
      <c r="H711" t="inlineStr">
        <is>
          <t>Protocolo</t>
        </is>
      </c>
      <c r="I711">
        <v>6</v>
      </c>
      <c r="J711" t="inlineStr">
        <is>
          <t>Drenagem Superficial</t>
        </is>
      </c>
      <c r="K711" t="inlineStr">
        <is>
          <t>6.5</t>
        </is>
      </c>
      <c r="L711" t="inlineStr">
        <is>
          <t>DEN 02</t>
        </is>
      </c>
      <c r="M711" t="inlineStr">
        <is>
          <t>Dispositivo não executado</t>
        </is>
      </c>
      <c r="N711" t="inlineStr">
        <is>
          <t>Dissipador não executado</t>
        </is>
      </c>
      <c r="O711" t="inlineStr">
        <is>
          <t>Tipo A</t>
        </is>
      </c>
      <c r="P711" t="inlineStr">
        <is>
          <t>61+490</t>
        </is>
      </c>
      <c r="Q711" t="inlineStr">
        <is>
          <t>61+490</t>
        </is>
      </c>
      <c r="R711" t="inlineStr">
        <is>
          <t>Aberta</t>
        </is>
      </c>
      <c r="T711" t="inlineStr">
        <is>
          <t>Aline Batista</t>
        </is>
      </c>
      <c r="U711" t="inlineStr">
        <is>
          <t>24/04/2026</t>
        </is>
      </c>
      <c r="V711" t="inlineStr">
        <is>
          <t>01/05/2026</t>
        </is>
      </c>
      <c r="W711">
        <v>40</v>
      </c>
      <c r="AA711" t="inlineStr">
        <is>
          <t>Aberta 30-60 dias</t>
        </is>
      </c>
    </row>
    <row r="712">
      <c r="A712">
        <v>710</v>
      </c>
      <c r="B712">
        <v>2</v>
      </c>
      <c r="C712" t="inlineStr">
        <is>
          <t>1.6</t>
        </is>
      </c>
      <c r="D712" t="inlineStr">
        <is>
          <t>A06</t>
        </is>
      </c>
      <c r="E712" t="inlineStr">
        <is>
          <t>LD/LE</t>
        </is>
      </c>
      <c r="F712" t="inlineStr">
        <is>
          <t>ATERPA</t>
        </is>
      </c>
      <c r="G712" t="inlineStr">
        <is>
          <t>CLP-012</t>
        </is>
      </c>
      <c r="H712" t="inlineStr">
        <is>
          <t>Protocolo</t>
        </is>
      </c>
      <c r="I712">
        <v>6</v>
      </c>
      <c r="J712" t="inlineStr">
        <is>
          <t>Drenagem Superficial</t>
        </is>
      </c>
      <c r="K712" t="inlineStr">
        <is>
          <t>6.5</t>
        </is>
      </c>
      <c r="L712" t="inlineStr">
        <is>
          <t>DEN 02</t>
        </is>
      </c>
      <c r="M712" t="inlineStr">
        <is>
          <t>Dispositivo não executado</t>
        </is>
      </c>
      <c r="N712" t="inlineStr">
        <is>
          <t>Dissipador não executado</t>
        </is>
      </c>
      <c r="O712" t="inlineStr">
        <is>
          <t>Tipo A</t>
        </is>
      </c>
      <c r="P712" t="inlineStr">
        <is>
          <t>61+560</t>
        </is>
      </c>
      <c r="Q712" t="inlineStr">
        <is>
          <t>61+560</t>
        </is>
      </c>
      <c r="R712" t="inlineStr">
        <is>
          <t>Aberta</t>
        </is>
      </c>
      <c r="T712" t="inlineStr">
        <is>
          <t>Aline Batista</t>
        </is>
      </c>
      <c r="U712" t="inlineStr">
        <is>
          <t>24/04/2026</t>
        </is>
      </c>
      <c r="V712" t="inlineStr">
        <is>
          <t>01/05/2026</t>
        </is>
      </c>
      <c r="W712">
        <v>40</v>
      </c>
      <c r="AA712" t="inlineStr">
        <is>
          <t>Aberta 30-60 dias</t>
        </is>
      </c>
    </row>
    <row r="713">
      <c r="A713">
        <v>711</v>
      </c>
      <c r="B713">
        <v>2</v>
      </c>
      <c r="C713" t="inlineStr">
        <is>
          <t>1.6</t>
        </is>
      </c>
      <c r="D713" t="inlineStr">
        <is>
          <t>A06</t>
        </is>
      </c>
      <c r="E713" t="inlineStr">
        <is>
          <t>LD</t>
        </is>
      </c>
      <c r="F713" t="inlineStr">
        <is>
          <t>ATERPA</t>
        </is>
      </c>
      <c r="G713" t="inlineStr">
        <is>
          <t>CLP-012</t>
        </is>
      </c>
      <c r="H713" t="inlineStr">
        <is>
          <t>Protocolo</t>
        </is>
      </c>
      <c r="I713">
        <v>6</v>
      </c>
      <c r="J713" t="inlineStr">
        <is>
          <t>Drenagem Superficial</t>
        </is>
      </c>
      <c r="K713" t="inlineStr">
        <is>
          <t>6.5</t>
        </is>
      </c>
      <c r="L713" t="inlineStr">
        <is>
          <t>DEN 02</t>
        </is>
      </c>
      <c r="M713" t="inlineStr">
        <is>
          <t>Dispositivo não executado</t>
        </is>
      </c>
      <c r="N713" t="inlineStr">
        <is>
          <t>Dissipador não executado</t>
        </is>
      </c>
      <c r="O713" t="inlineStr">
        <is>
          <t>Tipo A</t>
        </is>
      </c>
      <c r="P713" t="inlineStr">
        <is>
          <t>61+420</t>
        </is>
      </c>
      <c r="Q713" t="inlineStr">
        <is>
          <t>61+420</t>
        </is>
      </c>
      <c r="R713" t="inlineStr">
        <is>
          <t>Aberta</t>
        </is>
      </c>
      <c r="T713" t="inlineStr">
        <is>
          <t>Aline Batista</t>
        </is>
      </c>
      <c r="U713" t="inlineStr">
        <is>
          <t>24/04/2026</t>
        </is>
      </c>
      <c r="V713" t="inlineStr">
        <is>
          <t>01/05/2026</t>
        </is>
      </c>
      <c r="W713">
        <v>40</v>
      </c>
      <c r="AA713" t="inlineStr">
        <is>
          <t>Aberta 30-60 dias</t>
        </is>
      </c>
    </row>
    <row r="714">
      <c r="A714">
        <v>712</v>
      </c>
      <c r="B714">
        <v>2</v>
      </c>
      <c r="C714" t="inlineStr">
        <is>
          <t>1.6</t>
        </is>
      </c>
      <c r="D714" t="inlineStr">
        <is>
          <t>A06</t>
        </is>
      </c>
      <c r="E714" t="inlineStr">
        <is>
          <t>LD</t>
        </is>
      </c>
      <c r="F714" t="inlineStr">
        <is>
          <t>ATERPA</t>
        </is>
      </c>
      <c r="G714" t="inlineStr">
        <is>
          <t>CLP-012</t>
        </is>
      </c>
      <c r="H714" t="inlineStr">
        <is>
          <t>Protocolo</t>
        </is>
      </c>
      <c r="I714">
        <v>6</v>
      </c>
      <c r="J714" t="inlineStr">
        <is>
          <t>Drenagem Superficial</t>
        </is>
      </c>
      <c r="K714" t="inlineStr">
        <is>
          <t>6.5</t>
        </is>
      </c>
      <c r="L714" t="inlineStr">
        <is>
          <t>DVS 01</t>
        </is>
      </c>
      <c r="M714" t="inlineStr">
        <is>
          <t>Dispositivo não executado</t>
        </is>
      </c>
      <c r="N714" t="inlineStr">
        <is>
          <t>Dissipador não executado</t>
        </is>
      </c>
      <c r="O714" t="inlineStr">
        <is>
          <t>Tipo A</t>
        </is>
      </c>
      <c r="P714" t="inlineStr">
        <is>
          <t>59+664</t>
        </is>
      </c>
      <c r="Q714" t="inlineStr">
        <is>
          <t>59+664</t>
        </is>
      </c>
      <c r="R714" t="inlineStr">
        <is>
          <t>Aberta</t>
        </is>
      </c>
      <c r="T714" t="inlineStr">
        <is>
          <t>Aline Batista</t>
        </is>
      </c>
      <c r="U714" t="inlineStr">
        <is>
          <t>24/04/2026</t>
        </is>
      </c>
      <c r="V714" t="inlineStr">
        <is>
          <t>01/05/2026</t>
        </is>
      </c>
      <c r="W714">
        <v>40</v>
      </c>
      <c r="AA714" t="inlineStr">
        <is>
          <t>Aberta 30-60 dias</t>
        </is>
      </c>
    </row>
    <row r="715">
      <c r="A715">
        <v>713</v>
      </c>
      <c r="B715">
        <v>2</v>
      </c>
      <c r="C715" t="inlineStr">
        <is>
          <t>1.6</t>
        </is>
      </c>
      <c r="D715" t="inlineStr">
        <is>
          <t>A05</t>
        </is>
      </c>
      <c r="E715" t="inlineStr">
        <is>
          <t>LE</t>
        </is>
      </c>
      <c r="F715" t="inlineStr">
        <is>
          <t>ATERPA</t>
        </is>
      </c>
      <c r="G715" t="inlineStr">
        <is>
          <t>CLP-012</t>
        </is>
      </c>
      <c r="H715" t="inlineStr">
        <is>
          <t>Protocolo</t>
        </is>
      </c>
      <c r="I715">
        <v>6</v>
      </c>
      <c r="J715" t="inlineStr">
        <is>
          <t>Drenagem Superficial</t>
        </is>
      </c>
      <c r="K715" t="inlineStr">
        <is>
          <t>6.5</t>
        </is>
      </c>
      <c r="L715" t="inlineStr">
        <is>
          <t>DEN 02</t>
        </is>
      </c>
      <c r="M715" t="inlineStr">
        <is>
          <t>Dispositivo não executado</t>
        </is>
      </c>
      <c r="N715" t="inlineStr">
        <is>
          <t>Dissipador não executado</t>
        </is>
      </c>
      <c r="O715" t="inlineStr">
        <is>
          <t>Tipo A</t>
        </is>
      </c>
      <c r="P715" t="inlineStr">
        <is>
          <t>59+178</t>
        </is>
      </c>
      <c r="Q715" t="inlineStr">
        <is>
          <t>59+178</t>
        </is>
      </c>
      <c r="R715" t="inlineStr">
        <is>
          <t>Aberta</t>
        </is>
      </c>
      <c r="T715" t="inlineStr">
        <is>
          <t>Aline Batista</t>
        </is>
      </c>
      <c r="U715" t="inlineStr">
        <is>
          <t>24/04/2026</t>
        </is>
      </c>
      <c r="V715" t="inlineStr">
        <is>
          <t>01/05/2026</t>
        </is>
      </c>
      <c r="W715">
        <v>40</v>
      </c>
      <c r="AA715" t="inlineStr">
        <is>
          <t>Aberta 30-60 dias</t>
        </is>
      </c>
    </row>
    <row r="716">
      <c r="A716">
        <v>714</v>
      </c>
      <c r="B716">
        <v>2</v>
      </c>
      <c r="C716" t="inlineStr">
        <is>
          <t>1.6</t>
        </is>
      </c>
      <c r="D716" t="inlineStr">
        <is>
          <t>A12</t>
        </is>
      </c>
      <c r="E716" t="inlineStr">
        <is>
          <t>LE</t>
        </is>
      </c>
      <c r="F716" t="inlineStr">
        <is>
          <t>ATERPA</t>
        </is>
      </c>
      <c r="G716" t="inlineStr">
        <is>
          <t>CLP-012</t>
        </is>
      </c>
      <c r="H716" t="inlineStr">
        <is>
          <t>Protocolo</t>
        </is>
      </c>
      <c r="I716">
        <v>6</v>
      </c>
      <c r="J716" t="inlineStr">
        <is>
          <t>Drenagem Superficial</t>
        </is>
      </c>
      <c r="K716" t="inlineStr">
        <is>
          <t>6.5</t>
        </is>
      </c>
      <c r="L716" t="inlineStr">
        <is>
          <t>DVS 02</t>
        </is>
      </c>
      <c r="M716" t="inlineStr">
        <is>
          <t>Dispositivo não executado</t>
        </is>
      </c>
      <c r="N716" t="inlineStr">
        <is>
          <t xml:space="preserve">Dissipador não executado - 
(Acesso 59+740)</t>
        </is>
      </c>
      <c r="O716" t="inlineStr">
        <is>
          <t>Tipo A</t>
        </is>
      </c>
      <c r="P716" t="inlineStr">
        <is>
          <t>200+345</t>
        </is>
      </c>
      <c r="Q716" t="inlineStr">
        <is>
          <t>200+345</t>
        </is>
      </c>
      <c r="R716" t="inlineStr">
        <is>
          <t>Aberta</t>
        </is>
      </c>
      <c r="T716" t="inlineStr">
        <is>
          <t>Aline Batista</t>
        </is>
      </c>
      <c r="U716" t="inlineStr">
        <is>
          <t>24/04/2026</t>
        </is>
      </c>
      <c r="V716" t="inlineStr">
        <is>
          <t>01/05/2026</t>
        </is>
      </c>
      <c r="W716">
        <v>40</v>
      </c>
      <c r="AA716" t="inlineStr">
        <is>
          <t>Aberta 30-60 dias</t>
        </is>
      </c>
    </row>
    <row r="717">
      <c r="A717">
        <v>715</v>
      </c>
      <c r="B717">
        <v>2</v>
      </c>
      <c r="C717" t="inlineStr">
        <is>
          <t>1.6</t>
        </is>
      </c>
      <c r="D717" t="inlineStr">
        <is>
          <t>A09</t>
        </is>
      </c>
      <c r="E717" t="inlineStr">
        <is>
          <t>LD</t>
        </is>
      </c>
      <c r="F717" t="inlineStr">
        <is>
          <t>ATERPA</t>
        </is>
      </c>
      <c r="G717" t="inlineStr">
        <is>
          <t>CLP-012</t>
        </is>
      </c>
      <c r="H717" t="inlineStr">
        <is>
          <t>Protocolo</t>
        </is>
      </c>
      <c r="I717">
        <v>6</v>
      </c>
      <c r="J717" t="inlineStr">
        <is>
          <t>Drenagem Superficial</t>
        </is>
      </c>
      <c r="K717" t="inlineStr">
        <is>
          <t>6.5</t>
        </is>
      </c>
      <c r="L717" t="inlineStr">
        <is>
          <t>STA 01</t>
        </is>
      </c>
      <c r="M717" t="inlineStr">
        <is>
          <t>Dispositivo não executado</t>
        </is>
      </c>
      <c r="N717" t="inlineStr">
        <is>
          <t>Dissipador não executado - (Acesso 59+740) Ramo 100</t>
        </is>
      </c>
      <c r="O717" t="inlineStr">
        <is>
          <t>Tipo A</t>
        </is>
      </c>
      <c r="P717" t="inlineStr">
        <is>
          <t xml:space="preserve">100+435 </t>
        </is>
      </c>
      <c r="Q717" t="inlineStr">
        <is>
          <t xml:space="preserve">100+435 </t>
        </is>
      </c>
      <c r="R717" t="inlineStr">
        <is>
          <t>Aberta</t>
        </is>
      </c>
      <c r="T717" t="inlineStr">
        <is>
          <t>Aline Batista</t>
        </is>
      </c>
      <c r="U717" t="inlineStr">
        <is>
          <t>24/04/2026</t>
        </is>
      </c>
      <c r="V717" t="inlineStr">
        <is>
          <t>01/05/2026</t>
        </is>
      </c>
      <c r="W717">
        <v>40</v>
      </c>
      <c r="AA717" t="inlineStr">
        <is>
          <t>Aberta 30-60 dias</t>
        </is>
      </c>
    </row>
    <row r="718">
      <c r="A718">
        <v>716</v>
      </c>
      <c r="B718">
        <v>2</v>
      </c>
      <c r="C718" t="inlineStr">
        <is>
          <t>1.6</t>
        </is>
      </c>
      <c r="D718" t="inlineStr">
        <is>
          <t>A05</t>
        </is>
      </c>
      <c r="E718" t="inlineStr">
        <is>
          <t>LD</t>
        </is>
      </c>
      <c r="F718" t="inlineStr">
        <is>
          <t>ATERPA</t>
        </is>
      </c>
      <c r="G718" t="inlineStr">
        <is>
          <t>CLP-012</t>
        </is>
      </c>
      <c r="H718" t="inlineStr">
        <is>
          <t>Protocolo</t>
        </is>
      </c>
      <c r="I718">
        <v>6</v>
      </c>
      <c r="J718" t="inlineStr">
        <is>
          <t>Drenagem Superficial</t>
        </is>
      </c>
      <c r="K718" t="inlineStr">
        <is>
          <t>6.5</t>
        </is>
      </c>
      <c r="L718" t="inlineStr">
        <is>
          <t>DVS 01</t>
        </is>
      </c>
      <c r="M718" t="inlineStr">
        <is>
          <t>Dispositivo não executado</t>
        </is>
      </c>
      <c r="N718" t="inlineStr">
        <is>
          <t>Dissipador não executado</t>
        </is>
      </c>
      <c r="O718" t="inlineStr">
        <is>
          <t>Tipo A</t>
        </is>
      </c>
      <c r="P718" t="inlineStr">
        <is>
          <t>59+105</t>
        </is>
      </c>
      <c r="Q718" t="inlineStr">
        <is>
          <t>59+105</t>
        </is>
      </c>
      <c r="R718" t="inlineStr">
        <is>
          <t>Aberta</t>
        </is>
      </c>
      <c r="T718" t="inlineStr">
        <is>
          <t>Aline Batista</t>
        </is>
      </c>
      <c r="U718" t="inlineStr">
        <is>
          <t>24/04/2026</t>
        </is>
      </c>
      <c r="V718" t="inlineStr">
        <is>
          <t>01/05/2026</t>
        </is>
      </c>
      <c r="W718">
        <v>40</v>
      </c>
      <c r="AA718" t="inlineStr">
        <is>
          <t>Aberta 30-60 dias</t>
        </is>
      </c>
    </row>
    <row r="719">
      <c r="A719">
        <v>717</v>
      </c>
      <c r="B719">
        <v>2</v>
      </c>
      <c r="C719" t="inlineStr">
        <is>
          <t>1.6</t>
        </is>
      </c>
      <c r="D719" t="inlineStr">
        <is>
          <t>A06</t>
        </is>
      </c>
      <c r="E719" t="inlineStr">
        <is>
          <t>LD</t>
        </is>
      </c>
      <c r="F719" t="inlineStr">
        <is>
          <t>ATERPA</t>
        </is>
      </c>
      <c r="G719" t="inlineStr">
        <is>
          <t>CLP-012</t>
        </is>
      </c>
      <c r="H719" t="inlineStr">
        <is>
          <t>Protocolo</t>
        </is>
      </c>
      <c r="I719">
        <v>6</v>
      </c>
      <c r="J719" t="inlineStr">
        <is>
          <t>Drenagem Superficial</t>
        </is>
      </c>
      <c r="K719" t="inlineStr">
        <is>
          <t>6.1</t>
        </is>
      </c>
      <c r="L719" t="inlineStr">
        <is>
          <t>VPC 01</t>
        </is>
      </c>
      <c r="M719" t="inlineStr">
        <is>
          <t>Dispositivo não executado</t>
        </is>
      </c>
      <c r="N719" t="inlineStr">
        <is>
          <t>Valeta não executada.</t>
        </is>
      </c>
      <c r="O719" t="inlineStr">
        <is>
          <t>Tipo A</t>
        </is>
      </c>
      <c r="P719" t="inlineStr">
        <is>
          <t>60+221</t>
        </is>
      </c>
      <c r="Q719" t="inlineStr">
        <is>
          <t>60+382</t>
        </is>
      </c>
      <c r="R719" t="inlineStr">
        <is>
          <t>Aberta</t>
        </is>
      </c>
      <c r="T719" t="inlineStr">
        <is>
          <t>Aline Batista</t>
        </is>
      </c>
      <c r="U719" t="inlineStr">
        <is>
          <t>24/04/2026</t>
        </is>
      </c>
      <c r="V719" t="inlineStr">
        <is>
          <t>01/05/2026</t>
        </is>
      </c>
      <c r="W719">
        <v>40</v>
      </c>
      <c r="AA719" t="inlineStr">
        <is>
          <t>Aberta 30-60 dias</t>
        </is>
      </c>
    </row>
    <row r="720">
      <c r="A720">
        <v>718</v>
      </c>
      <c r="B720">
        <v>2</v>
      </c>
      <c r="C720" t="inlineStr">
        <is>
          <t>1.6</t>
        </is>
      </c>
      <c r="D720" t="inlineStr">
        <is>
          <t>A08</t>
        </is>
      </c>
      <c r="E720" t="inlineStr">
        <is>
          <t>LD</t>
        </is>
      </c>
      <c r="F720" t="inlineStr">
        <is>
          <t>ATERPA</t>
        </is>
      </c>
      <c r="G720" t="inlineStr">
        <is>
          <t>CLP-012</t>
        </is>
      </c>
      <c r="H720" t="inlineStr">
        <is>
          <t>Protocolo</t>
        </is>
      </c>
      <c r="I720">
        <v>6</v>
      </c>
      <c r="J720" t="inlineStr">
        <is>
          <t>Drenagem Superficial</t>
        </is>
      </c>
      <c r="K720" t="inlineStr">
        <is>
          <t>6.1</t>
        </is>
      </c>
      <c r="L720" t="inlineStr">
        <is>
          <t>CZB 01</t>
        </is>
      </c>
      <c r="M720" t="inlineStr">
        <is>
          <t>Dispositivo não executado</t>
        </is>
      </c>
      <c r="N720" t="inlineStr">
        <is>
          <t>Canaleta não executada.</t>
        </is>
      </c>
      <c r="O720" t="inlineStr">
        <is>
          <t>Tipo A</t>
        </is>
      </c>
      <c r="P720" t="inlineStr">
        <is>
          <t>64+837</t>
        </is>
      </c>
      <c r="Q720" t="inlineStr">
        <is>
          <t>64+870</t>
        </is>
      </c>
      <c r="R720" t="inlineStr">
        <is>
          <t>Aberta</t>
        </is>
      </c>
      <c r="T720" t="inlineStr">
        <is>
          <t>Aline Batista</t>
        </is>
      </c>
      <c r="U720" t="inlineStr">
        <is>
          <t>24/04/2026</t>
        </is>
      </c>
      <c r="V720" t="inlineStr">
        <is>
          <t>01/05/2026</t>
        </is>
      </c>
      <c r="W720">
        <v>40</v>
      </c>
      <c r="AA720" t="inlineStr">
        <is>
          <t>Aberta 30-60 dias</t>
        </is>
      </c>
    </row>
    <row r="721">
      <c r="A721">
        <v>719</v>
      </c>
      <c r="B721">
        <v>2</v>
      </c>
      <c r="C721" t="inlineStr">
        <is>
          <t>1.6</t>
        </is>
      </c>
      <c r="D721" t="inlineStr">
        <is>
          <t>A08</t>
        </is>
      </c>
      <c r="E721" t="inlineStr">
        <is>
          <t>LD</t>
        </is>
      </c>
      <c r="F721" t="inlineStr">
        <is>
          <t>ATERPA</t>
        </is>
      </c>
      <c r="G721" t="inlineStr">
        <is>
          <t>CLP-012</t>
        </is>
      </c>
      <c r="H721" t="inlineStr">
        <is>
          <t>Protocolo</t>
        </is>
      </c>
      <c r="I721">
        <v>6</v>
      </c>
      <c r="J721" t="inlineStr">
        <is>
          <t>Drenagem Superficial</t>
        </is>
      </c>
      <c r="K721" t="inlineStr">
        <is>
          <t>6.1</t>
        </is>
      </c>
      <c r="L721" t="inlineStr">
        <is>
          <t>CZB 01</t>
        </is>
      </c>
      <c r="M721" t="inlineStr">
        <is>
          <t>Dispositivo não executado</t>
        </is>
      </c>
      <c r="N721" t="inlineStr">
        <is>
          <t>Canaleta não executada.</t>
        </is>
      </c>
      <c r="O721" t="inlineStr">
        <is>
          <t>Tipo A</t>
        </is>
      </c>
      <c r="P721" t="inlineStr">
        <is>
          <t xml:space="preserve"> 64+821</t>
        </is>
      </c>
      <c r="Q721" t="inlineStr">
        <is>
          <t xml:space="preserve">65+053 </t>
        </is>
      </c>
      <c r="R721" t="inlineStr">
        <is>
          <t>Aberta</t>
        </is>
      </c>
      <c r="T721" t="inlineStr">
        <is>
          <t>Aline Batista</t>
        </is>
      </c>
      <c r="U721" t="inlineStr">
        <is>
          <t>24/04/2026</t>
        </is>
      </c>
      <c r="V721" t="inlineStr">
        <is>
          <t>01/05/2026</t>
        </is>
      </c>
      <c r="W721">
        <v>40</v>
      </c>
      <c r="AA721" t="inlineStr">
        <is>
          <t>Aberta 30-60 dias</t>
        </is>
      </c>
    </row>
    <row r="722">
      <c r="A722">
        <v>720</v>
      </c>
      <c r="B722">
        <v>2</v>
      </c>
      <c r="C722" t="inlineStr">
        <is>
          <t>1.6</t>
        </is>
      </c>
      <c r="D722" t="inlineStr">
        <is>
          <t>A08</t>
        </is>
      </c>
      <c r="E722" t="inlineStr">
        <is>
          <t>LD</t>
        </is>
      </c>
      <c r="F722" t="inlineStr">
        <is>
          <t>ATERPA</t>
        </is>
      </c>
      <c r="G722" t="inlineStr">
        <is>
          <t>CLP-012</t>
        </is>
      </c>
      <c r="H722" t="inlineStr">
        <is>
          <t>Protocolo</t>
        </is>
      </c>
      <c r="I722">
        <v>6</v>
      </c>
      <c r="J722" t="inlineStr">
        <is>
          <t>Drenagem Superficial</t>
        </is>
      </c>
      <c r="K722" t="inlineStr">
        <is>
          <t>6.1</t>
        </is>
      </c>
      <c r="L722" t="inlineStr">
        <is>
          <t>CZB 01</t>
        </is>
      </c>
      <c r="M722" t="inlineStr">
        <is>
          <t>Dispositivo não executado</t>
        </is>
      </c>
      <c r="N722" t="inlineStr">
        <is>
          <t>Canaleta não executada.</t>
        </is>
      </c>
      <c r="O722" t="inlineStr">
        <is>
          <t>Tipo A</t>
        </is>
      </c>
      <c r="P722" t="inlineStr">
        <is>
          <t>64+713</t>
        </is>
      </c>
      <c r="Q722" t="inlineStr">
        <is>
          <t xml:space="preserve">64+820 </t>
        </is>
      </c>
      <c r="R722" t="inlineStr">
        <is>
          <t>Aberta</t>
        </is>
      </c>
      <c r="T722" t="inlineStr">
        <is>
          <t>Aline Batista</t>
        </is>
      </c>
      <c r="U722" t="inlineStr">
        <is>
          <t>24/04/2026</t>
        </is>
      </c>
      <c r="V722" t="inlineStr">
        <is>
          <t>01/05/2026</t>
        </is>
      </c>
      <c r="W722">
        <v>40</v>
      </c>
      <c r="AA722" t="inlineStr">
        <is>
          <t>Aberta 30-60 dias</t>
        </is>
      </c>
    </row>
    <row r="723">
      <c r="A723">
        <v>721</v>
      </c>
      <c r="B723">
        <v>2</v>
      </c>
      <c r="C723" t="inlineStr">
        <is>
          <t>1.6</t>
        </is>
      </c>
      <c r="D723" t="inlineStr">
        <is>
          <t>C09</t>
        </is>
      </c>
      <c r="E723" t="inlineStr">
        <is>
          <t>LD</t>
        </is>
      </c>
      <c r="F723" t="inlineStr">
        <is>
          <t>ATERPA</t>
        </is>
      </c>
      <c r="G723" t="inlineStr">
        <is>
          <t>CLP-012</t>
        </is>
      </c>
      <c r="H723" t="inlineStr">
        <is>
          <t>Protocolo</t>
        </is>
      </c>
      <c r="I723">
        <v>6</v>
      </c>
      <c r="J723" t="inlineStr">
        <is>
          <t>Drenagem Superficial</t>
        </is>
      </c>
      <c r="K723" t="inlineStr">
        <is>
          <t>6.1</t>
        </is>
      </c>
      <c r="L723" t="inlineStr">
        <is>
          <t>CZB 03</t>
        </is>
      </c>
      <c r="M723" t="inlineStr">
        <is>
          <t>Dispositivo não executado</t>
        </is>
      </c>
      <c r="N723" t="inlineStr">
        <is>
          <t>Canaleta não executada.</t>
        </is>
      </c>
      <c r="O723" t="inlineStr">
        <is>
          <t>Tipo A</t>
        </is>
      </c>
      <c r="P723" t="inlineStr">
        <is>
          <t>65+653</t>
        </is>
      </c>
      <c r="Q723" t="inlineStr">
        <is>
          <t>64+820</t>
        </is>
      </c>
      <c r="R723" t="inlineStr">
        <is>
          <t>Aberta</t>
        </is>
      </c>
      <c r="T723" t="inlineStr">
        <is>
          <t>Aline Batista</t>
        </is>
      </c>
      <c r="U723" t="inlineStr">
        <is>
          <t>24/04/2026</t>
        </is>
      </c>
      <c r="V723" t="inlineStr">
        <is>
          <t>01/05/2026</t>
        </is>
      </c>
      <c r="W723">
        <v>40</v>
      </c>
      <c r="AA723" t="inlineStr">
        <is>
          <t>Aberta 30-60 dias</t>
        </is>
      </c>
    </row>
    <row r="724">
      <c r="A724">
        <v>722</v>
      </c>
      <c r="B724">
        <v>2</v>
      </c>
      <c r="C724" t="inlineStr">
        <is>
          <t>1.6</t>
        </is>
      </c>
      <c r="D724" t="inlineStr">
        <is>
          <t>A08</t>
        </is>
      </c>
      <c r="E724" t="inlineStr">
        <is>
          <t>LE</t>
        </is>
      </c>
      <c r="F724" t="inlineStr">
        <is>
          <t>ATERPA</t>
        </is>
      </c>
      <c r="G724" t="inlineStr">
        <is>
          <t>CLP-012</t>
        </is>
      </c>
      <c r="H724" t="inlineStr">
        <is>
          <t>Protocolo</t>
        </is>
      </c>
      <c r="I724">
        <v>6</v>
      </c>
      <c r="J724" t="inlineStr">
        <is>
          <t>Drenagem Superficial</t>
        </is>
      </c>
      <c r="K724" t="inlineStr">
        <is>
          <t>6.1</t>
        </is>
      </c>
      <c r="L724" t="inlineStr">
        <is>
          <t>CZB 01</t>
        </is>
      </c>
      <c r="M724" t="inlineStr">
        <is>
          <t>Dispositivo não executado</t>
        </is>
      </c>
      <c r="N724" t="inlineStr">
        <is>
          <t>Canaleta não executada.</t>
        </is>
      </c>
      <c r="O724" t="inlineStr">
        <is>
          <t>Tipo A</t>
        </is>
      </c>
      <c r="P724" t="inlineStr">
        <is>
          <t>64+716</t>
        </is>
      </c>
      <c r="Q724" t="inlineStr">
        <is>
          <t xml:space="preserve"> 64+845</t>
        </is>
      </c>
      <c r="R724" t="inlineStr">
        <is>
          <t>Aberta</t>
        </is>
      </c>
      <c r="T724" t="inlineStr">
        <is>
          <t>Aline Batista</t>
        </is>
      </c>
      <c r="U724" t="inlineStr">
        <is>
          <t>24/04/2026</t>
        </is>
      </c>
      <c r="V724" t="inlineStr">
        <is>
          <t>01/05/2026</t>
        </is>
      </c>
      <c r="W724">
        <v>40</v>
      </c>
      <c r="AA724" t="inlineStr">
        <is>
          <t>Aberta 30-60 dias</t>
        </is>
      </c>
    </row>
    <row r="725">
      <c r="A725">
        <v>723</v>
      </c>
      <c r="B725">
        <v>2</v>
      </c>
      <c r="C725" t="inlineStr">
        <is>
          <t>1.6</t>
        </is>
      </c>
      <c r="D725" t="inlineStr">
        <is>
          <t>A08</t>
        </is>
      </c>
      <c r="E725" t="inlineStr">
        <is>
          <t>LE</t>
        </is>
      </c>
      <c r="F725" t="inlineStr">
        <is>
          <t>ATERPA</t>
        </is>
      </c>
      <c r="G725" t="inlineStr">
        <is>
          <t>CLP-012</t>
        </is>
      </c>
      <c r="H725" t="inlineStr">
        <is>
          <t>Protocolo</t>
        </is>
      </c>
      <c r="I725">
        <v>6</v>
      </c>
      <c r="J725" t="inlineStr">
        <is>
          <t>Drenagem Superficial</t>
        </is>
      </c>
      <c r="K725" t="inlineStr">
        <is>
          <t>6.1</t>
        </is>
      </c>
      <c r="L725" t="inlineStr">
        <is>
          <t>CZB 01</t>
        </is>
      </c>
      <c r="M725" t="inlineStr">
        <is>
          <t>Dispositivo não executado</t>
        </is>
      </c>
      <c r="N725" t="inlineStr">
        <is>
          <t>Canaleta não executada.</t>
        </is>
      </c>
      <c r="O725" t="inlineStr">
        <is>
          <t>Tipo A</t>
        </is>
      </c>
      <c r="P725" t="inlineStr">
        <is>
          <t xml:space="preserve"> 64+860</t>
        </is>
      </c>
      <c r="Q725" t="inlineStr">
        <is>
          <t>64+895</t>
        </is>
      </c>
      <c r="R725" t="inlineStr">
        <is>
          <t>Aberta</t>
        </is>
      </c>
      <c r="T725" t="inlineStr">
        <is>
          <t>Aline Batista</t>
        </is>
      </c>
      <c r="U725" t="inlineStr">
        <is>
          <t>24/04/2026</t>
        </is>
      </c>
      <c r="V725" t="inlineStr">
        <is>
          <t>01/05/2026</t>
        </is>
      </c>
      <c r="W725">
        <v>40</v>
      </c>
      <c r="AA725" t="inlineStr">
        <is>
          <t>Aberta 30-60 dias</t>
        </is>
      </c>
    </row>
    <row r="726">
      <c r="A726">
        <v>724</v>
      </c>
      <c r="B726">
        <v>2</v>
      </c>
      <c r="C726" t="inlineStr">
        <is>
          <t>1.6</t>
        </is>
      </c>
      <c r="D726" t="inlineStr">
        <is>
          <t>A08</t>
        </is>
      </c>
      <c r="E726" t="inlineStr">
        <is>
          <t>LE</t>
        </is>
      </c>
      <c r="F726" t="inlineStr">
        <is>
          <t>ATERPA</t>
        </is>
      </c>
      <c r="G726" t="inlineStr">
        <is>
          <t>CLP-012</t>
        </is>
      </c>
      <c r="H726" t="inlineStr">
        <is>
          <t>Protocolo</t>
        </is>
      </c>
      <c r="I726">
        <v>6</v>
      </c>
      <c r="J726" t="inlineStr">
        <is>
          <t>Drenagem Superficial</t>
        </is>
      </c>
      <c r="K726" t="inlineStr">
        <is>
          <t>6.1</t>
        </is>
      </c>
      <c r="L726" t="inlineStr">
        <is>
          <t>CZB 01</t>
        </is>
      </c>
      <c r="M726" t="inlineStr">
        <is>
          <t>Dispositivo não executado</t>
        </is>
      </c>
      <c r="N726" t="inlineStr">
        <is>
          <t>Canaleta não executada.</t>
        </is>
      </c>
      <c r="O726" t="inlineStr">
        <is>
          <t>Tipo A</t>
        </is>
      </c>
      <c r="P726" t="inlineStr">
        <is>
          <t>65+079</t>
        </is>
      </c>
      <c r="Q726" t="inlineStr">
        <is>
          <t>64+850</t>
        </is>
      </c>
      <c r="R726" t="inlineStr">
        <is>
          <t>Aberta</t>
        </is>
      </c>
      <c r="T726" t="inlineStr">
        <is>
          <t>Aline Batista</t>
        </is>
      </c>
      <c r="U726" t="inlineStr">
        <is>
          <t>24/04/2026</t>
        </is>
      </c>
      <c r="V726" t="inlineStr">
        <is>
          <t>01/05/2026</t>
        </is>
      </c>
      <c r="W726">
        <v>40</v>
      </c>
      <c r="AA726" t="inlineStr">
        <is>
          <t>Aberta 30-60 dias</t>
        </is>
      </c>
    </row>
    <row r="727">
      <c r="A727">
        <v>725</v>
      </c>
      <c r="B727">
        <v>2</v>
      </c>
      <c r="C727" t="inlineStr">
        <is>
          <t>1.6</t>
        </is>
      </c>
      <c r="D727" t="inlineStr">
        <is>
          <t>A08</t>
        </is>
      </c>
      <c r="E727" t="inlineStr">
        <is>
          <t>LE</t>
        </is>
      </c>
      <c r="F727" t="inlineStr">
        <is>
          <t>ATERPA</t>
        </is>
      </c>
      <c r="G727" t="inlineStr">
        <is>
          <t>CLP-012</t>
        </is>
      </c>
      <c r="H727" t="inlineStr">
        <is>
          <t>Protocolo</t>
        </is>
      </c>
      <c r="I727">
        <v>6</v>
      </c>
      <c r="J727" t="inlineStr">
        <is>
          <t>Drenagem Superficial</t>
        </is>
      </c>
      <c r="K727" t="inlineStr">
        <is>
          <t>6.1</t>
        </is>
      </c>
      <c r="L727" t="inlineStr">
        <is>
          <t>CZB 03</t>
        </is>
      </c>
      <c r="M727" t="inlineStr">
        <is>
          <t>Dispositivo não executado</t>
        </is>
      </c>
      <c r="N727" t="inlineStr">
        <is>
          <t>Canaleta não executada.</t>
        </is>
      </c>
      <c r="O727" t="inlineStr">
        <is>
          <t>Tipo A</t>
        </is>
      </c>
      <c r="P727" t="inlineStr">
        <is>
          <t>64+654</t>
        </is>
      </c>
      <c r="Q727" t="inlineStr">
        <is>
          <t>64+850</t>
        </is>
      </c>
      <c r="R727" t="inlineStr">
        <is>
          <t>Aberta</t>
        </is>
      </c>
      <c r="T727" t="inlineStr">
        <is>
          <t>Aline Batista</t>
        </is>
      </c>
      <c r="U727" t="inlineStr">
        <is>
          <t>24/04/2026</t>
        </is>
      </c>
      <c r="V727" t="inlineStr">
        <is>
          <t>01/05/2026</t>
        </is>
      </c>
      <c r="W727">
        <v>40</v>
      </c>
      <c r="AA727" t="inlineStr">
        <is>
          <t>Aberta 30-60 dias</t>
        </is>
      </c>
    </row>
    <row r="728">
      <c r="A728">
        <v>726</v>
      </c>
      <c r="B728">
        <v>2</v>
      </c>
      <c r="C728" t="inlineStr">
        <is>
          <t>1.6</t>
        </is>
      </c>
      <c r="D728" t="inlineStr">
        <is>
          <t>A08</t>
        </is>
      </c>
      <c r="E728" t="inlineStr">
        <is>
          <t>LE</t>
        </is>
      </c>
      <c r="F728" t="inlineStr">
        <is>
          <t>ATERPA</t>
        </is>
      </c>
      <c r="G728" t="inlineStr">
        <is>
          <t>CLP-012</t>
        </is>
      </c>
      <c r="H728" t="inlineStr">
        <is>
          <t>Protocolo</t>
        </is>
      </c>
      <c r="I728">
        <v>6</v>
      </c>
      <c r="J728" t="inlineStr">
        <is>
          <t>Drenagem Superficial</t>
        </is>
      </c>
      <c r="K728" t="inlineStr">
        <is>
          <t>6.5</t>
        </is>
      </c>
      <c r="L728" t="inlineStr">
        <is>
          <t>DVS 02</t>
        </is>
      </c>
      <c r="M728" t="inlineStr">
        <is>
          <t>Dispositivo não executado</t>
        </is>
      </c>
      <c r="N728" t="inlineStr">
        <is>
          <t>Dissipador não executado</t>
        </is>
      </c>
      <c r="O728" t="inlineStr">
        <is>
          <t>Tipo A</t>
        </is>
      </c>
      <c r="P728" t="inlineStr">
        <is>
          <t xml:space="preserve">64+654 </t>
        </is>
      </c>
      <c r="Q728" t="inlineStr">
        <is>
          <t xml:space="preserve">64+654 </t>
        </is>
      </c>
      <c r="R728" t="inlineStr">
        <is>
          <t>Aberta</t>
        </is>
      </c>
      <c r="T728" t="inlineStr">
        <is>
          <t>Aline Batista</t>
        </is>
      </c>
      <c r="U728" t="inlineStr">
        <is>
          <t>24/04/2026</t>
        </is>
      </c>
      <c r="V728" t="inlineStr">
        <is>
          <t>01/05/2026</t>
        </is>
      </c>
      <c r="W728">
        <v>40</v>
      </c>
      <c r="AA728" t="inlineStr">
        <is>
          <t>Aberta 30-60 dias</t>
        </is>
      </c>
    </row>
    <row r="729">
      <c r="A729">
        <v>727</v>
      </c>
      <c r="B729">
        <v>2</v>
      </c>
      <c r="C729" t="inlineStr">
        <is>
          <t>1.6</t>
        </is>
      </c>
      <c r="D729" t="inlineStr">
        <is>
          <t>A06</t>
        </is>
      </c>
      <c r="E729" t="inlineStr">
        <is>
          <t>LE</t>
        </is>
      </c>
      <c r="F729" t="inlineStr">
        <is>
          <t>ATERPA</t>
        </is>
      </c>
      <c r="G729" t="inlineStr">
        <is>
          <t>CLP-012</t>
        </is>
      </c>
      <c r="H729" t="inlineStr">
        <is>
          <t>Protocolo</t>
        </is>
      </c>
      <c r="I729">
        <v>6</v>
      </c>
      <c r="J729" t="inlineStr">
        <is>
          <t>Drenagem Superficial</t>
        </is>
      </c>
      <c r="K729" t="inlineStr">
        <is>
          <t>6.'</t>
        </is>
      </c>
      <c r="L729" t="inlineStr">
        <is>
          <t>CZB 01</t>
        </is>
      </c>
      <c r="M729" t="inlineStr">
        <is>
          <t>Dispositivo não executado</t>
        </is>
      </c>
      <c r="N729" t="inlineStr">
        <is>
          <t>Canaleta não executada.</t>
        </is>
      </c>
      <c r="O729" t="inlineStr">
        <is>
          <t>Tipo A</t>
        </is>
      </c>
      <c r="P729" t="inlineStr">
        <is>
          <t>61+066</t>
        </is>
      </c>
      <c r="Q729" t="inlineStr">
        <is>
          <t>60+094</t>
        </is>
      </c>
      <c r="R729" t="inlineStr">
        <is>
          <t>Aberta</t>
        </is>
      </c>
      <c r="T729" t="inlineStr">
        <is>
          <t>Aline Batista</t>
        </is>
      </c>
      <c r="U729" t="inlineStr">
        <is>
          <t>24/04/2026</t>
        </is>
      </c>
      <c r="V729" t="inlineStr">
        <is>
          <t>01/05/2026</t>
        </is>
      </c>
      <c r="W729">
        <v>40</v>
      </c>
      <c r="AA729" t="inlineStr">
        <is>
          <t>Aberta 30-60 dias</t>
        </is>
      </c>
    </row>
    <row r="730">
      <c r="A730">
        <v>728</v>
      </c>
      <c r="B730">
        <v>2</v>
      </c>
      <c r="C730" t="inlineStr">
        <is>
          <t>1.6</t>
        </is>
      </c>
      <c r="D730" t="inlineStr">
        <is>
          <t>A06</t>
        </is>
      </c>
      <c r="E730" t="inlineStr">
        <is>
          <t>LD</t>
        </is>
      </c>
      <c r="F730" t="inlineStr">
        <is>
          <t>ATERPA</t>
        </is>
      </c>
      <c r="G730" t="inlineStr">
        <is>
          <t>CLP-012</t>
        </is>
      </c>
      <c r="H730" t="inlineStr">
        <is>
          <t>Protocolo</t>
        </is>
      </c>
      <c r="I730">
        <v>6</v>
      </c>
      <c r="J730" t="inlineStr">
        <is>
          <t>Drenagem Superficial</t>
        </is>
      </c>
      <c r="K730" t="inlineStr">
        <is>
          <t>6.5</t>
        </is>
      </c>
      <c r="L730" t="inlineStr">
        <is>
          <t>DEN 02</t>
        </is>
      </c>
      <c r="M730" t="inlineStr">
        <is>
          <t>Dispositivo não executado</t>
        </is>
      </c>
      <c r="N730" t="inlineStr">
        <is>
          <t>Dissipador não executado</t>
        </is>
      </c>
      <c r="O730" t="inlineStr">
        <is>
          <t>Tipo A</t>
        </is>
      </c>
      <c r="P730" t="inlineStr">
        <is>
          <t>61+181</t>
        </is>
      </c>
      <c r="Q730" t="inlineStr">
        <is>
          <t>61+181</t>
        </is>
      </c>
      <c r="R730" t="inlineStr">
        <is>
          <t>Aberta</t>
        </is>
      </c>
      <c r="T730" t="inlineStr">
        <is>
          <t>Aline Batista</t>
        </is>
      </c>
      <c r="U730" t="inlineStr">
        <is>
          <t>24/04/2026</t>
        </is>
      </c>
      <c r="V730" t="inlineStr">
        <is>
          <t>01/05/2026</t>
        </is>
      </c>
      <c r="W730">
        <v>40</v>
      </c>
      <c r="AA730" t="inlineStr">
        <is>
          <t>Aberta 30-60 dias</t>
        </is>
      </c>
    </row>
    <row r="731">
      <c r="A731">
        <v>729</v>
      </c>
      <c r="B731">
        <v>2</v>
      </c>
      <c r="C731" t="inlineStr">
        <is>
          <t>1.6</t>
        </is>
      </c>
      <c r="D731" t="inlineStr">
        <is>
          <t>A06</t>
        </is>
      </c>
      <c r="E731" t="inlineStr">
        <is>
          <t>LE</t>
        </is>
      </c>
      <c r="F731" t="inlineStr">
        <is>
          <t>ATERPA</t>
        </is>
      </c>
      <c r="G731" t="inlineStr">
        <is>
          <t>CLP-012</t>
        </is>
      </c>
      <c r="H731" t="inlineStr">
        <is>
          <t>Protocolo</t>
        </is>
      </c>
      <c r="I731">
        <v>6</v>
      </c>
      <c r="J731" t="inlineStr">
        <is>
          <t>Drenagem Superficial</t>
        </is>
      </c>
      <c r="K731" t="inlineStr">
        <is>
          <t>6.1</t>
        </is>
      </c>
      <c r="L731" t="inlineStr">
        <is>
          <t>CZB 03</t>
        </is>
      </c>
      <c r="M731" t="inlineStr">
        <is>
          <t>Dispositivo não executado</t>
        </is>
      </c>
      <c r="N731" t="inlineStr">
        <is>
          <t>Canaleta não executada.</t>
        </is>
      </c>
      <c r="O731" t="inlineStr">
        <is>
          <t>Tipo A</t>
        </is>
      </c>
      <c r="P731" t="inlineStr">
        <is>
          <t>60+800</t>
        </is>
      </c>
      <c r="Q731" t="inlineStr">
        <is>
          <t xml:space="preserve"> 61+066</t>
        </is>
      </c>
      <c r="R731" t="inlineStr">
        <is>
          <t>Aberta</t>
        </is>
      </c>
      <c r="T731" t="inlineStr">
        <is>
          <t>Aline Batista</t>
        </is>
      </c>
      <c r="U731" t="inlineStr">
        <is>
          <t>24/04/2026</t>
        </is>
      </c>
      <c r="V731" t="inlineStr">
        <is>
          <t>01/05/2026</t>
        </is>
      </c>
      <c r="W731">
        <v>40</v>
      </c>
      <c r="AA731" t="inlineStr">
        <is>
          <t>Aberta 30-60 dias</t>
        </is>
      </c>
    </row>
    <row r="732">
      <c r="A732">
        <v>730</v>
      </c>
      <c r="B732">
        <v>2</v>
      </c>
      <c r="C732" t="inlineStr">
        <is>
          <t>1.6</t>
        </is>
      </c>
      <c r="D732" t="inlineStr">
        <is>
          <t>C04</t>
        </is>
      </c>
      <c r="E732" t="inlineStr">
        <is>
          <t>LD</t>
        </is>
      </c>
      <c r="F732" t="inlineStr">
        <is>
          <t>ATERPA</t>
        </is>
      </c>
      <c r="G732" t="inlineStr">
        <is>
          <t>CLP-012</t>
        </is>
      </c>
      <c r="H732" t="inlineStr">
        <is>
          <t>Protocolo</t>
        </is>
      </c>
      <c r="I732">
        <v>6</v>
      </c>
      <c r="J732" t="inlineStr">
        <is>
          <t>Drenagem Superficial</t>
        </is>
      </c>
      <c r="K732" t="inlineStr">
        <is>
          <t>6.1</t>
        </is>
      </c>
      <c r="L732" t="inlineStr">
        <is>
          <t>CZB 03</t>
        </is>
      </c>
      <c r="M732" t="inlineStr">
        <is>
          <t>Dispositivo não executado</t>
        </is>
      </c>
      <c r="N732" t="inlineStr">
        <is>
          <t>Canaleta de banqueta não executada.</t>
        </is>
      </c>
      <c r="O732" t="inlineStr">
        <is>
          <t>Tipo A</t>
        </is>
      </c>
      <c r="P732" t="inlineStr">
        <is>
          <t>56+462</t>
        </is>
      </c>
      <c r="Q732" t="inlineStr">
        <is>
          <t>56+308</t>
        </is>
      </c>
      <c r="R732" t="inlineStr">
        <is>
          <t>Aberta</t>
        </is>
      </c>
      <c r="T732" t="inlineStr">
        <is>
          <t>Aline Batista</t>
        </is>
      </c>
      <c r="U732" t="inlineStr">
        <is>
          <t>24/04/2026</t>
        </is>
      </c>
      <c r="V732" t="inlineStr">
        <is>
          <t>01/05/2026</t>
        </is>
      </c>
      <c r="W732">
        <v>40</v>
      </c>
      <c r="AA732" t="inlineStr">
        <is>
          <t>Aberta 30-60 dias</t>
        </is>
      </c>
    </row>
    <row r="733">
      <c r="A733">
        <v>731</v>
      </c>
      <c r="B733">
        <v>2</v>
      </c>
      <c r="C733" t="inlineStr">
        <is>
          <t>1.6</t>
        </is>
      </c>
      <c r="D733" t="inlineStr">
        <is>
          <t>A05</t>
        </is>
      </c>
      <c r="E733" t="inlineStr">
        <is>
          <t>LD/LE</t>
        </is>
      </c>
      <c r="F733" t="inlineStr">
        <is>
          <t>ATERPA</t>
        </is>
      </c>
      <c r="G733" t="inlineStr">
        <is>
          <t>CLP-012</t>
        </is>
      </c>
      <c r="H733" t="inlineStr">
        <is>
          <t>Protocolo</t>
        </is>
      </c>
      <c r="I733">
        <v>6</v>
      </c>
      <c r="J733" t="inlineStr">
        <is>
          <t>Drenagem Superficial</t>
        </is>
      </c>
      <c r="K733" t="inlineStr">
        <is>
          <t>6.1</t>
        </is>
      </c>
      <c r="L733" t="inlineStr">
        <is>
          <t>CZB 01</t>
        </is>
      </c>
      <c r="M733" t="inlineStr">
        <is>
          <t>Dispositivo não executado</t>
        </is>
      </c>
      <c r="N733" t="inlineStr">
        <is>
          <t>Canaleta de banqueta não executada.</t>
        </is>
      </c>
      <c r="O733" t="inlineStr">
        <is>
          <t>Tipo A</t>
        </is>
      </c>
      <c r="P733" t="inlineStr">
        <is>
          <t>59+017</t>
        </is>
      </c>
      <c r="Q733" t="inlineStr">
        <is>
          <t xml:space="preserve"> 59+100</t>
        </is>
      </c>
      <c r="R733" t="inlineStr">
        <is>
          <t>Aberta</t>
        </is>
      </c>
      <c r="T733" t="inlineStr">
        <is>
          <t>Aline Batista</t>
        </is>
      </c>
      <c r="U733" t="inlineStr">
        <is>
          <t>24/04/2026</t>
        </is>
      </c>
      <c r="V733" t="inlineStr">
        <is>
          <t>01/05/2026</t>
        </is>
      </c>
      <c r="W733">
        <v>40</v>
      </c>
      <c r="AA733" t="inlineStr">
        <is>
          <t>Aberta 30-60 dias</t>
        </is>
      </c>
    </row>
    <row r="734">
      <c r="A734">
        <v>732</v>
      </c>
      <c r="B734">
        <v>2</v>
      </c>
      <c r="C734" t="inlineStr">
        <is>
          <t>1.6</t>
        </is>
      </c>
      <c r="D734" t="inlineStr">
        <is>
          <t>C12</t>
        </is>
      </c>
      <c r="E734" t="inlineStr">
        <is>
          <t>LD/LE</t>
        </is>
      </c>
      <c r="F734" t="inlineStr">
        <is>
          <t>ATERPA</t>
        </is>
      </c>
      <c r="G734" t="inlineStr">
        <is>
          <t>CLP-012</t>
        </is>
      </c>
      <c r="H734" t="inlineStr">
        <is>
          <t>Protocolo</t>
        </is>
      </c>
      <c r="I734">
        <v>6</v>
      </c>
      <c r="J734" t="inlineStr">
        <is>
          <t>Drenagem Superficial</t>
        </is>
      </c>
      <c r="K734" t="inlineStr">
        <is>
          <t>6.1</t>
        </is>
      </c>
      <c r="L734" t="inlineStr">
        <is>
          <t>Canaletas</t>
        </is>
      </c>
      <c r="M734" t="inlineStr">
        <is>
          <t>Dispositivo não executado</t>
        </is>
      </c>
      <c r="N734" t="inlineStr">
        <is>
          <t>Corte 4 com pendências de drenagem em vários pontos do km 53+600 ao 57+000.</t>
        </is>
      </c>
      <c r="O734" t="inlineStr">
        <is>
          <t>Tipo A</t>
        </is>
      </c>
      <c r="P734" t="inlineStr">
        <is>
          <t xml:space="preserve">53+600 </t>
        </is>
      </c>
      <c r="Q734" t="inlineStr">
        <is>
          <t>57+000</t>
        </is>
      </c>
      <c r="R734" t="inlineStr">
        <is>
          <t>Aberta</t>
        </is>
      </c>
      <c r="T734" t="inlineStr">
        <is>
          <t>Aline Batista</t>
        </is>
      </c>
      <c r="U734" t="inlineStr">
        <is>
          <t>24/04/2026</t>
        </is>
      </c>
      <c r="V734" t="inlineStr">
        <is>
          <t>01/05/2026</t>
        </is>
      </c>
      <c r="W734">
        <v>40</v>
      </c>
      <c r="AA734" t="inlineStr">
        <is>
          <t>Aberta 30-60 dias</t>
        </is>
      </c>
      <c r="AB734" t="inlineStr">
        <is>
          <t>GSA</t>
        </is>
      </c>
    </row>
    <row r="735">
      <c r="A735">
        <v>733</v>
      </c>
      <c r="B735">
        <v>2</v>
      </c>
      <c r="C735" t="inlineStr">
        <is>
          <t>1.6</t>
        </is>
      </c>
      <c r="D735" t="inlineStr">
        <is>
          <t>A05</t>
        </is>
      </c>
      <c r="E735" t="inlineStr">
        <is>
          <t>LE/LD</t>
        </is>
      </c>
      <c r="F735" t="inlineStr">
        <is>
          <t>ATERPA</t>
        </is>
      </c>
      <c r="G735" t="inlineStr">
        <is>
          <t>CLP-012</t>
        </is>
      </c>
      <c r="H735" t="inlineStr">
        <is>
          <t>Protocolo</t>
        </is>
      </c>
      <c r="I735">
        <v>6</v>
      </c>
      <c r="J735" t="inlineStr">
        <is>
          <t>Drenagem Superficial</t>
        </is>
      </c>
      <c r="K735" t="inlineStr">
        <is>
          <t>6.6</t>
        </is>
      </c>
      <c r="L735" t="inlineStr">
        <is>
          <t>Dissipador</t>
        </is>
      </c>
      <c r="M735" t="inlineStr">
        <is>
          <t>Dispositivo não executado</t>
        </is>
      </c>
      <c r="N735" t="inlineStr">
        <is>
          <t>Pendente execução do dissipador e erosão no pé da cerca</t>
        </is>
      </c>
      <c r="O735" t="inlineStr">
        <is>
          <t>Tipo A</t>
        </is>
      </c>
      <c r="P735" t="inlineStr">
        <is>
          <t>59+280</t>
        </is>
      </c>
      <c r="Q735" t="inlineStr">
        <is>
          <t>59+280</t>
        </is>
      </c>
      <c r="R735" t="inlineStr">
        <is>
          <t>Aberta</t>
        </is>
      </c>
      <c r="T735" t="inlineStr">
        <is>
          <t>Aline Batista</t>
        </is>
      </c>
      <c r="U735" t="inlineStr">
        <is>
          <t>24/04/2026</t>
        </is>
      </c>
      <c r="V735" t="inlineStr">
        <is>
          <t>01/05/2026</t>
        </is>
      </c>
      <c r="W735">
        <v>40</v>
      </c>
      <c r="AA735" t="inlineStr">
        <is>
          <t>Aberta 30-60 dias</t>
        </is>
      </c>
      <c r="AB735" t="inlineStr">
        <is>
          <t>GSA</t>
        </is>
      </c>
    </row>
    <row r="736">
      <c r="A736">
        <v>734</v>
      </c>
      <c r="B736">
        <v>2</v>
      </c>
      <c r="C736" t="inlineStr">
        <is>
          <t>1.6</t>
        </is>
      </c>
      <c r="D736" t="inlineStr">
        <is>
          <t>A06</t>
        </is>
      </c>
      <c r="E736" t="inlineStr">
        <is>
          <t>LE</t>
        </is>
      </c>
      <c r="F736" t="inlineStr">
        <is>
          <t>ATERPA</t>
        </is>
      </c>
      <c r="G736" t="inlineStr">
        <is>
          <t>CLP-012</t>
        </is>
      </c>
      <c r="H736" t="inlineStr">
        <is>
          <t>Protocolo</t>
        </is>
      </c>
      <c r="I736">
        <v>6</v>
      </c>
      <c r="J736" t="inlineStr">
        <is>
          <t>Drenagem Superficial</t>
        </is>
      </c>
      <c r="K736" t="inlineStr">
        <is>
          <t>6.7</t>
        </is>
      </c>
      <c r="L736" t="inlineStr">
        <is>
          <t>VPC</t>
        </is>
      </c>
      <c r="M736" t="inlineStr">
        <is>
          <t>Limpeza/ remoção de material</t>
        </is>
      </c>
      <c r="N736" t="inlineStr">
        <is>
          <t>Pendente retirada dos gabaritos</t>
        </is>
      </c>
      <c r="O736" t="inlineStr">
        <is>
          <t>Tipo A</t>
        </is>
      </c>
      <c r="P736" t="inlineStr">
        <is>
          <t>61+181</t>
        </is>
      </c>
      <c r="Q736" t="inlineStr">
        <is>
          <t>61+181</t>
        </is>
      </c>
      <c r="R736" t="inlineStr">
        <is>
          <t>Aberta</t>
        </is>
      </c>
      <c r="T736" t="inlineStr">
        <is>
          <t>Aline Batista</t>
        </is>
      </c>
      <c r="U736" t="inlineStr">
        <is>
          <t>24/04/2026</t>
        </is>
      </c>
      <c r="V736" t="inlineStr">
        <is>
          <t>01/05/2026</t>
        </is>
      </c>
      <c r="W736">
        <v>40</v>
      </c>
      <c r="AA736" t="inlineStr">
        <is>
          <t>Aberta 30-60 dias</t>
        </is>
      </c>
    </row>
    <row r="737">
      <c r="A737">
        <v>735</v>
      </c>
      <c r="B737">
        <v>2</v>
      </c>
      <c r="C737" t="inlineStr">
        <is>
          <t>1.6</t>
        </is>
      </c>
      <c r="D737" t="inlineStr">
        <is>
          <t>C04</t>
        </is>
      </c>
      <c r="E737" t="inlineStr">
        <is>
          <t>LE</t>
        </is>
      </c>
      <c r="F737" t="inlineStr">
        <is>
          <t>ATERPA</t>
        </is>
      </c>
      <c r="G737" t="inlineStr">
        <is>
          <t>CLP-012</t>
        </is>
      </c>
      <c r="H737" t="inlineStr">
        <is>
          <t>Protocolo</t>
        </is>
      </c>
      <c r="I737">
        <v>6</v>
      </c>
      <c r="J737" t="inlineStr">
        <is>
          <t>Drenagem Superficial</t>
        </is>
      </c>
      <c r="K737" t="inlineStr">
        <is>
          <t>6.7</t>
        </is>
      </c>
      <c r="L737" t="inlineStr">
        <is>
          <t>VPC</t>
        </is>
      </c>
      <c r="M737" t="inlineStr">
        <is>
          <t>Patologias no Concreto</t>
        </is>
      </c>
      <c r="N737" t="inlineStr">
        <is>
          <t>Segregação do concreto</t>
        </is>
      </c>
      <c r="O737" t="inlineStr">
        <is>
          <t>Tipo A</t>
        </is>
      </c>
      <c r="P737" t="inlineStr">
        <is>
          <t xml:space="preserve"> 56+200</t>
        </is>
      </c>
      <c r="Q737" t="inlineStr">
        <is>
          <t xml:space="preserve"> 56+200</t>
        </is>
      </c>
      <c r="R737" t="inlineStr">
        <is>
          <t>Aberta</t>
        </is>
      </c>
      <c r="T737" t="inlineStr">
        <is>
          <t>Aline Batista</t>
        </is>
      </c>
      <c r="U737" t="inlineStr">
        <is>
          <t>24/04/2026</t>
        </is>
      </c>
      <c r="V737" t="inlineStr">
        <is>
          <t>01/05/2026</t>
        </is>
      </c>
      <c r="W737">
        <v>40</v>
      </c>
      <c r="AA737" t="inlineStr">
        <is>
          <t>Aberta 30-60 dias</t>
        </is>
      </c>
    </row>
    <row r="738">
      <c r="A738">
        <v>736</v>
      </c>
      <c r="B738">
        <v>2</v>
      </c>
      <c r="C738" t="inlineStr">
        <is>
          <t>1.6</t>
        </is>
      </c>
      <c r="D738" t="inlineStr">
        <is>
          <t>C04</t>
        </is>
      </c>
      <c r="E738" t="inlineStr">
        <is>
          <t>LD/LE</t>
        </is>
      </c>
      <c r="F738" t="inlineStr">
        <is>
          <t>ATERPA</t>
        </is>
      </c>
      <c r="G738" t="inlineStr">
        <is>
          <t>CLP-012</t>
        </is>
      </c>
      <c r="H738" t="inlineStr">
        <is>
          <t>Protocolo</t>
        </is>
      </c>
      <c r="I738">
        <v>6</v>
      </c>
      <c r="J738" t="inlineStr">
        <is>
          <t>Drenagem Superficial</t>
        </is>
      </c>
      <c r="K738" t="inlineStr">
        <is>
          <t>6.7</t>
        </is>
      </c>
      <c r="L738" t="inlineStr">
        <is>
          <t>SRC</t>
        </is>
      </c>
      <c r="M738" t="inlineStr">
        <is>
          <t>Acabamento do concreto</t>
        </is>
      </c>
      <c r="N738" t="inlineStr">
        <is>
          <t>Remoção das alças</t>
        </is>
      </c>
      <c r="O738" t="inlineStr">
        <is>
          <t>Tipo A</t>
        </is>
      </c>
      <c r="P738" t="inlineStr">
        <is>
          <t>56+350</t>
        </is>
      </c>
      <c r="Q738" t="inlineStr">
        <is>
          <t>56+350</t>
        </is>
      </c>
      <c r="R738" t="inlineStr">
        <is>
          <t>Aberta</t>
        </is>
      </c>
      <c r="T738" t="inlineStr">
        <is>
          <t>Aline Batista</t>
        </is>
      </c>
      <c r="U738" t="inlineStr">
        <is>
          <t>24/04/2026</t>
        </is>
      </c>
      <c r="V738" t="inlineStr">
        <is>
          <t>01/05/2026</t>
        </is>
      </c>
      <c r="W738">
        <v>40</v>
      </c>
      <c r="AA738" t="inlineStr">
        <is>
          <t>Aberta 30-60 dias</t>
        </is>
      </c>
      <c r="AB738" t="inlineStr">
        <is>
          <t>GSA</t>
        </is>
      </c>
    </row>
    <row r="739">
      <c r="A739">
        <v>737</v>
      </c>
      <c r="B739">
        <v>2</v>
      </c>
      <c r="C739" t="inlineStr">
        <is>
          <t>1.6</t>
        </is>
      </c>
      <c r="D739" t="inlineStr">
        <is>
          <t>C04</t>
        </is>
      </c>
      <c r="E739" t="inlineStr">
        <is>
          <t>LE</t>
        </is>
      </c>
      <c r="F739" t="inlineStr">
        <is>
          <t>ATERPA</t>
        </is>
      </c>
      <c r="G739" t="inlineStr">
        <is>
          <t>CLP-012</t>
        </is>
      </c>
      <c r="H739" t="inlineStr">
        <is>
          <t>Protocolo</t>
        </is>
      </c>
      <c r="I739">
        <v>6</v>
      </c>
      <c r="J739" t="inlineStr">
        <is>
          <t>Drenagem Superficial</t>
        </is>
      </c>
      <c r="K739" t="inlineStr">
        <is>
          <t>6.7</t>
        </is>
      </c>
      <c r="L739" t="inlineStr">
        <is>
          <t>SRC</t>
        </is>
      </c>
      <c r="M739" t="inlineStr">
        <is>
          <t>Acabamento do concreto</t>
        </is>
      </c>
      <c r="N739" t="inlineStr">
        <is>
          <t>Avarias e remoção das alças</t>
        </is>
      </c>
      <c r="O739" t="inlineStr">
        <is>
          <t>Tipo A</t>
        </is>
      </c>
      <c r="P739" t="inlineStr">
        <is>
          <t>56+580</t>
        </is>
      </c>
      <c r="Q739" t="inlineStr">
        <is>
          <t xml:space="preserve">56+580 </t>
        </is>
      </c>
      <c r="R739" t="inlineStr">
        <is>
          <t>Aberta</t>
        </is>
      </c>
      <c r="T739" t="inlineStr">
        <is>
          <t>Aline Batista</t>
        </is>
      </c>
      <c r="U739" t="inlineStr">
        <is>
          <t>24/04/2026</t>
        </is>
      </c>
      <c r="V739" t="inlineStr">
        <is>
          <t>01/05/2026</t>
        </is>
      </c>
      <c r="W739">
        <v>40</v>
      </c>
      <c r="AA739" t="inlineStr">
        <is>
          <t>Aberta 30-60 dias</t>
        </is>
      </c>
      <c r="AB739" t="inlineStr">
        <is>
          <t>GSA</t>
        </is>
      </c>
    </row>
    <row r="740">
      <c r="A740">
        <v>738</v>
      </c>
      <c r="B740">
        <v>2</v>
      </c>
      <c r="C740" t="inlineStr">
        <is>
          <t>1.6</t>
        </is>
      </c>
      <c r="D740" t="inlineStr">
        <is>
          <t>C05</t>
        </is>
      </c>
      <c r="E740" t="inlineStr">
        <is>
          <t>LE</t>
        </is>
      </c>
      <c r="F740" t="inlineStr">
        <is>
          <t>ATERPA</t>
        </is>
      </c>
      <c r="G740" t="inlineStr">
        <is>
          <t>CLP-012</t>
        </is>
      </c>
      <c r="H740" t="inlineStr">
        <is>
          <t>Protocolo</t>
        </is>
      </c>
      <c r="I740">
        <v>6</v>
      </c>
      <c r="J740" t="inlineStr">
        <is>
          <t>Drenagem Superficial</t>
        </is>
      </c>
      <c r="K740" t="inlineStr">
        <is>
          <t>6.7</t>
        </is>
      </c>
      <c r="L740" t="inlineStr">
        <is>
          <t>VPC</t>
        </is>
      </c>
      <c r="M740" t="inlineStr">
        <is>
          <t>Patologias no Concreto</t>
        </is>
      </c>
      <c r="N740" t="inlineStr">
        <is>
          <t>Tricas e dispositivo descalçado</t>
        </is>
      </c>
      <c r="O740" t="inlineStr">
        <is>
          <t>Tipo A</t>
        </is>
      </c>
      <c r="P740" t="inlineStr">
        <is>
          <t>58+440</t>
        </is>
      </c>
      <c r="Q740" t="inlineStr">
        <is>
          <t>58+440</t>
        </is>
      </c>
      <c r="R740" t="inlineStr">
        <is>
          <t>Aberta</t>
        </is>
      </c>
      <c r="T740" t="inlineStr">
        <is>
          <t>Aline Batista</t>
        </is>
      </c>
      <c r="U740" t="inlineStr">
        <is>
          <t>24/04/2026</t>
        </is>
      </c>
      <c r="V740" t="inlineStr">
        <is>
          <t>01/05/2026</t>
        </is>
      </c>
      <c r="W740">
        <v>40</v>
      </c>
      <c r="AA740" t="inlineStr">
        <is>
          <t>Aberta 30-60 dias</t>
        </is>
      </c>
    </row>
    <row r="741">
      <c r="A741">
        <v>739</v>
      </c>
      <c r="B741">
        <v>2</v>
      </c>
      <c r="C741" t="inlineStr">
        <is>
          <t>1.6</t>
        </is>
      </c>
      <c r="D741" t="inlineStr">
        <is>
          <t>C05</t>
        </is>
      </c>
      <c r="E741" t="inlineStr">
        <is>
          <t>LD</t>
        </is>
      </c>
      <c r="F741" t="inlineStr">
        <is>
          <t>ATERPA</t>
        </is>
      </c>
      <c r="G741" t="inlineStr">
        <is>
          <t>CLP-012</t>
        </is>
      </c>
      <c r="H741" t="inlineStr">
        <is>
          <t>Protocolo</t>
        </is>
      </c>
      <c r="I741">
        <v>6</v>
      </c>
      <c r="J741" t="inlineStr">
        <is>
          <t>Drenagem Superficial</t>
        </is>
      </c>
      <c r="K741" t="inlineStr">
        <is>
          <t>6.7</t>
        </is>
      </c>
      <c r="L741" t="inlineStr">
        <is>
          <t>SZA</t>
        </is>
      </c>
      <c r="M741" t="inlineStr">
        <is>
          <t>Dispositivo descalçado</t>
        </is>
      </c>
      <c r="N741" t="inlineStr">
        <is>
          <t>dispositivo descalçado</t>
        </is>
      </c>
      <c r="O741" t="inlineStr">
        <is>
          <t>Tipo A</t>
        </is>
      </c>
      <c r="P741" t="inlineStr">
        <is>
          <t>58+640</t>
        </is>
      </c>
      <c r="Q741" t="inlineStr">
        <is>
          <t>58+640</t>
        </is>
      </c>
      <c r="R741" t="inlineStr">
        <is>
          <t>Aberta</t>
        </is>
      </c>
      <c r="T741" t="inlineStr">
        <is>
          <t>Aline Batista</t>
        </is>
      </c>
      <c r="U741" t="inlineStr">
        <is>
          <t>24/04/2026</t>
        </is>
      </c>
      <c r="V741" t="inlineStr">
        <is>
          <t>01/05/2026</t>
        </is>
      </c>
      <c r="W741">
        <v>40</v>
      </c>
      <c r="AA741" t="inlineStr">
        <is>
          <t>Aberta 30-60 dias</t>
        </is>
      </c>
    </row>
    <row r="742">
      <c r="A742">
        <v>740</v>
      </c>
      <c r="B742">
        <v>2</v>
      </c>
      <c r="C742" t="inlineStr">
        <is>
          <t>1.6</t>
        </is>
      </c>
      <c r="D742" t="inlineStr">
        <is>
          <t>C05</t>
        </is>
      </c>
      <c r="E742" t="inlineStr">
        <is>
          <t>LE</t>
        </is>
      </c>
      <c r="F742" t="inlineStr">
        <is>
          <t>ATERPA</t>
        </is>
      </c>
      <c r="G742" t="inlineStr">
        <is>
          <t>CLP-012</t>
        </is>
      </c>
      <c r="H742" t="inlineStr">
        <is>
          <t>Protocolo</t>
        </is>
      </c>
      <c r="I742">
        <v>6</v>
      </c>
      <c r="J742" t="inlineStr">
        <is>
          <t>Drenagem Superficial</t>
        </is>
      </c>
      <c r="K742" t="inlineStr">
        <is>
          <t>6.7</t>
        </is>
      </c>
      <c r="L742" t="inlineStr">
        <is>
          <t>Bacia</t>
        </is>
      </c>
      <c r="M742" t="inlineStr">
        <is>
          <t>Tratamento de junta</t>
        </is>
      </c>
      <c r="N742" t="inlineStr">
        <is>
          <t>Pendente tratamento de junta, passagem de agua sob a bacia de captação</t>
        </is>
      </c>
      <c r="O742" t="inlineStr">
        <is>
          <t>Tipo A</t>
        </is>
      </c>
      <c r="P742" t="inlineStr">
        <is>
          <t>58+680</t>
        </is>
      </c>
      <c r="Q742" t="inlineStr">
        <is>
          <t>58+680</t>
        </is>
      </c>
      <c r="R742" t="inlineStr">
        <is>
          <t>Aberta</t>
        </is>
      </c>
      <c r="T742" t="inlineStr">
        <is>
          <t>Aline Batista</t>
        </is>
      </c>
      <c r="U742" t="inlineStr">
        <is>
          <t>24/04/2026</t>
        </is>
      </c>
      <c r="V742" t="inlineStr">
        <is>
          <t>01/05/2026</t>
        </is>
      </c>
      <c r="W742">
        <v>40</v>
      </c>
      <c r="AA742" t="inlineStr">
        <is>
          <t>Aberta 30-60 dias</t>
        </is>
      </c>
    </row>
    <row r="743">
      <c r="A743">
        <v>741</v>
      </c>
      <c r="B743">
        <v>2</v>
      </c>
      <c r="C743" t="inlineStr">
        <is>
          <t>1.6</t>
        </is>
      </c>
      <c r="D743" t="inlineStr">
        <is>
          <t>A05</t>
        </is>
      </c>
      <c r="E743" t="inlineStr">
        <is>
          <t>LD</t>
        </is>
      </c>
      <c r="F743" t="inlineStr">
        <is>
          <t>ATERPA</t>
        </is>
      </c>
      <c r="G743" t="inlineStr">
        <is>
          <t>CLP-012</t>
        </is>
      </c>
      <c r="H743" t="inlineStr">
        <is>
          <t>Protocolo</t>
        </is>
      </c>
      <c r="I743">
        <v>6</v>
      </c>
      <c r="J743" t="inlineStr">
        <is>
          <t>Drenagem Superficial</t>
        </is>
      </c>
      <c r="K743" t="inlineStr">
        <is>
          <t>6.7</t>
        </is>
      </c>
      <c r="L743" t="inlineStr">
        <is>
          <t>SZA</t>
        </is>
      </c>
      <c r="M743" t="inlineStr">
        <is>
          <t>Acabamento do concreto</t>
        </is>
      </c>
      <c r="N743" t="inlineStr">
        <is>
          <t>Dispositivo com avarias</t>
        </is>
      </c>
      <c r="O743" t="inlineStr">
        <is>
          <t>Tipo A</t>
        </is>
      </c>
      <c r="P743" t="inlineStr">
        <is>
          <t xml:space="preserve"> 59+160</t>
        </is>
      </c>
      <c r="Q743" t="inlineStr">
        <is>
          <t xml:space="preserve"> 59+160</t>
        </is>
      </c>
      <c r="R743" t="inlineStr">
        <is>
          <t>Aberta</t>
        </is>
      </c>
      <c r="T743" t="inlineStr">
        <is>
          <t>Aline Batista</t>
        </is>
      </c>
      <c r="U743" t="inlineStr">
        <is>
          <t>24/04/2026</t>
        </is>
      </c>
      <c r="V743" t="inlineStr">
        <is>
          <t>01/05/2026</t>
        </is>
      </c>
      <c r="W743">
        <v>40</v>
      </c>
      <c r="AA743" t="inlineStr">
        <is>
          <t>Aberta 30-60 dias</t>
        </is>
      </c>
    </row>
    <row r="744">
      <c r="A744">
        <v>742</v>
      </c>
      <c r="B744">
        <v>2</v>
      </c>
      <c r="C744" t="inlineStr">
        <is>
          <t>1.6</t>
        </is>
      </c>
      <c r="D744" t="inlineStr">
        <is>
          <t>A06</t>
        </is>
      </c>
      <c r="E744" t="inlineStr">
        <is>
          <t>LD/LE</t>
        </is>
      </c>
      <c r="F744" t="inlineStr">
        <is>
          <t>ATERPA</t>
        </is>
      </c>
      <c r="G744" t="inlineStr">
        <is>
          <t>CLP-012</t>
        </is>
      </c>
      <c r="H744" t="inlineStr">
        <is>
          <t>Protocolo</t>
        </is>
      </c>
      <c r="I744">
        <v>6</v>
      </c>
      <c r="J744" t="inlineStr">
        <is>
          <t>Drenagem Superficial</t>
        </is>
      </c>
      <c r="K744" t="inlineStr">
        <is>
          <t>6.7</t>
        </is>
      </c>
      <c r="L744" t="inlineStr">
        <is>
          <t>EDA 01</t>
        </is>
      </c>
      <c r="M744" t="inlineStr">
        <is>
          <t>Execuçao divergente do projeto</t>
        </is>
      </c>
      <c r="N744" t="inlineStr">
        <is>
          <t>Dispositivo com avarias e executado desconforme projeto</t>
        </is>
      </c>
      <c r="O744" t="inlineStr">
        <is>
          <t>Tipo A</t>
        </is>
      </c>
      <c r="P744" t="inlineStr">
        <is>
          <t>60+380</t>
        </is>
      </c>
      <c r="Q744" t="inlineStr">
        <is>
          <t>60+380</t>
        </is>
      </c>
      <c r="R744" t="inlineStr">
        <is>
          <t>Aberta</t>
        </is>
      </c>
      <c r="T744" t="inlineStr">
        <is>
          <t>Aline Batista</t>
        </is>
      </c>
      <c r="U744" t="inlineStr">
        <is>
          <t>24/04/2026</t>
        </is>
      </c>
      <c r="V744" t="inlineStr">
        <is>
          <t>01/05/2026</t>
        </is>
      </c>
      <c r="W744">
        <v>40</v>
      </c>
      <c r="AA744" t="inlineStr">
        <is>
          <t>Aberta 30-60 dias</t>
        </is>
      </c>
    </row>
    <row r="745">
      <c r="A745">
        <v>743</v>
      </c>
      <c r="B745">
        <v>2</v>
      </c>
      <c r="C745" t="inlineStr">
        <is>
          <t>1.6</t>
        </is>
      </c>
      <c r="D745" t="inlineStr">
        <is>
          <t>A06</t>
        </is>
      </c>
      <c r="E745" t="inlineStr">
        <is>
          <t>LD/LE</t>
        </is>
      </c>
      <c r="F745" t="inlineStr">
        <is>
          <t>ATERPA</t>
        </is>
      </c>
      <c r="G745" t="inlineStr">
        <is>
          <t>CLP-012</t>
        </is>
      </c>
      <c r="H745" t="inlineStr">
        <is>
          <t>Protocolo</t>
        </is>
      </c>
      <c r="I745">
        <v>6</v>
      </c>
      <c r="J745" t="inlineStr">
        <is>
          <t>Drenagem Superficial</t>
        </is>
      </c>
      <c r="K745" t="inlineStr">
        <is>
          <t>6.7</t>
        </is>
      </c>
      <c r="L745" t="inlineStr">
        <is>
          <t>EDA 01</t>
        </is>
      </c>
      <c r="M745" t="inlineStr">
        <is>
          <t>Execuçao divergente do projeto</t>
        </is>
      </c>
      <c r="N745" t="inlineStr">
        <is>
          <t>Dispositivo com avarias e executado desconforme projeto e presença de erosão</t>
        </is>
      </c>
      <c r="O745" t="inlineStr">
        <is>
          <t>Tipo A</t>
        </is>
      </c>
      <c r="P745" t="inlineStr">
        <is>
          <t>60+540</t>
        </is>
      </c>
      <c r="Q745" t="inlineStr">
        <is>
          <t>60+540</t>
        </is>
      </c>
      <c r="R745" t="inlineStr">
        <is>
          <t>Aberta</t>
        </is>
      </c>
      <c r="T745" t="inlineStr">
        <is>
          <t>Aline Batista</t>
        </is>
      </c>
      <c r="U745" t="inlineStr">
        <is>
          <t>24/04/2026</t>
        </is>
      </c>
      <c r="V745" t="inlineStr">
        <is>
          <t>01/05/2026</t>
        </is>
      </c>
      <c r="W745">
        <v>40</v>
      </c>
      <c r="AA745" t="inlineStr">
        <is>
          <t>Aberta 30-60 dias</t>
        </is>
      </c>
    </row>
    <row r="746">
      <c r="A746">
        <v>744</v>
      </c>
      <c r="B746">
        <v>2</v>
      </c>
      <c r="C746" t="inlineStr">
        <is>
          <t>1.6</t>
        </is>
      </c>
      <c r="D746" t="inlineStr">
        <is>
          <t>A06</t>
        </is>
      </c>
      <c r="E746" t="inlineStr">
        <is>
          <t>LD/LE</t>
        </is>
      </c>
      <c r="F746" t="inlineStr">
        <is>
          <t>ATERPA</t>
        </is>
      </c>
      <c r="G746" t="inlineStr">
        <is>
          <t>CLP-012</t>
        </is>
      </c>
      <c r="H746" t="inlineStr">
        <is>
          <t>Protocolo</t>
        </is>
      </c>
      <c r="I746">
        <v>6</v>
      </c>
      <c r="J746" t="inlineStr">
        <is>
          <t>Drenagem Superficial</t>
        </is>
      </c>
      <c r="K746" t="inlineStr">
        <is>
          <t>6.7</t>
        </is>
      </c>
      <c r="L746" t="inlineStr">
        <is>
          <t>EDA 01</t>
        </is>
      </c>
      <c r="M746" t="inlineStr">
        <is>
          <t>Acabamento do concreto</t>
        </is>
      </c>
      <c r="N746" t="inlineStr">
        <is>
          <t>Dispositivo com avarias</t>
        </is>
      </c>
      <c r="O746" t="inlineStr">
        <is>
          <t>Tipo A</t>
        </is>
      </c>
      <c r="P746" t="inlineStr">
        <is>
          <t>60+910</t>
        </is>
      </c>
      <c r="Q746" t="inlineStr">
        <is>
          <t>60+940</t>
        </is>
      </c>
      <c r="R746" t="inlineStr">
        <is>
          <t>Aberta</t>
        </is>
      </c>
      <c r="T746" t="inlineStr">
        <is>
          <t>Aline Batista</t>
        </is>
      </c>
      <c r="U746" t="inlineStr">
        <is>
          <t>24/04/2026</t>
        </is>
      </c>
      <c r="V746" t="inlineStr">
        <is>
          <t>01/05/2026</t>
        </is>
      </c>
      <c r="W746">
        <v>40</v>
      </c>
      <c r="AA746" t="inlineStr">
        <is>
          <t>Aberta 30-60 dias</t>
        </is>
      </c>
    </row>
    <row r="747">
      <c r="A747">
        <v>745</v>
      </c>
      <c r="B747">
        <v>2</v>
      </c>
      <c r="C747" t="inlineStr">
        <is>
          <t>1.6</t>
        </is>
      </c>
      <c r="D747" t="inlineStr">
        <is>
          <t>A06</t>
        </is>
      </c>
      <c r="E747" t="inlineStr">
        <is>
          <t>LD/LE</t>
        </is>
      </c>
      <c r="F747" t="inlineStr">
        <is>
          <t>ATERPA</t>
        </is>
      </c>
      <c r="G747" t="inlineStr">
        <is>
          <t>CLP-012</t>
        </is>
      </c>
      <c r="H747" t="inlineStr">
        <is>
          <t>Protocolo</t>
        </is>
      </c>
      <c r="I747">
        <v>6</v>
      </c>
      <c r="J747" t="inlineStr">
        <is>
          <t>Drenagem Superficial</t>
        </is>
      </c>
      <c r="K747" t="inlineStr">
        <is>
          <t>6.7</t>
        </is>
      </c>
      <c r="L747" t="inlineStr">
        <is>
          <t>SZA</t>
        </is>
      </c>
      <c r="M747" t="inlineStr">
        <is>
          <t>Acabamento do concreto</t>
        </is>
      </c>
      <c r="N747" t="inlineStr">
        <is>
          <t>Dispositivo com avarias</t>
        </is>
      </c>
      <c r="O747" t="inlineStr">
        <is>
          <t>Tipo A</t>
        </is>
      </c>
      <c r="P747" t="inlineStr">
        <is>
          <t>61+115</t>
        </is>
      </c>
      <c r="Q747" t="inlineStr">
        <is>
          <t>61+225</t>
        </is>
      </c>
      <c r="R747" t="inlineStr">
        <is>
          <t>Aberta</t>
        </is>
      </c>
      <c r="T747" t="inlineStr">
        <is>
          <t>Aline Batista</t>
        </is>
      </c>
      <c r="U747" t="inlineStr">
        <is>
          <t>24/04/2026</t>
        </is>
      </c>
      <c r="V747" t="inlineStr">
        <is>
          <t>01/05/2026</t>
        </is>
      </c>
      <c r="W747">
        <v>40</v>
      </c>
      <c r="AA747" t="inlineStr">
        <is>
          <t>Aberta 30-60 dias</t>
        </is>
      </c>
      <c r="AB747" t="inlineStr">
        <is>
          <t>GSA</t>
        </is>
      </c>
    </row>
    <row r="748">
      <c r="A748">
        <v>746</v>
      </c>
      <c r="B748">
        <v>2</v>
      </c>
      <c r="C748" t="inlineStr">
        <is>
          <t>1.6</t>
        </is>
      </c>
      <c r="D748" t="inlineStr">
        <is>
          <t>A06</t>
        </is>
      </c>
      <c r="E748" t="inlineStr">
        <is>
          <t>LD/LE</t>
        </is>
      </c>
      <c r="F748" t="inlineStr">
        <is>
          <t>ATERPA</t>
        </is>
      </c>
      <c r="G748" t="inlineStr">
        <is>
          <t>CLP-012</t>
        </is>
      </c>
      <c r="H748" t="inlineStr">
        <is>
          <t>Protocolo</t>
        </is>
      </c>
      <c r="I748">
        <v>6</v>
      </c>
      <c r="J748" t="inlineStr">
        <is>
          <t>Drenagem Superficial</t>
        </is>
      </c>
      <c r="K748" t="inlineStr">
        <is>
          <t>6.7</t>
        </is>
      </c>
      <c r="L748" t="inlineStr">
        <is>
          <t>SZA</t>
        </is>
      </c>
      <c r="M748" t="inlineStr">
        <is>
          <t>Patologias no Concreto</t>
        </is>
      </c>
      <c r="N748" t="inlineStr">
        <is>
          <t>Trincas e mau acabamento</t>
        </is>
      </c>
      <c r="O748" t="inlineStr">
        <is>
          <t>Tipo A</t>
        </is>
      </c>
      <c r="P748" t="inlineStr">
        <is>
          <t>61+490</t>
        </is>
      </c>
      <c r="Q748" t="inlineStr">
        <is>
          <t>61+490</t>
        </is>
      </c>
      <c r="R748" t="inlineStr">
        <is>
          <t>Aberta</t>
        </is>
      </c>
      <c r="T748" t="inlineStr">
        <is>
          <t>Aline Batista</t>
        </is>
      </c>
      <c r="U748" t="inlineStr">
        <is>
          <t>24/04/2026</t>
        </is>
      </c>
      <c r="V748" t="inlineStr">
        <is>
          <t>01/05/2026</t>
        </is>
      </c>
      <c r="W748">
        <v>40</v>
      </c>
      <c r="AA748" t="inlineStr">
        <is>
          <t>Aberta 30-60 dias</t>
        </is>
      </c>
    </row>
    <row r="749">
      <c r="A749">
        <v>747</v>
      </c>
      <c r="B749">
        <v>2</v>
      </c>
      <c r="C749" t="inlineStr">
        <is>
          <t>1.6</t>
        </is>
      </c>
      <c r="D749" t="inlineStr">
        <is>
          <t>A06</t>
        </is>
      </c>
      <c r="E749" t="inlineStr">
        <is>
          <t>LD</t>
        </is>
      </c>
      <c r="F749" t="inlineStr">
        <is>
          <t>ATERPA</t>
        </is>
      </c>
      <c r="G749" t="inlineStr">
        <is>
          <t>CLP-012</t>
        </is>
      </c>
      <c r="H749" t="inlineStr">
        <is>
          <t>Protocolo</t>
        </is>
      </c>
      <c r="I749">
        <v>6</v>
      </c>
      <c r="J749" t="inlineStr">
        <is>
          <t>Drenagem Superficial</t>
        </is>
      </c>
      <c r="K749" t="inlineStr">
        <is>
          <t>6.7</t>
        </is>
      </c>
      <c r="L749" t="inlineStr">
        <is>
          <t>DDA</t>
        </is>
      </c>
      <c r="M749" t="inlineStr">
        <is>
          <t>Acabamento do concreto</t>
        </is>
      </c>
      <c r="N749" t="inlineStr">
        <is>
          <t>Armação exposta em varios pontos da estrutura</t>
        </is>
      </c>
      <c r="O749" t="inlineStr">
        <is>
          <t>Tipo A</t>
        </is>
      </c>
      <c r="P749" t="inlineStr">
        <is>
          <t>61+580</t>
        </is>
      </c>
      <c r="Q749" t="inlineStr">
        <is>
          <t>61+580</t>
        </is>
      </c>
      <c r="R749" t="inlineStr">
        <is>
          <t>Aberta</t>
        </is>
      </c>
      <c r="T749" t="inlineStr">
        <is>
          <t>Aline Batista</t>
        </is>
      </c>
      <c r="U749" t="inlineStr">
        <is>
          <t>24/04/2026</t>
        </is>
      </c>
      <c r="V749" t="inlineStr">
        <is>
          <t>01/05/2026</t>
        </is>
      </c>
      <c r="W749">
        <v>40</v>
      </c>
      <c r="AA749" t="inlineStr">
        <is>
          <t>Aberta 30-60 dias</t>
        </is>
      </c>
    </row>
    <row r="750">
      <c r="A750">
        <v>748</v>
      </c>
      <c r="B750">
        <v>2</v>
      </c>
      <c r="C750" t="inlineStr">
        <is>
          <t>1.6</t>
        </is>
      </c>
      <c r="D750" t="inlineStr">
        <is>
          <t>A06</t>
        </is>
      </c>
      <c r="E750" t="inlineStr">
        <is>
          <t>LD</t>
        </is>
      </c>
      <c r="F750" t="inlineStr">
        <is>
          <t>ATERPA</t>
        </is>
      </c>
      <c r="G750" t="inlineStr">
        <is>
          <t>CLP-012</t>
        </is>
      </c>
      <c r="H750" t="inlineStr">
        <is>
          <t>Protocolo</t>
        </is>
      </c>
      <c r="I750">
        <v>6</v>
      </c>
      <c r="J750" t="inlineStr">
        <is>
          <t>Drenagem Superficial</t>
        </is>
      </c>
      <c r="K750" t="inlineStr">
        <is>
          <t>6.7</t>
        </is>
      </c>
      <c r="L750" t="inlineStr">
        <is>
          <t>SZA</t>
        </is>
      </c>
      <c r="M750" t="inlineStr">
        <is>
          <t>Acabamento do concreto</t>
        </is>
      </c>
      <c r="N750" t="inlineStr">
        <is>
          <t>Avarias</t>
        </is>
      </c>
      <c r="O750" t="inlineStr">
        <is>
          <t>Tipo A</t>
        </is>
      </c>
      <c r="P750" t="inlineStr">
        <is>
          <t>61+580</t>
        </is>
      </c>
      <c r="Q750" t="inlineStr">
        <is>
          <t>61+580</t>
        </is>
      </c>
      <c r="R750" t="inlineStr">
        <is>
          <t>Aberta</t>
        </is>
      </c>
      <c r="T750" t="inlineStr">
        <is>
          <t>Aline Batista</t>
        </is>
      </c>
      <c r="U750" t="inlineStr">
        <is>
          <t>24/04/2026</t>
        </is>
      </c>
      <c r="V750" t="inlineStr">
        <is>
          <t>01/05/2026</t>
        </is>
      </c>
      <c r="W750">
        <v>40</v>
      </c>
      <c r="AA750" t="inlineStr">
        <is>
          <t>Aberta 30-60 dias</t>
        </is>
      </c>
    </row>
    <row r="751">
      <c r="A751">
        <v>749</v>
      </c>
      <c r="B751">
        <v>2</v>
      </c>
      <c r="C751" t="inlineStr">
        <is>
          <t>1.6</t>
        </is>
      </c>
      <c r="D751" t="inlineStr">
        <is>
          <t>C13</t>
        </is>
      </c>
      <c r="E751" t="inlineStr">
        <is>
          <t>LE/LD</t>
        </is>
      </c>
      <c r="F751" t="inlineStr">
        <is>
          <t>ATERPA</t>
        </is>
      </c>
      <c r="G751" t="inlineStr">
        <is>
          <t>CLP-012</t>
        </is>
      </c>
      <c r="H751" t="inlineStr">
        <is>
          <t>Protocolo</t>
        </is>
      </c>
      <c r="I751">
        <v>6</v>
      </c>
      <c r="J751" t="inlineStr">
        <is>
          <t>Drenagem Superficial</t>
        </is>
      </c>
      <c r="K751" t="inlineStr">
        <is>
          <t>6.10</t>
        </is>
      </c>
      <c r="L751" t="inlineStr">
        <is>
          <t>Dispositivo de drenagem</t>
        </is>
      </c>
      <c r="M751" t="inlineStr">
        <is>
          <t>Obstrução do dispositivo</t>
        </is>
      </c>
      <c r="N751" t="inlineStr">
        <is>
          <t>Dispositivo de drenagem obstruidos em geral</t>
        </is>
      </c>
      <c r="O751" t="inlineStr">
        <is>
          <t>Tipo A</t>
        </is>
      </c>
      <c r="P751" t="inlineStr">
        <is>
          <t xml:space="preserve"> 55+200 </t>
        </is>
      </c>
      <c r="Q751" t="inlineStr">
        <is>
          <t xml:space="preserve"> 62+600</t>
        </is>
      </c>
      <c r="R751" t="inlineStr">
        <is>
          <t>Aberta</t>
        </is>
      </c>
      <c r="T751" t="inlineStr">
        <is>
          <t>Aline Batista</t>
        </is>
      </c>
      <c r="U751" t="inlineStr">
        <is>
          <t>24/04/2026</t>
        </is>
      </c>
      <c r="V751" t="inlineStr">
        <is>
          <t>01/05/2026</t>
        </is>
      </c>
      <c r="W751">
        <v>40</v>
      </c>
      <c r="AA751" t="inlineStr">
        <is>
          <t>Aberta 30-60 dias</t>
        </is>
      </c>
      <c r="AB751" t="inlineStr">
        <is>
          <t>GSA</t>
        </is>
      </c>
    </row>
    <row r="752">
      <c r="A752">
        <v>750</v>
      </c>
      <c r="B752">
        <v>2</v>
      </c>
      <c r="C752" t="inlineStr">
        <is>
          <t>1.6</t>
        </is>
      </c>
      <c r="D752" t="inlineStr">
        <is>
          <t>C03</t>
        </is>
      </c>
      <c r="E752" t="inlineStr">
        <is>
          <t>LE/LD</t>
        </is>
      </c>
      <c r="F752" t="inlineStr">
        <is>
          <t>ATERPA</t>
        </is>
      </c>
      <c r="G752" t="inlineStr">
        <is>
          <t>CLP-012</t>
        </is>
      </c>
      <c r="H752" t="inlineStr">
        <is>
          <t>Protocolo</t>
        </is>
      </c>
      <c r="I752">
        <v>6</v>
      </c>
      <c r="J752" t="inlineStr">
        <is>
          <t>Drenagem Superficial</t>
        </is>
      </c>
      <c r="K752" t="inlineStr">
        <is>
          <t>6.10</t>
        </is>
      </c>
      <c r="L752" t="inlineStr">
        <is>
          <t>Dispositivo de drenagem</t>
        </is>
      </c>
      <c r="M752" t="inlineStr">
        <is>
          <t>Acúmulo de água</t>
        </is>
      </c>
      <c r="N752" t="inlineStr">
        <is>
          <t>Acumulo de agua no dispositivo</t>
        </is>
      </c>
      <c r="O752" t="inlineStr">
        <is>
          <t>Tipo A</t>
        </is>
      </c>
      <c r="P752" t="inlineStr">
        <is>
          <t>56+180</t>
        </is>
      </c>
      <c r="Q752" t="inlineStr">
        <is>
          <t>56+180</t>
        </is>
      </c>
      <c r="R752" t="inlineStr">
        <is>
          <t>Aberta</t>
        </is>
      </c>
      <c r="T752" t="inlineStr">
        <is>
          <t>Aline Batista</t>
        </is>
      </c>
      <c r="U752" t="inlineStr">
        <is>
          <t>24/04/2026</t>
        </is>
      </c>
      <c r="V752" t="inlineStr">
        <is>
          <t>01/05/2026</t>
        </is>
      </c>
      <c r="W752">
        <v>40</v>
      </c>
      <c r="AA752" t="inlineStr">
        <is>
          <t>Aberta 30-60 dias</t>
        </is>
      </c>
    </row>
    <row r="753">
      <c r="A753">
        <v>751</v>
      </c>
      <c r="B753">
        <v>2</v>
      </c>
      <c r="C753" t="inlineStr">
        <is>
          <t>1.6</t>
        </is>
      </c>
      <c r="D753" t="inlineStr">
        <is>
          <t>C04</t>
        </is>
      </c>
      <c r="E753" t="inlineStr">
        <is>
          <t>LE</t>
        </is>
      </c>
      <c r="F753" t="inlineStr">
        <is>
          <t>ATERPA</t>
        </is>
      </c>
      <c r="G753" t="inlineStr">
        <is>
          <t>CLP-012</t>
        </is>
      </c>
      <c r="H753" t="inlineStr">
        <is>
          <t>Protocolo</t>
        </is>
      </c>
      <c r="I753">
        <v>6</v>
      </c>
      <c r="J753" t="inlineStr">
        <is>
          <t>Drenagem Superficial</t>
        </is>
      </c>
      <c r="K753" t="inlineStr">
        <is>
          <t>6.10</t>
        </is>
      </c>
      <c r="L753" t="inlineStr">
        <is>
          <t>VPC</t>
        </is>
      </c>
      <c r="M753" t="inlineStr">
        <is>
          <t>Obstrução do dispositivo</t>
        </is>
      </c>
      <c r="N753" t="inlineStr">
        <is>
          <t>Dispositivo obstruido e falha na concretagem</t>
        </is>
      </c>
      <c r="O753" t="inlineStr">
        <is>
          <t>Tipo A</t>
        </is>
      </c>
      <c r="P753" t="inlineStr">
        <is>
          <t>56+200</t>
        </is>
      </c>
      <c r="Q753" t="inlineStr">
        <is>
          <t>56+200</t>
        </is>
      </c>
      <c r="R753" t="inlineStr">
        <is>
          <t>Aberta</t>
        </is>
      </c>
      <c r="T753" t="inlineStr">
        <is>
          <t>Aline Batista</t>
        </is>
      </c>
      <c r="U753" t="inlineStr">
        <is>
          <t>24/04/2026</t>
        </is>
      </c>
      <c r="V753" t="inlineStr">
        <is>
          <t>01/05/2026</t>
        </is>
      </c>
      <c r="W753">
        <v>40</v>
      </c>
      <c r="AA753" t="inlineStr">
        <is>
          <t>Aberta 30-60 dias</t>
        </is>
      </c>
    </row>
    <row r="754">
      <c r="A754">
        <v>752</v>
      </c>
      <c r="B754">
        <v>2</v>
      </c>
      <c r="C754" t="inlineStr">
        <is>
          <t>1.6</t>
        </is>
      </c>
      <c r="D754" t="inlineStr">
        <is>
          <t>C05</t>
        </is>
      </c>
      <c r="E754" t="inlineStr">
        <is>
          <t>LE</t>
        </is>
      </c>
      <c r="F754" t="inlineStr">
        <is>
          <t>ATERPA</t>
        </is>
      </c>
      <c r="G754" t="inlineStr">
        <is>
          <t>CLP-012</t>
        </is>
      </c>
      <c r="H754" t="inlineStr">
        <is>
          <t>Protocolo</t>
        </is>
      </c>
      <c r="I754">
        <v>6</v>
      </c>
      <c r="J754" t="inlineStr">
        <is>
          <t>Drenagem Superficial</t>
        </is>
      </c>
      <c r="K754">
        <v>610</v>
      </c>
      <c r="L754" t="inlineStr">
        <is>
          <t>VPC</t>
        </is>
      </c>
      <c r="M754" t="inlineStr">
        <is>
          <t>Acúmulo de água</t>
        </is>
      </c>
      <c r="N754" t="inlineStr">
        <is>
          <t>Acumulo de agua</t>
        </is>
      </c>
      <c r="O754" t="inlineStr">
        <is>
          <t>Tipo A</t>
        </is>
      </c>
      <c r="P754" t="inlineStr">
        <is>
          <t>57+740</t>
        </is>
      </c>
      <c r="Q754" t="inlineStr">
        <is>
          <t>57+740</t>
        </is>
      </c>
      <c r="R754" t="inlineStr">
        <is>
          <t>Aberta</t>
        </is>
      </c>
      <c r="T754" t="inlineStr">
        <is>
          <t>Aline Batista</t>
        </is>
      </c>
      <c r="U754" t="inlineStr">
        <is>
          <t>24/04/2026</t>
        </is>
      </c>
      <c r="V754" t="inlineStr">
        <is>
          <t>01/05/2026</t>
        </is>
      </c>
      <c r="W754">
        <v>40</v>
      </c>
      <c r="AA754" t="inlineStr">
        <is>
          <t>Aberta 30-60 dias</t>
        </is>
      </c>
      <c r="AB754" t="inlineStr">
        <is>
          <t>GSA</t>
        </is>
      </c>
    </row>
    <row r="755">
      <c r="A755">
        <v>753</v>
      </c>
      <c r="B755">
        <v>2</v>
      </c>
      <c r="C755" t="inlineStr">
        <is>
          <t>1.6</t>
        </is>
      </c>
      <c r="D755" t="inlineStr">
        <is>
          <t>C05</t>
        </is>
      </c>
      <c r="E755" t="inlineStr">
        <is>
          <t>LD/LE</t>
        </is>
      </c>
      <c r="F755" t="inlineStr">
        <is>
          <t>ATERPA</t>
        </is>
      </c>
      <c r="G755" t="inlineStr">
        <is>
          <t>CLP-012</t>
        </is>
      </c>
      <c r="H755" t="inlineStr">
        <is>
          <t>Protocolo</t>
        </is>
      </c>
      <c r="I755">
        <v>6</v>
      </c>
      <c r="J755" t="inlineStr">
        <is>
          <t>Drenagem Superficial</t>
        </is>
      </c>
      <c r="K755" t="inlineStr">
        <is>
          <t>6.10</t>
        </is>
      </c>
      <c r="L755" t="inlineStr">
        <is>
          <t>SZA</t>
        </is>
      </c>
      <c r="M755" t="inlineStr">
        <is>
          <t>Obstrução do dispositivo</t>
        </is>
      </c>
      <c r="N755" t="inlineStr">
        <is>
          <t>Dispositivo de drenagem obstruido</t>
        </is>
      </c>
      <c r="O755" t="inlineStr">
        <is>
          <t>Tipo A</t>
        </is>
      </c>
      <c r="P755" t="inlineStr">
        <is>
          <t>58+040</t>
        </is>
      </c>
      <c r="Q755" t="inlineStr">
        <is>
          <t>58+040</t>
        </is>
      </c>
      <c r="R755" t="inlineStr">
        <is>
          <t>Aberta</t>
        </is>
      </c>
      <c r="T755" t="inlineStr">
        <is>
          <t>Aline Batista</t>
        </is>
      </c>
      <c r="U755" t="inlineStr">
        <is>
          <t>24/04/2026</t>
        </is>
      </c>
      <c r="V755" t="inlineStr">
        <is>
          <t>01/05/2026</t>
        </is>
      </c>
      <c r="W755">
        <v>40</v>
      </c>
      <c r="AA755" t="inlineStr">
        <is>
          <t>Aberta 30-60 dias</t>
        </is>
      </c>
    </row>
    <row r="756">
      <c r="A756">
        <v>754</v>
      </c>
      <c r="B756">
        <v>2</v>
      </c>
      <c r="C756" t="inlineStr">
        <is>
          <t>1.6</t>
        </is>
      </c>
      <c r="D756" t="inlineStr">
        <is>
          <t>A05</t>
        </is>
      </c>
      <c r="E756" t="inlineStr">
        <is>
          <t>LD/LE</t>
        </is>
      </c>
      <c r="F756" t="inlineStr">
        <is>
          <t>ATERPA</t>
        </is>
      </c>
      <c r="G756" t="inlineStr">
        <is>
          <t>CLP-012</t>
        </is>
      </c>
      <c r="H756" t="inlineStr">
        <is>
          <t>Protocolo</t>
        </is>
      </c>
      <c r="I756">
        <v>6</v>
      </c>
      <c r="J756" t="inlineStr">
        <is>
          <t>Drenagem Superficial</t>
        </is>
      </c>
      <c r="K756" t="inlineStr">
        <is>
          <t>6.10</t>
        </is>
      </c>
      <c r="L756" t="inlineStr">
        <is>
          <t>VPC</t>
        </is>
      </c>
      <c r="M756" t="inlineStr">
        <is>
          <t>Obstrução do dispositivo</t>
        </is>
      </c>
      <c r="N756" t="inlineStr">
        <is>
          <t>Dispositivo de drenagem obstruido</t>
        </is>
      </c>
      <c r="O756" t="inlineStr">
        <is>
          <t>Tipo A</t>
        </is>
      </c>
      <c r="P756" t="inlineStr">
        <is>
          <t>58+880</t>
        </is>
      </c>
      <c r="Q756" t="inlineStr">
        <is>
          <t>58+880</t>
        </is>
      </c>
      <c r="R756" t="inlineStr">
        <is>
          <t>Aberta</t>
        </is>
      </c>
      <c r="T756" t="inlineStr">
        <is>
          <t>Aline Batista</t>
        </is>
      </c>
      <c r="U756" t="inlineStr">
        <is>
          <t>24/04/2026</t>
        </is>
      </c>
      <c r="V756" t="inlineStr">
        <is>
          <t>01/05/2026</t>
        </is>
      </c>
      <c r="W756">
        <v>40</v>
      </c>
      <c r="AA756" t="inlineStr">
        <is>
          <t>Aberta 30-60 dias</t>
        </is>
      </c>
    </row>
    <row r="757">
      <c r="A757">
        <v>755</v>
      </c>
      <c r="B757">
        <v>2</v>
      </c>
      <c r="C757" t="inlineStr">
        <is>
          <t>1.6</t>
        </is>
      </c>
      <c r="D757" t="inlineStr">
        <is>
          <t>A05</t>
        </is>
      </c>
      <c r="E757" t="inlineStr">
        <is>
          <t>LD/LE</t>
        </is>
      </c>
      <c r="F757" t="inlineStr">
        <is>
          <t>ATERPA</t>
        </is>
      </c>
      <c r="G757" t="inlineStr">
        <is>
          <t>CLP-012</t>
        </is>
      </c>
      <c r="H757" t="inlineStr">
        <is>
          <t>Protocolo</t>
        </is>
      </c>
      <c r="I757">
        <v>6</v>
      </c>
      <c r="J757" t="inlineStr">
        <is>
          <t>Drenagem Superficial</t>
        </is>
      </c>
      <c r="K757" t="inlineStr">
        <is>
          <t>6.10</t>
        </is>
      </c>
      <c r="L757" t="inlineStr">
        <is>
          <t>SZA</t>
        </is>
      </c>
      <c r="M757" t="inlineStr">
        <is>
          <t>Obstrução do dispositivo</t>
        </is>
      </c>
      <c r="N757" t="inlineStr">
        <is>
          <t>Dispositivo de drenagem obstruido</t>
        </is>
      </c>
      <c r="O757" t="inlineStr">
        <is>
          <t>Tipo A</t>
        </is>
      </c>
      <c r="P757" t="inlineStr">
        <is>
          <t>58+940</t>
        </is>
      </c>
      <c r="Q757" t="inlineStr">
        <is>
          <t>58+940</t>
        </is>
      </c>
      <c r="R757" t="inlineStr">
        <is>
          <t>Aberta</t>
        </is>
      </c>
      <c r="T757" t="inlineStr">
        <is>
          <t>Aline Batista</t>
        </is>
      </c>
      <c r="U757" t="inlineStr">
        <is>
          <t>24/04/2026</t>
        </is>
      </c>
      <c r="V757" t="inlineStr">
        <is>
          <t>01/05/2026</t>
        </is>
      </c>
      <c r="W757">
        <v>40</v>
      </c>
      <c r="AA757" t="inlineStr">
        <is>
          <t>Aberta 30-60 dias</t>
        </is>
      </c>
    </row>
    <row r="758">
      <c r="A758">
        <v>756</v>
      </c>
      <c r="B758">
        <v>2</v>
      </c>
      <c r="C758" t="inlineStr">
        <is>
          <t>1.6</t>
        </is>
      </c>
      <c r="D758" t="inlineStr">
        <is>
          <t>A06</t>
        </is>
      </c>
      <c r="E758" t="inlineStr">
        <is>
          <t>LE</t>
        </is>
      </c>
      <c r="F758" t="inlineStr">
        <is>
          <t>ATERPA</t>
        </is>
      </c>
      <c r="G758" t="inlineStr">
        <is>
          <t>CLP-012</t>
        </is>
      </c>
      <c r="H758" t="inlineStr">
        <is>
          <t>Fiscalização</t>
        </is>
      </c>
      <c r="I758">
        <v>6</v>
      </c>
      <c r="J758" t="inlineStr">
        <is>
          <t>Drenagem Superficial</t>
        </is>
      </c>
      <c r="K758" t="inlineStr">
        <is>
          <t>6.10</t>
        </is>
      </c>
      <c r="L758" t="inlineStr">
        <is>
          <t>SZA</t>
        </is>
      </c>
      <c r="M758" t="inlineStr">
        <is>
          <t>Obstrução do dispositivo</t>
        </is>
      </c>
      <c r="N758" t="inlineStr">
        <is>
          <t>Dispositivo de drenagem obstruido</t>
        </is>
      </c>
      <c r="O758" t="inlineStr">
        <is>
          <t>Tipo A</t>
        </is>
      </c>
      <c r="P758" t="inlineStr">
        <is>
          <t>59+640</t>
        </is>
      </c>
      <c r="Q758" t="inlineStr">
        <is>
          <t>59+780</t>
        </is>
      </c>
      <c r="R758" t="inlineStr">
        <is>
          <t>Aberta</t>
        </is>
      </c>
      <c r="T758" t="inlineStr">
        <is>
          <t>Aline Batista</t>
        </is>
      </c>
      <c r="U758" t="inlineStr">
        <is>
          <t>24/04/2026</t>
        </is>
      </c>
      <c r="V758" t="inlineStr">
        <is>
          <t>01/05/2026</t>
        </is>
      </c>
      <c r="W758">
        <v>40</v>
      </c>
      <c r="AA758" t="inlineStr">
        <is>
          <t>Aberta 30-60 dias</t>
        </is>
      </c>
    </row>
    <row r="759">
      <c r="A759">
        <v>757</v>
      </c>
      <c r="B759">
        <v>2</v>
      </c>
      <c r="C759" t="inlineStr">
        <is>
          <t>1.6</t>
        </is>
      </c>
      <c r="D759" t="inlineStr">
        <is>
          <t>A06</t>
        </is>
      </c>
      <c r="E759" t="inlineStr">
        <is>
          <t>LD</t>
        </is>
      </c>
      <c r="F759" t="inlineStr">
        <is>
          <t>ATERPA</t>
        </is>
      </c>
      <c r="G759" t="inlineStr">
        <is>
          <t>CLP-012</t>
        </is>
      </c>
      <c r="H759" t="inlineStr">
        <is>
          <t>Protocolo</t>
        </is>
      </c>
      <c r="I759">
        <v>6</v>
      </c>
      <c r="J759" t="inlineStr">
        <is>
          <t>Drenagem Superficial</t>
        </is>
      </c>
      <c r="K759" t="inlineStr">
        <is>
          <t>6.10</t>
        </is>
      </c>
      <c r="L759" t="inlineStr">
        <is>
          <t>DRA</t>
        </is>
      </c>
      <c r="M759" t="inlineStr">
        <is>
          <t>Obstrução do dispositivo</t>
        </is>
      </c>
      <c r="N759" t="inlineStr">
        <is>
          <t>Dispositivo de drenagem obstruido</t>
        </is>
      </c>
      <c r="O759" t="inlineStr">
        <is>
          <t>Tipo A</t>
        </is>
      </c>
      <c r="P759" t="inlineStr">
        <is>
          <t xml:space="preserve"> 59+920</t>
        </is>
      </c>
      <c r="Q759" t="inlineStr">
        <is>
          <t xml:space="preserve"> 59+920</t>
        </is>
      </c>
      <c r="R759" t="inlineStr">
        <is>
          <t>Aberta</t>
        </is>
      </c>
      <c r="T759" t="inlineStr">
        <is>
          <t>Aline Batista</t>
        </is>
      </c>
      <c r="U759" t="inlineStr">
        <is>
          <t>24/04/2026</t>
        </is>
      </c>
      <c r="V759" t="inlineStr">
        <is>
          <t>01/05/2026</t>
        </is>
      </c>
      <c r="W759">
        <v>40</v>
      </c>
      <c r="AA759" t="inlineStr">
        <is>
          <t>Aberta 30-60 dias</t>
        </is>
      </c>
      <c r="AB759" t="inlineStr">
        <is>
          <t>GSA</t>
        </is>
      </c>
    </row>
    <row r="760">
      <c r="A760">
        <v>758</v>
      </c>
      <c r="B760">
        <v>2</v>
      </c>
      <c r="C760" t="inlineStr">
        <is>
          <t>1.6</t>
        </is>
      </c>
      <c r="D760" t="inlineStr">
        <is>
          <t>A06</t>
        </is>
      </c>
      <c r="E760" t="inlineStr">
        <is>
          <t>LE/LD</t>
        </is>
      </c>
      <c r="F760" t="inlineStr">
        <is>
          <t>ATERPA</t>
        </is>
      </c>
      <c r="G760" t="inlineStr">
        <is>
          <t>CLP-012</t>
        </is>
      </c>
      <c r="H760" t="inlineStr">
        <is>
          <t>Protocolo</t>
        </is>
      </c>
      <c r="I760">
        <v>6</v>
      </c>
      <c r="J760" t="inlineStr">
        <is>
          <t>Drenagem Superficial</t>
        </is>
      </c>
      <c r="K760" t="inlineStr">
        <is>
          <t>6.10</t>
        </is>
      </c>
      <c r="L760" t="inlineStr">
        <is>
          <t>DRA</t>
        </is>
      </c>
      <c r="M760" t="inlineStr">
        <is>
          <t>Obstrução do dispositivo</t>
        </is>
      </c>
      <c r="N760" t="inlineStr">
        <is>
          <t>Dispositivo de drenagem obstruido</t>
        </is>
      </c>
      <c r="O760" t="inlineStr">
        <is>
          <t>Tipo A</t>
        </is>
      </c>
      <c r="P760" t="inlineStr">
        <is>
          <t>60+635</t>
        </is>
      </c>
      <c r="Q760" t="inlineStr">
        <is>
          <t>60+635</t>
        </is>
      </c>
      <c r="R760" t="inlineStr">
        <is>
          <t>Aberta</t>
        </is>
      </c>
      <c r="T760" t="inlineStr">
        <is>
          <t>Aline Batista</t>
        </is>
      </c>
      <c r="U760" t="inlineStr">
        <is>
          <t>24/04/2026</t>
        </is>
      </c>
      <c r="V760" t="inlineStr">
        <is>
          <t>01/05/2026</t>
        </is>
      </c>
      <c r="W760">
        <v>40</v>
      </c>
      <c r="AA760" t="inlineStr">
        <is>
          <t>Aberta 30-60 dias</t>
        </is>
      </c>
      <c r="AB760" t="inlineStr">
        <is>
          <t>GSA</t>
        </is>
      </c>
    </row>
    <row r="761">
      <c r="A761">
        <v>759</v>
      </c>
      <c r="B761">
        <v>2</v>
      </c>
      <c r="C761" t="inlineStr">
        <is>
          <t>1.6</t>
        </is>
      </c>
      <c r="D761" t="inlineStr">
        <is>
          <t>A06</t>
        </is>
      </c>
      <c r="E761" t="inlineStr">
        <is>
          <t>LE</t>
        </is>
      </c>
      <c r="F761" t="inlineStr">
        <is>
          <t>ATERPA</t>
        </is>
      </c>
      <c r="G761" t="inlineStr">
        <is>
          <t>CLP-012</t>
        </is>
      </c>
      <c r="H761" t="inlineStr">
        <is>
          <t>Protocolo</t>
        </is>
      </c>
      <c r="I761">
        <v>6</v>
      </c>
      <c r="J761" t="inlineStr">
        <is>
          <t>Drenagem Superficial</t>
        </is>
      </c>
      <c r="K761" t="inlineStr">
        <is>
          <t>6.10</t>
        </is>
      </c>
      <c r="L761" t="inlineStr">
        <is>
          <t>VPC</t>
        </is>
      </c>
      <c r="M761" t="inlineStr">
        <is>
          <t>Obstrução do dispositivo</t>
        </is>
      </c>
      <c r="N761" t="inlineStr">
        <is>
          <t>Dispositivo de drenagem obstruido e remoção de mourões</t>
        </is>
      </c>
      <c r="O761" t="inlineStr">
        <is>
          <t>Tipo A</t>
        </is>
      </c>
      <c r="P761" t="inlineStr">
        <is>
          <t>62+040</t>
        </is>
      </c>
      <c r="Q761" t="inlineStr">
        <is>
          <t>62+040</t>
        </is>
      </c>
      <c r="R761" t="inlineStr">
        <is>
          <t>Aberta</t>
        </is>
      </c>
      <c r="T761" t="inlineStr">
        <is>
          <t>Aline Batista</t>
        </is>
      </c>
      <c r="U761" t="inlineStr">
        <is>
          <t>24/04/2026</t>
        </is>
      </c>
      <c r="V761" t="inlineStr">
        <is>
          <t>01/05/2026</t>
        </is>
      </c>
      <c r="W761">
        <v>40</v>
      </c>
      <c r="AA761" t="inlineStr">
        <is>
          <t>Aberta 30-60 dias</t>
        </is>
      </c>
    </row>
    <row r="762">
      <c r="A762">
        <v>760</v>
      </c>
      <c r="B762">
        <v>2</v>
      </c>
      <c r="C762" t="inlineStr">
        <is>
          <t>1.6</t>
        </is>
      </c>
      <c r="D762" t="inlineStr">
        <is>
          <t>C07</t>
        </is>
      </c>
      <c r="E762" t="inlineStr">
        <is>
          <t>LE</t>
        </is>
      </c>
      <c r="F762" t="inlineStr">
        <is>
          <t>ATERPA</t>
        </is>
      </c>
      <c r="G762" t="inlineStr">
        <is>
          <t>CLP-012</t>
        </is>
      </c>
      <c r="H762" t="inlineStr">
        <is>
          <t>Protocolo</t>
        </is>
      </c>
      <c r="I762">
        <v>6</v>
      </c>
      <c r="J762" t="inlineStr">
        <is>
          <t>Drenagem Superficial</t>
        </is>
      </c>
      <c r="K762" t="inlineStr">
        <is>
          <t>6.10</t>
        </is>
      </c>
      <c r="L762" t="inlineStr">
        <is>
          <t>VPC</t>
        </is>
      </c>
      <c r="M762" t="inlineStr">
        <is>
          <t>Obstrução do dispositivo</t>
        </is>
      </c>
      <c r="N762" t="inlineStr">
        <is>
          <t>Dispositivo de drenagem obstruido</t>
        </is>
      </c>
      <c r="O762" t="inlineStr">
        <is>
          <t>Tipo A</t>
        </is>
      </c>
      <c r="P762" t="inlineStr">
        <is>
          <t>62+580</t>
        </is>
      </c>
      <c r="Q762" t="inlineStr">
        <is>
          <t>62+580</t>
        </is>
      </c>
      <c r="R762" t="inlineStr">
        <is>
          <t>Aberta</t>
        </is>
      </c>
      <c r="T762" t="inlineStr">
        <is>
          <t>Aline Batista</t>
        </is>
      </c>
      <c r="U762" t="inlineStr">
        <is>
          <t>24/04/2026</t>
        </is>
      </c>
      <c r="V762" t="inlineStr">
        <is>
          <t>01/05/2026</t>
        </is>
      </c>
      <c r="W762">
        <v>40</v>
      </c>
      <c r="AA762" t="inlineStr">
        <is>
          <t>Aberta 30-60 dias</t>
        </is>
      </c>
    </row>
    <row r="763">
      <c r="A763">
        <v>761</v>
      </c>
      <c r="B763">
        <v>2</v>
      </c>
      <c r="C763" t="inlineStr">
        <is>
          <t>1.6</t>
        </is>
      </c>
      <c r="D763" t="inlineStr">
        <is>
          <t>A06</t>
        </is>
      </c>
      <c r="E763" t="inlineStr">
        <is>
          <t>LD</t>
        </is>
      </c>
      <c r="F763" t="inlineStr">
        <is>
          <t>ATERPA</t>
        </is>
      </c>
      <c r="G763" t="inlineStr">
        <is>
          <t>CLP-012</t>
        </is>
      </c>
      <c r="H763" t="inlineStr">
        <is>
          <t>Protocolo</t>
        </is>
      </c>
      <c r="I763">
        <v>6</v>
      </c>
      <c r="J763" t="inlineStr">
        <is>
          <t>Drenagem Superficial</t>
        </is>
      </c>
      <c r="K763" t="inlineStr">
        <is>
          <t>6.1</t>
        </is>
      </c>
      <c r="L763" t="inlineStr">
        <is>
          <t>CZB 01</t>
        </is>
      </c>
      <c r="M763" t="inlineStr">
        <is>
          <t>Dispositivo não executado</t>
        </is>
      </c>
      <c r="N763" t="inlineStr">
        <is>
          <t>Canaleta de banqueta não executada.</t>
        </is>
      </c>
      <c r="O763" t="inlineStr">
        <is>
          <t>Tipo A</t>
        </is>
      </c>
      <c r="P763" t="inlineStr">
        <is>
          <t xml:space="preserve"> 61+730</t>
        </is>
      </c>
      <c r="Q763" t="inlineStr">
        <is>
          <t xml:space="preserve"> 61+730</t>
        </is>
      </c>
      <c r="R763" t="inlineStr">
        <is>
          <t>Aberta</t>
        </is>
      </c>
      <c r="T763" t="inlineStr">
        <is>
          <t>Aline Batista</t>
        </is>
      </c>
      <c r="U763" t="inlineStr">
        <is>
          <t>24/04/2026</t>
        </is>
      </c>
      <c r="V763" t="inlineStr">
        <is>
          <t>01/05/2026</t>
        </is>
      </c>
      <c r="W763">
        <v>40</v>
      </c>
      <c r="AA763" t="inlineStr">
        <is>
          <t>Aberta 30-60 dias</t>
        </is>
      </c>
    </row>
    <row r="764">
      <c r="A764">
        <v>762</v>
      </c>
      <c r="B764">
        <v>2</v>
      </c>
      <c r="C764" t="inlineStr">
        <is>
          <t>1.6</t>
        </is>
      </c>
      <c r="D764" t="inlineStr">
        <is>
          <t>A06</t>
        </is>
      </c>
      <c r="E764" t="inlineStr">
        <is>
          <t>LD</t>
        </is>
      </c>
      <c r="F764" t="inlineStr">
        <is>
          <t>ATERPA</t>
        </is>
      </c>
      <c r="G764" t="inlineStr">
        <is>
          <t>CLP-012</t>
        </is>
      </c>
      <c r="H764" t="inlineStr">
        <is>
          <t>Protocolo</t>
        </is>
      </c>
      <c r="I764">
        <v>6</v>
      </c>
      <c r="J764" t="inlineStr">
        <is>
          <t>Drenagem Superficial</t>
        </is>
      </c>
      <c r="K764" t="inlineStr">
        <is>
          <t>6.1</t>
        </is>
      </c>
      <c r="L764" t="inlineStr">
        <is>
          <t>CZB 01</t>
        </is>
      </c>
      <c r="M764" t="inlineStr">
        <is>
          <t>Dispositivo não executado</t>
        </is>
      </c>
      <c r="N764" t="inlineStr">
        <is>
          <t>Canaleta de banqueta não executada.</t>
        </is>
      </c>
      <c r="O764" t="inlineStr">
        <is>
          <t>Tipo A</t>
        </is>
      </c>
      <c r="P764" t="inlineStr">
        <is>
          <t>61+915</t>
        </is>
      </c>
      <c r="Q764" t="inlineStr">
        <is>
          <t>61+915</t>
        </is>
      </c>
      <c r="R764" t="inlineStr">
        <is>
          <t>Aberta</t>
        </is>
      </c>
      <c r="T764" t="inlineStr">
        <is>
          <t>Aline Batista</t>
        </is>
      </c>
      <c r="U764" t="inlineStr">
        <is>
          <t>24/04/2026</t>
        </is>
      </c>
      <c r="V764" t="inlineStr">
        <is>
          <t>01/05/2026</t>
        </is>
      </c>
      <c r="W764">
        <v>40</v>
      </c>
      <c r="AA764" t="inlineStr">
        <is>
          <t>Aberta 30-60 dias</t>
        </is>
      </c>
    </row>
    <row r="765">
      <c r="A765">
        <v>763</v>
      </c>
      <c r="B765">
        <v>2</v>
      </c>
      <c r="C765" t="inlineStr">
        <is>
          <t>1.6</t>
        </is>
      </c>
      <c r="D765" t="inlineStr">
        <is>
          <t>A06</t>
        </is>
      </c>
      <c r="E765" t="inlineStr">
        <is>
          <t>LD</t>
        </is>
      </c>
      <c r="F765" t="inlineStr">
        <is>
          <t>ATERPA</t>
        </is>
      </c>
      <c r="G765" t="inlineStr">
        <is>
          <t>CLP-012</t>
        </is>
      </c>
      <c r="H765" t="inlineStr">
        <is>
          <t>Protocolo</t>
        </is>
      </c>
      <c r="I765">
        <v>6</v>
      </c>
      <c r="J765" t="inlineStr">
        <is>
          <t>Drenagem Superficial</t>
        </is>
      </c>
      <c r="K765" t="inlineStr">
        <is>
          <t>6.1</t>
        </is>
      </c>
      <c r="L765" t="inlineStr">
        <is>
          <t>DVS 01</t>
        </is>
      </c>
      <c r="M765" t="inlineStr">
        <is>
          <t>Dispositivo não executado</t>
        </is>
      </c>
      <c r="N765" t="inlineStr">
        <is>
          <t>Canaleta de banqueta não executada.</t>
        </is>
      </c>
      <c r="O765" t="inlineStr">
        <is>
          <t>Tipo A</t>
        </is>
      </c>
      <c r="P765" t="inlineStr">
        <is>
          <t xml:space="preserve"> 61+910</t>
        </is>
      </c>
      <c r="Q765" t="inlineStr">
        <is>
          <t xml:space="preserve"> 61+910</t>
        </is>
      </c>
      <c r="R765" t="inlineStr">
        <is>
          <t>Aberta</t>
        </is>
      </c>
      <c r="T765" t="inlineStr">
        <is>
          <t>Aline Batista</t>
        </is>
      </c>
      <c r="U765" t="inlineStr">
        <is>
          <t>24/04/2026</t>
        </is>
      </c>
      <c r="V765" t="inlineStr">
        <is>
          <t>01/05/2026</t>
        </is>
      </c>
      <c r="W765">
        <v>40</v>
      </c>
      <c r="AA765" t="inlineStr">
        <is>
          <t>Aberta 30-60 dias</t>
        </is>
      </c>
    </row>
    <row r="766">
      <c r="A766">
        <v>764</v>
      </c>
      <c r="B766">
        <v>2</v>
      </c>
      <c r="C766" t="inlineStr">
        <is>
          <t>1.6</t>
        </is>
      </c>
      <c r="D766" t="inlineStr">
        <is>
          <t>A06</t>
        </is>
      </c>
      <c r="E766" t="inlineStr">
        <is>
          <t>LD</t>
        </is>
      </c>
      <c r="F766" t="inlineStr">
        <is>
          <t>ATERPA</t>
        </is>
      </c>
      <c r="G766" t="inlineStr">
        <is>
          <t>CLP-012</t>
        </is>
      </c>
      <c r="H766" t="inlineStr">
        <is>
          <t>Protocolo</t>
        </is>
      </c>
      <c r="I766">
        <v>6</v>
      </c>
      <c r="J766" t="inlineStr">
        <is>
          <t>Drenagem Superficial</t>
        </is>
      </c>
      <c r="K766" t="inlineStr">
        <is>
          <t>6.1</t>
        </is>
      </c>
      <c r="L766" t="inlineStr">
        <is>
          <t>CZB 01</t>
        </is>
      </c>
      <c r="M766" t="inlineStr">
        <is>
          <t>Dispositivo não executado</t>
        </is>
      </c>
      <c r="N766" t="inlineStr">
        <is>
          <t>Canaleta de banqueta não executada.</t>
        </is>
      </c>
      <c r="O766" t="inlineStr">
        <is>
          <t>Tipo A</t>
        </is>
      </c>
      <c r="P766" t="inlineStr">
        <is>
          <t xml:space="preserve">61+786 </t>
        </is>
      </c>
      <c r="Q766" t="inlineStr">
        <is>
          <t xml:space="preserve">61+786 </t>
        </is>
      </c>
      <c r="R766" t="inlineStr">
        <is>
          <t>Aberta</t>
        </is>
      </c>
      <c r="T766" t="inlineStr">
        <is>
          <t>Aline Batista</t>
        </is>
      </c>
      <c r="U766" t="inlineStr">
        <is>
          <t>24/04/2026</t>
        </is>
      </c>
      <c r="V766" t="inlineStr">
        <is>
          <t>01/05/2026</t>
        </is>
      </c>
      <c r="W766">
        <v>40</v>
      </c>
      <c r="AA766" t="inlineStr">
        <is>
          <t>Aberta 30-60 dias</t>
        </is>
      </c>
    </row>
    <row r="767">
      <c r="A767">
        <v>765</v>
      </c>
      <c r="B767">
        <v>2</v>
      </c>
      <c r="C767" t="inlineStr">
        <is>
          <t>1.6</t>
        </is>
      </c>
      <c r="D767" t="inlineStr">
        <is>
          <t>A05</t>
        </is>
      </c>
      <c r="E767" t="inlineStr">
        <is>
          <t>LE/LD</t>
        </is>
      </c>
      <c r="F767" t="inlineStr">
        <is>
          <t>ATERPA</t>
        </is>
      </c>
      <c r="G767" t="inlineStr">
        <is>
          <t>CLP-012</t>
        </is>
      </c>
      <c r="H767" t="inlineStr">
        <is>
          <t>Protocolo</t>
        </is>
      </c>
      <c r="I767">
        <v>6</v>
      </c>
      <c r="J767" t="inlineStr">
        <is>
          <t>Drenagem Superficial</t>
        </is>
      </c>
      <c r="K767" t="inlineStr">
        <is>
          <t>6.1</t>
        </is>
      </c>
      <c r="L767" t="inlineStr">
        <is>
          <t>CZB</t>
        </is>
      </c>
      <c r="M767" t="inlineStr">
        <is>
          <t>Dispositivo não executado</t>
        </is>
      </c>
      <c r="N767" t="inlineStr">
        <is>
          <t>Dispositivo não executado em diversos trechos</t>
        </is>
      </c>
      <c r="O767" t="inlineStr">
        <is>
          <t>Tipo A</t>
        </is>
      </c>
      <c r="P767" t="inlineStr">
        <is>
          <t xml:space="preserve"> 59+002</t>
        </is>
      </c>
      <c r="Q767" t="inlineStr">
        <is>
          <t xml:space="preserve">61+560 </t>
        </is>
      </c>
      <c r="R767" t="inlineStr">
        <is>
          <t>Aberta</t>
        </is>
      </c>
      <c r="T767" t="inlineStr">
        <is>
          <t>Aline Batista</t>
        </is>
      </c>
      <c r="U767" t="inlineStr">
        <is>
          <t>24/04/2026</t>
        </is>
      </c>
      <c r="V767" t="inlineStr">
        <is>
          <t>01/05/2026</t>
        </is>
      </c>
      <c r="W767">
        <v>40</v>
      </c>
      <c r="AA767" t="inlineStr">
        <is>
          <t>Aberta 30-60 dias</t>
        </is>
      </c>
    </row>
    <row r="768">
      <c r="A768">
        <v>766</v>
      </c>
      <c r="B768">
        <v>2</v>
      </c>
      <c r="C768" t="inlineStr">
        <is>
          <t>1.6</t>
        </is>
      </c>
      <c r="D768" t="inlineStr">
        <is>
          <t>C07</t>
        </is>
      </c>
      <c r="E768" t="inlineStr">
        <is>
          <t>LE/LD</t>
        </is>
      </c>
      <c r="F768" t="inlineStr">
        <is>
          <t>ATERPA</t>
        </is>
      </c>
      <c r="G768" t="inlineStr">
        <is>
          <t>CLP-012</t>
        </is>
      </c>
      <c r="H768" t="inlineStr">
        <is>
          <t>Fiscalização</t>
        </is>
      </c>
      <c r="I768">
        <v>6</v>
      </c>
      <c r="J768" t="inlineStr">
        <is>
          <t>Drenagem Superficial</t>
        </is>
      </c>
      <c r="K768" t="inlineStr">
        <is>
          <t>6.10</t>
        </is>
      </c>
      <c r="L768" t="inlineStr">
        <is>
          <t>Canaleta</t>
        </is>
      </c>
      <c r="M768" t="inlineStr">
        <is>
          <t>Obstrução do dispositivo</t>
        </is>
      </c>
      <c r="N768" t="inlineStr">
        <is>
          <t>Drenagem obstruída por acúmulo de material</t>
        </is>
      </c>
      <c r="O768" t="inlineStr">
        <is>
          <t>Tipo A</t>
        </is>
      </c>
      <c r="P768" t="inlineStr">
        <is>
          <t>62+600</t>
        </is>
      </c>
      <c r="Q768" t="inlineStr">
        <is>
          <t>62+600</t>
        </is>
      </c>
      <c r="R768" t="inlineStr">
        <is>
          <t>Aberta</t>
        </is>
      </c>
      <c r="T768" t="inlineStr">
        <is>
          <t>Aline Batista</t>
        </is>
      </c>
      <c r="U768" t="inlineStr">
        <is>
          <t>24/04/2026</t>
        </is>
      </c>
      <c r="V768" t="inlineStr">
        <is>
          <t>01/05/2026</t>
        </is>
      </c>
      <c r="W768">
        <v>40</v>
      </c>
      <c r="AA768" t="inlineStr">
        <is>
          <t>Aberta 30-60 dias</t>
        </is>
      </c>
      <c r="AB768" t="inlineStr">
        <is>
          <t>GSA</t>
        </is>
      </c>
    </row>
    <row r="769">
      <c r="A769">
        <v>767</v>
      </c>
      <c r="B769">
        <v>2</v>
      </c>
      <c r="C769" t="inlineStr">
        <is>
          <t>1.6</t>
        </is>
      </c>
      <c r="D769" t="inlineStr">
        <is>
          <t>C07</t>
        </is>
      </c>
      <c r="E769" t="inlineStr">
        <is>
          <t>LE/LD</t>
        </is>
      </c>
      <c r="F769" t="inlineStr">
        <is>
          <t>ATERPA</t>
        </is>
      </c>
      <c r="G769" t="inlineStr">
        <is>
          <t>CLP-012</t>
        </is>
      </c>
      <c r="H769" t="inlineStr">
        <is>
          <t>Protocolo</t>
        </is>
      </c>
      <c r="I769">
        <v>6</v>
      </c>
      <c r="J769" t="inlineStr">
        <is>
          <t>Drenagem Superficial</t>
        </is>
      </c>
      <c r="K769" t="inlineStr">
        <is>
          <t>6.3</t>
        </is>
      </c>
      <c r="L769" t="inlineStr">
        <is>
          <t>Canaleta</t>
        </is>
      </c>
      <c r="M769" t="inlineStr">
        <is>
          <t>Dispositivo não executado</t>
        </is>
      </c>
      <c r="N769" t="inlineStr">
        <is>
          <t xml:space="preserve">Drenagem necessita de complemento para conexão da descida </t>
        </is>
      </c>
      <c r="O769" t="inlineStr">
        <is>
          <t>Tipo A</t>
        </is>
      </c>
      <c r="P769" t="inlineStr">
        <is>
          <t>63+200</t>
        </is>
      </c>
      <c r="Q769" t="inlineStr">
        <is>
          <t>63+200</t>
        </is>
      </c>
      <c r="R769" t="inlineStr">
        <is>
          <t>Aberta</t>
        </is>
      </c>
      <c r="T769" t="inlineStr">
        <is>
          <t>Aline Batista</t>
        </is>
      </c>
      <c r="U769" t="inlineStr">
        <is>
          <t>24/04/2026</t>
        </is>
      </c>
      <c r="V769" t="inlineStr">
        <is>
          <t>01/05/2026</t>
        </is>
      </c>
      <c r="W769">
        <v>40</v>
      </c>
      <c r="AA769" t="inlineStr">
        <is>
          <t>Aberta 30-60 dias</t>
        </is>
      </c>
      <c r="AB769" t="inlineStr">
        <is>
          <t>GSA</t>
        </is>
      </c>
    </row>
    <row r="770">
      <c r="A770">
        <v>768</v>
      </c>
      <c r="B770">
        <v>2</v>
      </c>
      <c r="C770" t="inlineStr">
        <is>
          <t>1.6</t>
        </is>
      </c>
      <c r="D770" t="inlineStr">
        <is>
          <t>A07</t>
        </is>
      </c>
      <c r="E770" t="inlineStr">
        <is>
          <t>LE/LD</t>
        </is>
      </c>
      <c r="F770" t="inlineStr">
        <is>
          <t>ATERPA</t>
        </is>
      </c>
      <c r="G770" t="inlineStr">
        <is>
          <t>CLP-012</t>
        </is>
      </c>
      <c r="H770" t="inlineStr">
        <is>
          <t>Protocolo</t>
        </is>
      </c>
      <c r="I770">
        <v>6</v>
      </c>
      <c r="J770" t="inlineStr">
        <is>
          <t>Drenagem Superficial</t>
        </is>
      </c>
      <c r="K770" t="inlineStr">
        <is>
          <t>6.10</t>
        </is>
      </c>
      <c r="L770" t="inlineStr">
        <is>
          <t>Canaleta</t>
        </is>
      </c>
      <c r="M770" t="inlineStr">
        <is>
          <t>Obstrução do dispositivo</t>
        </is>
      </c>
      <c r="N770" t="inlineStr">
        <is>
          <t>Drenagem obstruída por acúmulo de material</t>
        </is>
      </c>
      <c r="O770" t="inlineStr">
        <is>
          <t>Tipo A</t>
        </is>
      </c>
      <c r="P770" t="inlineStr">
        <is>
          <t>63+500</t>
        </is>
      </c>
      <c r="Q770" t="inlineStr">
        <is>
          <t>63+500</t>
        </is>
      </c>
      <c r="R770" t="inlineStr">
        <is>
          <t>Aberta</t>
        </is>
      </c>
      <c r="T770" t="inlineStr">
        <is>
          <t>Aline Batista</t>
        </is>
      </c>
      <c r="U770" t="inlineStr">
        <is>
          <t>24/04/2026</t>
        </is>
      </c>
      <c r="V770" t="inlineStr">
        <is>
          <t>01/05/2026</t>
        </is>
      </c>
      <c r="W770">
        <v>40</v>
      </c>
      <c r="AA770" t="inlineStr">
        <is>
          <t>Aberta 30-60 dias</t>
        </is>
      </c>
      <c r="AB770" t="inlineStr">
        <is>
          <t>GSA</t>
        </is>
      </c>
    </row>
    <row r="771">
      <c r="A771">
        <v>769</v>
      </c>
      <c r="B771">
        <v>2</v>
      </c>
      <c r="C771" t="inlineStr">
        <is>
          <t>1.6</t>
        </is>
      </c>
      <c r="D771" t="inlineStr">
        <is>
          <t>C08</t>
        </is>
      </c>
      <c r="E771" t="inlineStr">
        <is>
          <t>LE/LD</t>
        </is>
      </c>
      <c r="F771" t="inlineStr">
        <is>
          <t>ATERPA</t>
        </is>
      </c>
      <c r="G771" t="inlineStr">
        <is>
          <t>CLP-012</t>
        </is>
      </c>
      <c r="H771" t="inlineStr">
        <is>
          <t>Fiscalização</t>
        </is>
      </c>
      <c r="I771">
        <v>6</v>
      </c>
      <c r="J771" t="inlineStr">
        <is>
          <t>Drenagem Superficial</t>
        </is>
      </c>
      <c r="K771" t="inlineStr">
        <is>
          <t>6.10</t>
        </is>
      </c>
      <c r="L771" t="inlineStr">
        <is>
          <t>Canaleta</t>
        </is>
      </c>
      <c r="M771" t="inlineStr">
        <is>
          <t>Obstrução do dispositivo</t>
        </is>
      </c>
      <c r="N771" t="inlineStr">
        <is>
          <t>Drenagem obstruída por acúmulo de material</t>
        </is>
      </c>
      <c r="O771" t="inlineStr">
        <is>
          <t>Tipo A</t>
        </is>
      </c>
      <c r="P771" t="inlineStr">
        <is>
          <t>63+840</t>
        </is>
      </c>
      <c r="Q771" t="inlineStr">
        <is>
          <t>63+840</t>
        </is>
      </c>
      <c r="R771" t="inlineStr">
        <is>
          <t>Aberta</t>
        </is>
      </c>
      <c r="T771" t="inlineStr">
        <is>
          <t>Aline Batista</t>
        </is>
      </c>
      <c r="U771" t="inlineStr">
        <is>
          <t>24/04/2026</t>
        </is>
      </c>
      <c r="V771" t="inlineStr">
        <is>
          <t>01/05/2026</t>
        </is>
      </c>
      <c r="W771">
        <v>40</v>
      </c>
      <c r="AA771" t="inlineStr">
        <is>
          <t>Aberta 30-60 dias</t>
        </is>
      </c>
      <c r="AB771" t="inlineStr">
        <is>
          <t>GSA</t>
        </is>
      </c>
    </row>
    <row r="772">
      <c r="A772">
        <v>770</v>
      </c>
      <c r="B772">
        <v>2</v>
      </c>
      <c r="C772" t="inlineStr">
        <is>
          <t>1.6</t>
        </is>
      </c>
      <c r="D772" t="inlineStr">
        <is>
          <t>A08</t>
        </is>
      </c>
      <c r="E772" t="inlineStr">
        <is>
          <t>LE/LD</t>
        </is>
      </c>
      <c r="F772" t="inlineStr">
        <is>
          <t>ATERPA</t>
        </is>
      </c>
      <c r="G772" t="inlineStr">
        <is>
          <t>CLP-012</t>
        </is>
      </c>
      <c r="H772" t="inlineStr">
        <is>
          <t>Protocolo</t>
        </is>
      </c>
      <c r="I772">
        <v>6</v>
      </c>
      <c r="J772" t="inlineStr">
        <is>
          <t>Drenagem Superficial</t>
        </is>
      </c>
      <c r="K772" t="inlineStr">
        <is>
          <t>6.10</t>
        </is>
      </c>
      <c r="L772" t="inlineStr">
        <is>
          <t>Canaleta</t>
        </is>
      </c>
      <c r="M772" t="inlineStr">
        <is>
          <t>Obstrução do dispositivo</t>
        </is>
      </c>
      <c r="N772" t="inlineStr">
        <is>
          <t>Drenagem obstruída por acúmulo de material</t>
        </is>
      </c>
      <c r="O772" t="inlineStr">
        <is>
          <t>Tipo A</t>
        </is>
      </c>
      <c r="P772" t="inlineStr">
        <is>
          <t>64+600</t>
        </is>
      </c>
      <c r="Q772" t="inlineStr">
        <is>
          <t>64+600</t>
        </is>
      </c>
      <c r="R772" t="inlineStr">
        <is>
          <t>Aberta</t>
        </is>
      </c>
      <c r="T772" t="inlineStr">
        <is>
          <t>Aline Batista</t>
        </is>
      </c>
      <c r="U772" t="inlineStr">
        <is>
          <t>24/04/2026</t>
        </is>
      </c>
      <c r="V772" t="inlineStr">
        <is>
          <t>01/05/2026</t>
        </is>
      </c>
      <c r="W772">
        <v>40</v>
      </c>
      <c r="AA772" t="inlineStr">
        <is>
          <t>Aberta 30-60 dias</t>
        </is>
      </c>
      <c r="AB772" t="inlineStr">
        <is>
          <t>GSA</t>
        </is>
      </c>
    </row>
    <row r="773">
      <c r="A773">
        <v>771</v>
      </c>
      <c r="B773">
        <v>2</v>
      </c>
      <c r="C773" t="inlineStr">
        <is>
          <t>1.6</t>
        </is>
      </c>
      <c r="D773" t="inlineStr">
        <is>
          <t>A08</t>
        </is>
      </c>
      <c r="E773" t="inlineStr">
        <is>
          <t>LE/LD</t>
        </is>
      </c>
      <c r="F773" t="inlineStr">
        <is>
          <t>ATERPA</t>
        </is>
      </c>
      <c r="G773" t="inlineStr">
        <is>
          <t>CLP-012</t>
        </is>
      </c>
      <c r="H773" t="inlineStr">
        <is>
          <t>Protocolo</t>
        </is>
      </c>
      <c r="I773">
        <v>6</v>
      </c>
      <c r="J773" t="inlineStr">
        <is>
          <t>Drenagem Superficial</t>
        </is>
      </c>
      <c r="K773" t="inlineStr">
        <is>
          <t>6.10</t>
        </is>
      </c>
      <c r="L773" t="inlineStr">
        <is>
          <t>Canaleta</t>
        </is>
      </c>
      <c r="M773" t="inlineStr">
        <is>
          <t>Obstrução do dispositivo</t>
        </is>
      </c>
      <c r="N773" t="inlineStr">
        <is>
          <t>Drenagem obstruída por acúmulo de material</t>
        </is>
      </c>
      <c r="O773" t="inlineStr">
        <is>
          <t>Tipo A</t>
        </is>
      </c>
      <c r="P773" t="inlineStr">
        <is>
          <t>65+100</t>
        </is>
      </c>
      <c r="Q773" t="inlineStr">
        <is>
          <t>65+100</t>
        </is>
      </c>
      <c r="R773" t="inlineStr">
        <is>
          <t>Aberta</t>
        </is>
      </c>
      <c r="T773" t="inlineStr">
        <is>
          <t>Aline Batista</t>
        </is>
      </c>
      <c r="U773" t="inlineStr">
        <is>
          <t>24/04/2026</t>
        </is>
      </c>
      <c r="V773" t="inlineStr">
        <is>
          <t>01/05/2026</t>
        </is>
      </c>
      <c r="W773">
        <v>40</v>
      </c>
      <c r="AA773" t="inlineStr">
        <is>
          <t>Aberta 30-60 dias</t>
        </is>
      </c>
      <c r="AB773" t="inlineStr">
        <is>
          <t>GSA</t>
        </is>
      </c>
    </row>
    <row r="774">
      <c r="A774">
        <v>772</v>
      </c>
      <c r="B774">
        <v>2</v>
      </c>
      <c r="C774" t="inlineStr">
        <is>
          <t>1.6</t>
        </is>
      </c>
      <c r="D774" t="inlineStr">
        <is>
          <t>C09</t>
        </is>
      </c>
      <c r="E774" t="inlineStr">
        <is>
          <t>LE/LD</t>
        </is>
      </c>
      <c r="F774" t="inlineStr">
        <is>
          <t>ATERPA</t>
        </is>
      </c>
      <c r="G774" t="inlineStr">
        <is>
          <t>CLP-012</t>
        </is>
      </c>
      <c r="H774" t="inlineStr">
        <is>
          <t>Protocolo</t>
        </is>
      </c>
      <c r="I774">
        <v>6</v>
      </c>
      <c r="J774" t="inlineStr">
        <is>
          <t>Drenagem Superficial</t>
        </is>
      </c>
      <c r="K774" t="inlineStr">
        <is>
          <t>6.10</t>
        </is>
      </c>
      <c r="L774" t="inlineStr">
        <is>
          <t>Canaleta</t>
        </is>
      </c>
      <c r="M774" t="inlineStr">
        <is>
          <t>Obstrução do dispositivo</t>
        </is>
      </c>
      <c r="N774" t="inlineStr">
        <is>
          <t>Drenagem obstruída por acúmulo de material</t>
        </is>
      </c>
      <c r="O774" t="inlineStr">
        <is>
          <t>Tipo A</t>
        </is>
      </c>
      <c r="P774" t="inlineStr">
        <is>
          <t>65+400</t>
        </is>
      </c>
      <c r="Q774" t="inlineStr">
        <is>
          <t>65+400</t>
        </is>
      </c>
      <c r="R774" t="inlineStr">
        <is>
          <t>Aberta</t>
        </is>
      </c>
      <c r="T774" t="inlineStr">
        <is>
          <t>Aline Batista</t>
        </is>
      </c>
      <c r="U774" t="inlineStr">
        <is>
          <t>24/04/2026</t>
        </is>
      </c>
      <c r="V774" t="inlineStr">
        <is>
          <t>01/05/2026</t>
        </is>
      </c>
      <c r="W774">
        <v>40</v>
      </c>
      <c r="AA774" t="inlineStr">
        <is>
          <t>Aberta 30-60 dias</t>
        </is>
      </c>
      <c r="AB774" t="inlineStr">
        <is>
          <t>GSA</t>
        </is>
      </c>
    </row>
    <row r="775">
      <c r="A775">
        <v>773</v>
      </c>
      <c r="B775">
        <v>2</v>
      </c>
      <c r="C775" t="inlineStr">
        <is>
          <t>1.6</t>
        </is>
      </c>
      <c r="D775" t="inlineStr">
        <is>
          <t>C09</t>
        </is>
      </c>
      <c r="E775" t="inlineStr">
        <is>
          <t>LE/LD</t>
        </is>
      </c>
      <c r="F775" t="inlineStr">
        <is>
          <t>ATERPA</t>
        </is>
      </c>
      <c r="G775" t="inlineStr">
        <is>
          <t>CLP-012</t>
        </is>
      </c>
      <c r="H775" t="inlineStr">
        <is>
          <t>Protocolo</t>
        </is>
      </c>
      <c r="I775">
        <v>6</v>
      </c>
      <c r="J775" t="inlineStr">
        <is>
          <t>Drenagem Superficial</t>
        </is>
      </c>
      <c r="K775" t="inlineStr">
        <is>
          <t>6.10</t>
        </is>
      </c>
      <c r="L775" t="inlineStr">
        <is>
          <t>Canaleta</t>
        </is>
      </c>
      <c r="M775" t="inlineStr">
        <is>
          <t>Obstrução do dispositivo</t>
        </is>
      </c>
      <c r="N775" t="inlineStr">
        <is>
          <t>Drenagem obstruída por acúmulo de material</t>
        </is>
      </c>
      <c r="O775" t="inlineStr">
        <is>
          <t>Tipo A</t>
        </is>
      </c>
      <c r="P775" t="inlineStr">
        <is>
          <t>65+850</t>
        </is>
      </c>
      <c r="Q775" t="inlineStr">
        <is>
          <t>65+850</t>
        </is>
      </c>
      <c r="R775" t="inlineStr">
        <is>
          <t>Aberta</t>
        </is>
      </c>
      <c r="T775" t="inlineStr">
        <is>
          <t>Aline Batista</t>
        </is>
      </c>
      <c r="U775" t="inlineStr">
        <is>
          <t>24/04/2026</t>
        </is>
      </c>
      <c r="V775" t="inlineStr">
        <is>
          <t>01/05/2026</t>
        </is>
      </c>
      <c r="W775">
        <v>40</v>
      </c>
      <c r="AA775" t="inlineStr">
        <is>
          <t>Aberta 30-60 dias</t>
        </is>
      </c>
      <c r="AB775" t="inlineStr">
        <is>
          <t>GSA</t>
        </is>
      </c>
    </row>
    <row r="776">
      <c r="A776">
        <v>774</v>
      </c>
      <c r="B776">
        <v>2</v>
      </c>
      <c r="C776" t="inlineStr">
        <is>
          <t>1.6</t>
        </is>
      </c>
      <c r="D776" t="inlineStr">
        <is>
          <t>C09</t>
        </is>
      </c>
      <c r="E776" t="inlineStr">
        <is>
          <t>LE/LD</t>
        </is>
      </c>
      <c r="F776" t="inlineStr">
        <is>
          <t>ATERPA</t>
        </is>
      </c>
      <c r="G776" t="inlineStr">
        <is>
          <t>CLP-012</t>
        </is>
      </c>
      <c r="H776" t="inlineStr">
        <is>
          <t>Protocolo</t>
        </is>
      </c>
      <c r="I776">
        <v>6</v>
      </c>
      <c r="J776" t="inlineStr">
        <is>
          <t>Drenagem Superficial</t>
        </is>
      </c>
      <c r="K776" t="inlineStr">
        <is>
          <t>6.10</t>
        </is>
      </c>
      <c r="L776" t="inlineStr">
        <is>
          <t>Canaleta</t>
        </is>
      </c>
      <c r="M776" t="inlineStr">
        <is>
          <t>Obstrução do dispositivo</t>
        </is>
      </c>
      <c r="N776" t="inlineStr">
        <is>
          <t>Drenagem obstruída por acúmulo de material</t>
        </is>
      </c>
      <c r="O776" t="inlineStr">
        <is>
          <t>Tipo A</t>
        </is>
      </c>
      <c r="P776" t="inlineStr">
        <is>
          <t>66+400</t>
        </is>
      </c>
      <c r="Q776" t="inlineStr">
        <is>
          <t>66+400</t>
        </is>
      </c>
      <c r="R776" t="inlineStr">
        <is>
          <t>Aberta</t>
        </is>
      </c>
      <c r="T776" t="inlineStr">
        <is>
          <t>Aline Batista</t>
        </is>
      </c>
      <c r="U776" t="inlineStr">
        <is>
          <t>24/04/2026</t>
        </is>
      </c>
      <c r="V776" t="inlineStr">
        <is>
          <t>01/05/2026</t>
        </is>
      </c>
      <c r="W776">
        <v>40</v>
      </c>
      <c r="AA776" t="inlineStr">
        <is>
          <t>Aberta 30-60 dias</t>
        </is>
      </c>
      <c r="AB776" t="inlineStr">
        <is>
          <t>GSA</t>
        </is>
      </c>
    </row>
    <row r="777">
      <c r="A777">
        <v>775</v>
      </c>
      <c r="B777">
        <v>2</v>
      </c>
      <c r="C777" t="inlineStr">
        <is>
          <t>1.6</t>
        </is>
      </c>
      <c r="D777" t="inlineStr">
        <is>
          <t>C09</t>
        </is>
      </c>
      <c r="E777" t="inlineStr">
        <is>
          <t>LE/LD</t>
        </is>
      </c>
      <c r="F777" t="inlineStr">
        <is>
          <t>ATERPA</t>
        </is>
      </c>
      <c r="G777" t="inlineStr">
        <is>
          <t>CLP-012</t>
        </is>
      </c>
      <c r="H777" t="inlineStr">
        <is>
          <t>Protocolo</t>
        </is>
      </c>
      <c r="I777">
        <v>6</v>
      </c>
      <c r="J777" t="inlineStr">
        <is>
          <t>Drenagem Superficial</t>
        </is>
      </c>
      <c r="K777" t="inlineStr">
        <is>
          <t>6.10</t>
        </is>
      </c>
      <c r="L777" t="inlineStr">
        <is>
          <t>Canaleta</t>
        </is>
      </c>
      <c r="M777" t="inlineStr">
        <is>
          <t>Obstrução do dispositivo</t>
        </is>
      </c>
      <c r="N777" t="inlineStr">
        <is>
          <t>Drenagem obstruída por acúmulo de material e danificada</t>
        </is>
      </c>
      <c r="O777" t="inlineStr">
        <is>
          <t>Tipo A</t>
        </is>
      </c>
      <c r="P777" t="inlineStr">
        <is>
          <t>66+460</t>
        </is>
      </c>
      <c r="Q777" t="inlineStr">
        <is>
          <t>66+460</t>
        </is>
      </c>
      <c r="R777" t="inlineStr">
        <is>
          <t>Aberta</t>
        </is>
      </c>
      <c r="T777" t="inlineStr">
        <is>
          <t>Aline Batista</t>
        </is>
      </c>
      <c r="U777" t="inlineStr">
        <is>
          <t>24/04/2026</t>
        </is>
      </c>
      <c r="V777" t="inlineStr">
        <is>
          <t>01/05/2026</t>
        </is>
      </c>
      <c r="W777">
        <v>40</v>
      </c>
      <c r="AA777" t="inlineStr">
        <is>
          <t>Aberta 30-60 dias</t>
        </is>
      </c>
      <c r="AB777" t="inlineStr">
        <is>
          <t>GSA</t>
        </is>
      </c>
    </row>
    <row r="778">
      <c r="A778">
        <v>776</v>
      </c>
      <c r="B778">
        <v>2</v>
      </c>
      <c r="C778" t="inlineStr">
        <is>
          <t>1.6</t>
        </is>
      </c>
      <c r="D778" t="inlineStr">
        <is>
          <t>C09</t>
        </is>
      </c>
      <c r="E778" t="inlineStr">
        <is>
          <t>LE/LD</t>
        </is>
      </c>
      <c r="F778" t="inlineStr">
        <is>
          <t>ATERPA</t>
        </is>
      </c>
      <c r="G778" t="inlineStr">
        <is>
          <t>CLP-012</t>
        </is>
      </c>
      <c r="H778" t="inlineStr">
        <is>
          <t>Protocolo</t>
        </is>
      </c>
      <c r="I778">
        <v>6</v>
      </c>
      <c r="J778" t="inlineStr">
        <is>
          <t>Drenagem Superficial</t>
        </is>
      </c>
      <c r="K778" t="inlineStr">
        <is>
          <t>6.10</t>
        </is>
      </c>
      <c r="L778" t="inlineStr">
        <is>
          <t>Cnaleta</t>
        </is>
      </c>
      <c r="M778" t="inlineStr">
        <is>
          <t>Obstrução do dispositivo</t>
        </is>
      </c>
      <c r="N778" t="inlineStr">
        <is>
          <t>Drenagem obstruída por acúmulo de material</t>
        </is>
      </c>
      <c r="O778" t="inlineStr">
        <is>
          <t>Tipo A</t>
        </is>
      </c>
      <c r="P778" t="inlineStr">
        <is>
          <t>66+800</t>
        </is>
      </c>
      <c r="Q778" t="inlineStr">
        <is>
          <t>66+800</t>
        </is>
      </c>
      <c r="R778" t="inlineStr">
        <is>
          <t>Aberta</t>
        </is>
      </c>
      <c r="T778" t="inlineStr">
        <is>
          <t>Aline Batista</t>
        </is>
      </c>
      <c r="U778" t="inlineStr">
        <is>
          <t>24/04/2026</t>
        </is>
      </c>
      <c r="V778" t="inlineStr">
        <is>
          <t>01/05/2026</t>
        </is>
      </c>
      <c r="W778">
        <v>40</v>
      </c>
      <c r="AA778" t="inlineStr">
        <is>
          <t>Aberta 30-60 dias</t>
        </is>
      </c>
      <c r="AB778" t="inlineStr">
        <is>
          <t>GSA</t>
        </is>
      </c>
    </row>
    <row r="779">
      <c r="A779">
        <v>777</v>
      </c>
      <c r="B779">
        <v>2</v>
      </c>
      <c r="C779" t="inlineStr">
        <is>
          <t>1.6</t>
        </is>
      </c>
      <c r="D779" t="inlineStr">
        <is>
          <t>C10</t>
        </is>
      </c>
      <c r="E779" t="inlineStr">
        <is>
          <t>LE/LD</t>
        </is>
      </c>
      <c r="F779" t="inlineStr">
        <is>
          <t>ATERPA</t>
        </is>
      </c>
      <c r="G779" t="inlineStr">
        <is>
          <t>CLP-012</t>
        </is>
      </c>
      <c r="H779" t="inlineStr">
        <is>
          <t>Protocolo</t>
        </is>
      </c>
      <c r="I779">
        <v>6</v>
      </c>
      <c r="J779" t="inlineStr">
        <is>
          <t>Drenagem Superficial</t>
        </is>
      </c>
      <c r="K779" t="inlineStr">
        <is>
          <t>6.10</t>
        </is>
      </c>
      <c r="L779" t="inlineStr">
        <is>
          <t xml:space="preserve">Canaleta </t>
        </is>
      </c>
      <c r="M779" t="inlineStr">
        <is>
          <t>Obstrução do dispositivo</t>
        </is>
      </c>
      <c r="N779" t="inlineStr">
        <is>
          <t>Drenagem obstruída por acúmulo de material</t>
        </is>
      </c>
      <c r="O779" t="inlineStr">
        <is>
          <t>Tipo A</t>
        </is>
      </c>
      <c r="P779" t="inlineStr">
        <is>
          <t>67+300</t>
        </is>
      </c>
      <c r="Q779" t="inlineStr">
        <is>
          <t>67+300</t>
        </is>
      </c>
      <c r="R779" t="inlineStr">
        <is>
          <t>Aberta</t>
        </is>
      </c>
      <c r="T779" t="inlineStr">
        <is>
          <t>Aline Batista</t>
        </is>
      </c>
      <c r="U779" t="inlineStr">
        <is>
          <t>24/04/2026</t>
        </is>
      </c>
      <c r="V779" t="inlineStr">
        <is>
          <t>01/05/2026</t>
        </is>
      </c>
      <c r="W779">
        <v>40</v>
      </c>
      <c r="AA779" t="inlineStr">
        <is>
          <t>Aberta 30-60 dias</t>
        </is>
      </c>
      <c r="AB779" t="inlineStr">
        <is>
          <t>GSA</t>
        </is>
      </c>
    </row>
    <row r="780">
      <c r="A780">
        <v>778</v>
      </c>
      <c r="B780">
        <v>2</v>
      </c>
      <c r="C780" t="inlineStr">
        <is>
          <t>1.6</t>
        </is>
      </c>
      <c r="D780" t="inlineStr">
        <is>
          <t>C10</t>
        </is>
      </c>
      <c r="E780" t="inlineStr">
        <is>
          <t>LE/LD</t>
        </is>
      </c>
      <c r="F780" t="inlineStr">
        <is>
          <t>ATERPA</t>
        </is>
      </c>
      <c r="G780" t="inlineStr">
        <is>
          <t>CLP-012</t>
        </is>
      </c>
      <c r="H780" t="inlineStr">
        <is>
          <t>Protocolo</t>
        </is>
      </c>
      <c r="I780">
        <v>6</v>
      </c>
      <c r="J780" t="inlineStr">
        <is>
          <t>Drenagem Superficial</t>
        </is>
      </c>
      <c r="K780" t="inlineStr">
        <is>
          <t>6.10</t>
        </is>
      </c>
      <c r="L780" t="inlineStr">
        <is>
          <t>Canaleta</t>
        </is>
      </c>
      <c r="M780" t="inlineStr">
        <is>
          <t>Obstrução do dispositivo</t>
        </is>
      </c>
      <c r="N780" t="inlineStr">
        <is>
          <t>Drenagem obstruída por acúmulo de material</t>
        </is>
      </c>
      <c r="O780" t="inlineStr">
        <is>
          <t>Tipo A</t>
        </is>
      </c>
      <c r="P780" t="inlineStr">
        <is>
          <t>68+900</t>
        </is>
      </c>
      <c r="Q780" t="inlineStr">
        <is>
          <t>68+900</t>
        </is>
      </c>
      <c r="R780" t="inlineStr">
        <is>
          <t>Aberta</t>
        </is>
      </c>
      <c r="T780" t="inlineStr">
        <is>
          <t>Aline Batista</t>
        </is>
      </c>
      <c r="U780" t="inlineStr">
        <is>
          <t>24/04/2026</t>
        </is>
      </c>
      <c r="V780" t="inlineStr">
        <is>
          <t>01/05/2026</t>
        </is>
      </c>
      <c r="W780">
        <v>40</v>
      </c>
      <c r="AA780" t="inlineStr">
        <is>
          <t>Aberta 30-60 dias</t>
        </is>
      </c>
      <c r="AB780" t="inlineStr">
        <is>
          <t>GSA</t>
        </is>
      </c>
    </row>
    <row r="781">
      <c r="A781">
        <v>779</v>
      </c>
      <c r="B781">
        <v>2</v>
      </c>
      <c r="C781" t="inlineStr">
        <is>
          <t>1.6</t>
        </is>
      </c>
      <c r="D781" t="inlineStr">
        <is>
          <t>A10</t>
        </is>
      </c>
      <c r="E781" t="inlineStr">
        <is>
          <t>LE/LD</t>
        </is>
      </c>
      <c r="F781" t="inlineStr">
        <is>
          <t>ATERPA</t>
        </is>
      </c>
      <c r="G781" t="inlineStr">
        <is>
          <t>CLP-012</t>
        </is>
      </c>
      <c r="H781" t="inlineStr">
        <is>
          <t>Protocolo</t>
        </is>
      </c>
      <c r="I781">
        <v>6</v>
      </c>
      <c r="J781" t="inlineStr">
        <is>
          <t>Drenagem Superficial</t>
        </is>
      </c>
      <c r="K781" t="inlineStr">
        <is>
          <t>6.10</t>
        </is>
      </c>
      <c r="L781" t="inlineStr">
        <is>
          <t>Canaleta</t>
        </is>
      </c>
      <c r="M781" t="inlineStr">
        <is>
          <t>Obstrução do dispositivo</t>
        </is>
      </c>
      <c r="N781" t="inlineStr">
        <is>
          <t>Drenagem obstruída por acúmulo de material</t>
        </is>
      </c>
      <c r="O781" t="inlineStr">
        <is>
          <t>Tipo A</t>
        </is>
      </c>
      <c r="P781" t="inlineStr">
        <is>
          <t>69+300</t>
        </is>
      </c>
      <c r="Q781" t="inlineStr">
        <is>
          <t>69+300</t>
        </is>
      </c>
      <c r="R781" t="inlineStr">
        <is>
          <t>Aberta</t>
        </is>
      </c>
      <c r="T781" t="inlineStr">
        <is>
          <t>Aline Batista</t>
        </is>
      </c>
      <c r="U781" t="inlineStr">
        <is>
          <t>24/04/2026</t>
        </is>
      </c>
      <c r="V781" t="inlineStr">
        <is>
          <t>01/05/2026</t>
        </is>
      </c>
      <c r="W781">
        <v>40</v>
      </c>
      <c r="AA781" t="inlineStr">
        <is>
          <t>Aberta 30-60 dias</t>
        </is>
      </c>
      <c r="AB781" t="inlineStr">
        <is>
          <t>GSA</t>
        </is>
      </c>
    </row>
    <row r="782">
      <c r="A782">
        <v>780</v>
      </c>
      <c r="B782">
        <v>2</v>
      </c>
      <c r="C782" t="inlineStr">
        <is>
          <t>1.6</t>
        </is>
      </c>
      <c r="D782" t="inlineStr">
        <is>
          <t>A10</t>
        </is>
      </c>
      <c r="E782" t="inlineStr">
        <is>
          <t>LE/LD</t>
        </is>
      </c>
      <c r="F782" t="inlineStr">
        <is>
          <t>ATERPA</t>
        </is>
      </c>
      <c r="G782" t="inlineStr">
        <is>
          <t>CLP-012</t>
        </is>
      </c>
      <c r="H782" t="inlineStr">
        <is>
          <t>Protocolo</t>
        </is>
      </c>
      <c r="I782">
        <v>6</v>
      </c>
      <c r="J782" t="inlineStr">
        <is>
          <t>Drenagem Superficial</t>
        </is>
      </c>
      <c r="K782" t="inlineStr">
        <is>
          <t>6.10</t>
        </is>
      </c>
      <c r="L782" t="inlineStr">
        <is>
          <t>Canaleta</t>
        </is>
      </c>
      <c r="M782" t="inlineStr">
        <is>
          <t>Obstrução do dispositivo</t>
        </is>
      </c>
      <c r="N782" t="inlineStr">
        <is>
          <t>Drenagem obstruída por acúmulo de material</t>
        </is>
      </c>
      <c r="O782" t="inlineStr">
        <is>
          <t>Tipo A</t>
        </is>
      </c>
      <c r="P782" t="inlineStr">
        <is>
          <t>69+500</t>
        </is>
      </c>
      <c r="Q782" t="inlineStr">
        <is>
          <t>69+500</t>
        </is>
      </c>
      <c r="R782" t="inlineStr">
        <is>
          <t>Aberta</t>
        </is>
      </c>
      <c r="T782" t="inlineStr">
        <is>
          <t>Aline Batista</t>
        </is>
      </c>
      <c r="U782" t="inlineStr">
        <is>
          <t>24/04/2026</t>
        </is>
      </c>
      <c r="V782" t="inlineStr">
        <is>
          <t>01/05/2026</t>
        </is>
      </c>
      <c r="W782">
        <v>40</v>
      </c>
      <c r="AA782" t="inlineStr">
        <is>
          <t>Aberta 30-60 dias</t>
        </is>
      </c>
      <c r="AB782" t="inlineStr">
        <is>
          <t>GSA</t>
        </is>
      </c>
    </row>
    <row r="783">
      <c r="A783">
        <v>781</v>
      </c>
      <c r="B783">
        <v>2</v>
      </c>
      <c r="C783" t="inlineStr">
        <is>
          <t>1.6</t>
        </is>
      </c>
      <c r="D783" t="inlineStr">
        <is>
          <t>A10</t>
        </is>
      </c>
      <c r="E783" t="inlineStr">
        <is>
          <t>LE/LD</t>
        </is>
      </c>
      <c r="F783" t="inlineStr">
        <is>
          <t>ATERPA</t>
        </is>
      </c>
      <c r="G783" t="inlineStr">
        <is>
          <t>CLP-012</t>
        </is>
      </c>
      <c r="H783" t="inlineStr">
        <is>
          <t>Protocolo</t>
        </is>
      </c>
      <c r="I783">
        <v>6</v>
      </c>
      <c r="J783" t="inlineStr">
        <is>
          <t>Drenagem Superficial</t>
        </is>
      </c>
      <c r="K783" t="inlineStr">
        <is>
          <t>6.6</t>
        </is>
      </c>
      <c r="L783" t="inlineStr">
        <is>
          <t>Canaleta</t>
        </is>
      </c>
      <c r="M783" t="inlineStr">
        <is>
          <t>Conformação</t>
        </is>
      </c>
      <c r="N783" t="inlineStr">
        <is>
          <t>Conformação necessária ao lado dispositivo de drenagem</t>
        </is>
      </c>
      <c r="O783" t="inlineStr">
        <is>
          <t>Tipo A</t>
        </is>
      </c>
      <c r="P783" t="inlineStr">
        <is>
          <t>69+680</t>
        </is>
      </c>
      <c r="Q783" t="inlineStr">
        <is>
          <t>69+680</t>
        </is>
      </c>
      <c r="R783" t="inlineStr">
        <is>
          <t>Aberta</t>
        </is>
      </c>
      <c r="T783" t="inlineStr">
        <is>
          <t>Aline Batista</t>
        </is>
      </c>
      <c r="U783" t="inlineStr">
        <is>
          <t>24/04/2026</t>
        </is>
      </c>
      <c r="V783" t="inlineStr">
        <is>
          <t>01/05/2026</t>
        </is>
      </c>
      <c r="W783">
        <v>40</v>
      </c>
      <c r="AA783" t="inlineStr">
        <is>
          <t>Aberta 30-60 dias</t>
        </is>
      </c>
      <c r="AB783" t="inlineStr">
        <is>
          <t>GSA</t>
        </is>
      </c>
    </row>
    <row r="784">
      <c r="A784">
        <v>782</v>
      </c>
      <c r="B784">
        <v>2</v>
      </c>
      <c r="C784" t="inlineStr">
        <is>
          <t>1.6</t>
        </is>
      </c>
      <c r="D784" t="inlineStr">
        <is>
          <t>C12</t>
        </is>
      </c>
      <c r="E784" t="inlineStr">
        <is>
          <t>LE/LD</t>
        </is>
      </c>
      <c r="F784" t="inlineStr">
        <is>
          <t>ATERPA</t>
        </is>
      </c>
      <c r="G784" t="inlineStr">
        <is>
          <t>CLP-012</t>
        </is>
      </c>
      <c r="H784" t="inlineStr">
        <is>
          <t>Fiscalização</t>
        </is>
      </c>
      <c r="I784">
        <v>6</v>
      </c>
      <c r="J784" t="inlineStr">
        <is>
          <t>Drenagem Superficial</t>
        </is>
      </c>
      <c r="K784" t="inlineStr">
        <is>
          <t>6.10</t>
        </is>
      </c>
      <c r="L784" t="inlineStr">
        <is>
          <t>Canaleta</t>
        </is>
      </c>
      <c r="M784" t="inlineStr">
        <is>
          <t>Obstrução do dispositivo</t>
        </is>
      </c>
      <c r="N784" t="inlineStr">
        <is>
          <t>Drenagem obstruída por acúmulo de material</t>
        </is>
      </c>
      <c r="O784" t="inlineStr">
        <is>
          <t>Tipo A</t>
        </is>
      </c>
      <c r="P784" t="inlineStr">
        <is>
          <t>69+800</t>
        </is>
      </c>
      <c r="Q784" t="inlineStr">
        <is>
          <t>69+800</t>
        </is>
      </c>
      <c r="R784" t="inlineStr">
        <is>
          <t>Aberta</t>
        </is>
      </c>
      <c r="T784" t="inlineStr">
        <is>
          <t>Aline Batista</t>
        </is>
      </c>
      <c r="U784" t="inlineStr">
        <is>
          <t>24/04/2026</t>
        </is>
      </c>
      <c r="V784" t="inlineStr">
        <is>
          <t>01/05/2026</t>
        </is>
      </c>
      <c r="W784">
        <v>40</v>
      </c>
      <c r="AA784" t="inlineStr">
        <is>
          <t>Aberta 30-60 dias</t>
        </is>
      </c>
      <c r="AB784" t="inlineStr">
        <is>
          <t>GSA</t>
        </is>
      </c>
    </row>
    <row r="785">
      <c r="A785">
        <v>783</v>
      </c>
      <c r="B785">
        <v>2</v>
      </c>
      <c r="C785" t="inlineStr">
        <is>
          <t>1.6</t>
        </is>
      </c>
      <c r="D785" t="inlineStr">
        <is>
          <t>C12</t>
        </is>
      </c>
      <c r="E785" t="inlineStr">
        <is>
          <t>LE/LD</t>
        </is>
      </c>
      <c r="F785" t="inlineStr">
        <is>
          <t>ATERPA</t>
        </is>
      </c>
      <c r="G785" t="inlineStr">
        <is>
          <t>CLP-012</t>
        </is>
      </c>
      <c r="H785" t="inlineStr">
        <is>
          <t>Fiscalização</t>
        </is>
      </c>
      <c r="I785">
        <v>6</v>
      </c>
      <c r="J785" t="inlineStr">
        <is>
          <t>Drenagem Superficial</t>
        </is>
      </c>
      <c r="K785" t="inlineStr">
        <is>
          <t>6.10</t>
        </is>
      </c>
      <c r="L785" t="inlineStr">
        <is>
          <t>Canaleta</t>
        </is>
      </c>
      <c r="M785" t="inlineStr">
        <is>
          <t>Obstrução do dispositivo</t>
        </is>
      </c>
      <c r="N785" t="inlineStr">
        <is>
          <t>Drenagem obstruída por acúmulo de material</t>
        </is>
      </c>
      <c r="O785" t="inlineStr">
        <is>
          <t>Tipo A</t>
        </is>
      </c>
      <c r="P785" t="inlineStr">
        <is>
          <t>70+040</t>
        </is>
      </c>
      <c r="Q785" t="inlineStr">
        <is>
          <t>70+040</t>
        </is>
      </c>
      <c r="R785" t="inlineStr">
        <is>
          <t>Aberta</t>
        </is>
      </c>
      <c r="T785" t="inlineStr">
        <is>
          <t>Aline Batista</t>
        </is>
      </c>
      <c r="U785" t="inlineStr">
        <is>
          <t>24/04/2026</t>
        </is>
      </c>
      <c r="V785" t="inlineStr">
        <is>
          <t>01/05/2026</t>
        </is>
      </c>
      <c r="W785">
        <v>40</v>
      </c>
      <c r="AA785" t="inlineStr">
        <is>
          <t>Aberta 30-60 dias</t>
        </is>
      </c>
      <c r="AB785" t="inlineStr">
        <is>
          <t>GSA</t>
        </is>
      </c>
    </row>
    <row r="786">
      <c r="A786">
        <v>784</v>
      </c>
      <c r="B786">
        <v>2</v>
      </c>
      <c r="C786" t="inlineStr">
        <is>
          <t>1.6</t>
        </is>
      </c>
      <c r="D786" t="inlineStr">
        <is>
          <t>C12</t>
        </is>
      </c>
      <c r="E786" t="inlineStr">
        <is>
          <t>LE/LD</t>
        </is>
      </c>
      <c r="F786" t="inlineStr">
        <is>
          <t>ATERPA</t>
        </is>
      </c>
      <c r="G786" t="inlineStr">
        <is>
          <t>CLP-012</t>
        </is>
      </c>
      <c r="H786" t="inlineStr">
        <is>
          <t>Fiscalização</t>
        </is>
      </c>
      <c r="I786">
        <v>6</v>
      </c>
      <c r="J786" t="inlineStr">
        <is>
          <t>Drenagem Superficial</t>
        </is>
      </c>
      <c r="K786" t="inlineStr">
        <is>
          <t>6.10</t>
        </is>
      </c>
      <c r="L786" t="inlineStr">
        <is>
          <t>Canaleta</t>
        </is>
      </c>
      <c r="M786" t="inlineStr">
        <is>
          <t>Obstrução do dispositivo</t>
        </is>
      </c>
      <c r="N786" t="inlineStr">
        <is>
          <t>Drenagem obstruída por acúmulo de material</t>
        </is>
      </c>
      <c r="O786" t="inlineStr">
        <is>
          <t>Tipo A</t>
        </is>
      </c>
      <c r="P786" t="inlineStr">
        <is>
          <t>70+120</t>
        </is>
      </c>
      <c r="Q786" t="inlineStr">
        <is>
          <t>70+120</t>
        </is>
      </c>
      <c r="R786" t="inlineStr">
        <is>
          <t>Aberta</t>
        </is>
      </c>
      <c r="T786" t="inlineStr">
        <is>
          <t>Aline Batista</t>
        </is>
      </c>
      <c r="U786" t="inlineStr">
        <is>
          <t>24/04/2026</t>
        </is>
      </c>
      <c r="V786" t="inlineStr">
        <is>
          <t>01/05/2026</t>
        </is>
      </c>
      <c r="W786">
        <v>40</v>
      </c>
      <c r="AA786" t="inlineStr">
        <is>
          <t>Aberta 30-60 dias</t>
        </is>
      </c>
      <c r="AB786" t="inlineStr">
        <is>
          <t>GSA</t>
        </is>
      </c>
    </row>
    <row r="787">
      <c r="A787">
        <v>785</v>
      </c>
      <c r="B787">
        <v>2</v>
      </c>
      <c r="C787" t="inlineStr">
        <is>
          <t>1.6</t>
        </is>
      </c>
      <c r="D787" t="inlineStr">
        <is>
          <t>A12</t>
        </is>
      </c>
      <c r="E787" t="inlineStr">
        <is>
          <t>LE/LD</t>
        </is>
      </c>
      <c r="F787" t="inlineStr">
        <is>
          <t>ATERPA</t>
        </is>
      </c>
      <c r="G787" t="inlineStr">
        <is>
          <t>CLP-012</t>
        </is>
      </c>
      <c r="H787" t="inlineStr">
        <is>
          <t>Protocolo</t>
        </is>
      </c>
      <c r="I787">
        <v>6</v>
      </c>
      <c r="J787" t="inlineStr">
        <is>
          <t>Drenagem Superficial</t>
        </is>
      </c>
      <c r="K787" t="inlineStr">
        <is>
          <t>6.10</t>
        </is>
      </c>
      <c r="L787" t="inlineStr">
        <is>
          <t>Canaleta</t>
        </is>
      </c>
      <c r="M787" t="inlineStr">
        <is>
          <t>Obstrução do dispositivo</t>
        </is>
      </c>
      <c r="N787" t="inlineStr">
        <is>
          <t>Drenagem obstruída por acúmulo de material</t>
        </is>
      </c>
      <c r="O787" t="inlineStr">
        <is>
          <t>Tipo A</t>
        </is>
      </c>
      <c r="P787" t="inlineStr">
        <is>
          <t>70+740</t>
        </is>
      </c>
      <c r="Q787" t="inlineStr">
        <is>
          <t>70+740</t>
        </is>
      </c>
      <c r="R787" t="inlineStr">
        <is>
          <t>Aberta</t>
        </is>
      </c>
      <c r="T787" t="inlineStr">
        <is>
          <t>Aline Batista</t>
        </is>
      </c>
      <c r="U787" t="inlineStr">
        <is>
          <t>24/04/2026</t>
        </is>
      </c>
      <c r="V787" t="inlineStr">
        <is>
          <t>01/05/2026</t>
        </is>
      </c>
      <c r="W787">
        <v>40</v>
      </c>
      <c r="AA787" t="inlineStr">
        <is>
          <t>Aberta 30-60 dias</t>
        </is>
      </c>
      <c r="AB787" t="inlineStr">
        <is>
          <t>GSA</t>
        </is>
      </c>
    </row>
    <row r="788">
      <c r="A788">
        <v>786</v>
      </c>
      <c r="B788">
        <v>2</v>
      </c>
      <c r="C788" t="inlineStr">
        <is>
          <t>1.6</t>
        </is>
      </c>
      <c r="D788" t="inlineStr">
        <is>
          <t>C07</t>
        </is>
      </c>
      <c r="E788" t="inlineStr">
        <is>
          <t>LE/LD</t>
        </is>
      </c>
      <c r="F788" t="inlineStr">
        <is>
          <t>ATERPA</t>
        </is>
      </c>
      <c r="G788" t="inlineStr">
        <is>
          <t>CLP-012</t>
        </is>
      </c>
      <c r="H788" t="inlineStr">
        <is>
          <t>Protocolo</t>
        </is>
      </c>
      <c r="I788">
        <v>6</v>
      </c>
      <c r="J788" t="inlineStr">
        <is>
          <t>Drenagem Superficial</t>
        </is>
      </c>
      <c r="K788" t="inlineStr">
        <is>
          <t>6.1</t>
        </is>
      </c>
      <c r="L788" t="inlineStr">
        <is>
          <t>Canaleta</t>
        </is>
      </c>
      <c r="M788" t="inlineStr">
        <is>
          <t>Dispositivo não executado</t>
        </is>
      </c>
      <c r="N788" t="inlineStr">
        <is>
          <t>Pendente execução de drenagem.</t>
        </is>
      </c>
      <c r="O788" t="inlineStr">
        <is>
          <t>Tipo A</t>
        </is>
      </c>
      <c r="P788" t="inlineStr">
        <is>
          <t>62+550</t>
        </is>
      </c>
      <c r="Q788" t="inlineStr">
        <is>
          <t>62+550</t>
        </is>
      </c>
      <c r="R788" t="inlineStr">
        <is>
          <t>Aberta</t>
        </is>
      </c>
      <c r="T788" t="inlineStr">
        <is>
          <t>Aline Batista</t>
        </is>
      </c>
      <c r="U788" t="inlineStr">
        <is>
          <t>24/04/2026</t>
        </is>
      </c>
      <c r="V788" t="inlineStr">
        <is>
          <t>01/05/2026</t>
        </is>
      </c>
      <c r="W788">
        <v>40</v>
      </c>
      <c r="AA788" t="inlineStr">
        <is>
          <t>Aberta 30-60 dias</t>
        </is>
      </c>
    </row>
    <row r="789">
      <c r="A789">
        <v>787</v>
      </c>
      <c r="B789">
        <v>2</v>
      </c>
      <c r="C789" t="inlineStr">
        <is>
          <t>1.6</t>
        </is>
      </c>
      <c r="D789" t="inlineStr">
        <is>
          <t>C07</t>
        </is>
      </c>
      <c r="E789" t="inlineStr">
        <is>
          <t>LE/LD</t>
        </is>
      </c>
      <c r="F789" t="inlineStr">
        <is>
          <t>ATERPA</t>
        </is>
      </c>
      <c r="G789" t="inlineStr">
        <is>
          <t>CLP-012</t>
        </is>
      </c>
      <c r="H789" t="inlineStr">
        <is>
          <t>Protocolo</t>
        </is>
      </c>
      <c r="I789">
        <v>6</v>
      </c>
      <c r="J789" t="inlineStr">
        <is>
          <t>Drenagem Superficial</t>
        </is>
      </c>
      <c r="K789" t="inlineStr">
        <is>
          <t>6.10</t>
        </is>
      </c>
      <c r="L789" t="inlineStr">
        <is>
          <t>Canaleta</t>
        </is>
      </c>
      <c r="M789" t="inlineStr">
        <is>
          <t>Obstrução do dispositivo</t>
        </is>
      </c>
      <c r="N789" t="inlineStr">
        <is>
          <t>Drenagem obstruída por acúmulo de material</t>
        </is>
      </c>
      <c r="O789" t="inlineStr">
        <is>
          <t>Tipo A</t>
        </is>
      </c>
      <c r="P789" t="inlineStr">
        <is>
          <t>62+840</t>
        </is>
      </c>
      <c r="Q789" t="inlineStr">
        <is>
          <t>62+840</t>
        </is>
      </c>
      <c r="R789" t="inlineStr">
        <is>
          <t>Aberta</t>
        </is>
      </c>
      <c r="T789" t="inlineStr">
        <is>
          <t>Aline Batista</t>
        </is>
      </c>
      <c r="U789" t="inlineStr">
        <is>
          <t>24/04/2026</t>
        </is>
      </c>
      <c r="V789" t="inlineStr">
        <is>
          <t>01/05/2026</t>
        </is>
      </c>
      <c r="W789">
        <v>40</v>
      </c>
      <c r="AA789" t="inlineStr">
        <is>
          <t>Aberta 30-60 dias</t>
        </is>
      </c>
      <c r="AB789" t="inlineStr">
        <is>
          <t>GSA</t>
        </is>
      </c>
    </row>
    <row r="790">
      <c r="A790">
        <v>788</v>
      </c>
      <c r="B790">
        <v>2</v>
      </c>
      <c r="C790" t="inlineStr">
        <is>
          <t>1.6</t>
        </is>
      </c>
      <c r="D790" t="inlineStr">
        <is>
          <t>C07</t>
        </is>
      </c>
      <c r="E790" t="inlineStr">
        <is>
          <t>LE/LD</t>
        </is>
      </c>
      <c r="F790" t="inlineStr">
        <is>
          <t>ATERPA</t>
        </is>
      </c>
      <c r="G790" t="inlineStr">
        <is>
          <t>CLP-012</t>
        </is>
      </c>
      <c r="H790" t="inlineStr">
        <is>
          <t>Protocolo</t>
        </is>
      </c>
      <c r="I790">
        <v>6</v>
      </c>
      <c r="J790" t="inlineStr">
        <is>
          <t>Drenagem Superficial</t>
        </is>
      </c>
      <c r="K790" t="inlineStr">
        <is>
          <t>6.10</t>
        </is>
      </c>
      <c r="L790" t="inlineStr">
        <is>
          <t>Canaleta</t>
        </is>
      </c>
      <c r="M790" t="inlineStr">
        <is>
          <t>Obstrução do dispositivo</t>
        </is>
      </c>
      <c r="N790" t="inlineStr">
        <is>
          <t>Drenagem obstruída por acúmulo de material</t>
        </is>
      </c>
      <c r="O790" t="inlineStr">
        <is>
          <t>Tipo A</t>
        </is>
      </c>
      <c r="P790" t="inlineStr">
        <is>
          <t>62+860</t>
        </is>
      </c>
      <c r="Q790" t="inlineStr">
        <is>
          <t>62+860</t>
        </is>
      </c>
      <c r="R790" t="inlineStr">
        <is>
          <t>Aberta</t>
        </is>
      </c>
      <c r="T790" t="inlineStr">
        <is>
          <t>Aline Batista</t>
        </is>
      </c>
      <c r="U790" t="inlineStr">
        <is>
          <t>24/04/2026</t>
        </is>
      </c>
      <c r="V790" t="inlineStr">
        <is>
          <t>01/05/2026</t>
        </is>
      </c>
      <c r="W790">
        <v>40</v>
      </c>
      <c r="AA790" t="inlineStr">
        <is>
          <t>Aberta 30-60 dias</t>
        </is>
      </c>
      <c r="AB790" t="inlineStr">
        <is>
          <t>GSA</t>
        </is>
      </c>
    </row>
    <row r="791">
      <c r="A791">
        <v>789</v>
      </c>
      <c r="B791">
        <v>2</v>
      </c>
      <c r="C791" t="inlineStr">
        <is>
          <t>1.6</t>
        </is>
      </c>
      <c r="D791" t="inlineStr">
        <is>
          <t>C07</t>
        </is>
      </c>
      <c r="E791" t="inlineStr">
        <is>
          <t>LE/LD</t>
        </is>
      </c>
      <c r="F791" t="inlineStr">
        <is>
          <t>ATERPA</t>
        </is>
      </c>
      <c r="G791" t="inlineStr">
        <is>
          <t>CLP-012</t>
        </is>
      </c>
      <c r="H791" t="inlineStr">
        <is>
          <t>Protocolo</t>
        </is>
      </c>
      <c r="I791">
        <v>6</v>
      </c>
      <c r="J791" t="inlineStr">
        <is>
          <t>Drenagem Superficial</t>
        </is>
      </c>
      <c r="K791" t="inlineStr">
        <is>
          <t>6.10</t>
        </is>
      </c>
      <c r="L791" t="inlineStr">
        <is>
          <t>Canaleta</t>
        </is>
      </c>
      <c r="M791" t="inlineStr">
        <is>
          <t>Obstrução do dispositivo</t>
        </is>
      </c>
      <c r="N791" t="inlineStr">
        <is>
          <t>Drenagem obstruída por acúmulo de material</t>
        </is>
      </c>
      <c r="O791" t="inlineStr">
        <is>
          <t>Tipo A</t>
        </is>
      </c>
      <c r="P791" t="inlineStr">
        <is>
          <t>62+930</t>
        </is>
      </c>
      <c r="Q791" t="inlineStr">
        <is>
          <t>62+930</t>
        </is>
      </c>
      <c r="R791" t="inlineStr">
        <is>
          <t>Aberta</t>
        </is>
      </c>
      <c r="T791" t="inlineStr">
        <is>
          <t>Aline Batista</t>
        </is>
      </c>
      <c r="U791" t="inlineStr">
        <is>
          <t>24/04/2026</t>
        </is>
      </c>
      <c r="V791" t="inlineStr">
        <is>
          <t>01/05/2026</t>
        </is>
      </c>
      <c r="W791">
        <v>40</v>
      </c>
      <c r="AA791" t="inlineStr">
        <is>
          <t>Aberta 30-60 dias</t>
        </is>
      </c>
    </row>
    <row r="792">
      <c r="A792">
        <v>790</v>
      </c>
      <c r="B792">
        <v>2</v>
      </c>
      <c r="C792" t="inlineStr">
        <is>
          <t>1.6</t>
        </is>
      </c>
      <c r="D792" t="inlineStr">
        <is>
          <t>C07</t>
        </is>
      </c>
      <c r="E792" t="inlineStr">
        <is>
          <t>LE/LD</t>
        </is>
      </c>
      <c r="F792" t="inlineStr">
        <is>
          <t>ATERPA</t>
        </is>
      </c>
      <c r="G792" t="inlineStr">
        <is>
          <t>CLP-012</t>
        </is>
      </c>
      <c r="H792" t="inlineStr">
        <is>
          <t>Protocolo</t>
        </is>
      </c>
      <c r="I792">
        <v>6</v>
      </c>
      <c r="J792" t="inlineStr">
        <is>
          <t>Drenagem Superficial</t>
        </is>
      </c>
      <c r="K792" t="inlineStr">
        <is>
          <t>6.10</t>
        </is>
      </c>
      <c r="L792" t="inlineStr">
        <is>
          <t>Canaleta</t>
        </is>
      </c>
      <c r="M792" t="inlineStr">
        <is>
          <t>Obstrução do dispositivo</t>
        </is>
      </c>
      <c r="N792" t="inlineStr">
        <is>
          <t>Drenagem obstruída por acúmulo de material</t>
        </is>
      </c>
      <c r="O792" t="inlineStr">
        <is>
          <t>Tipo A</t>
        </is>
      </c>
      <c r="P792" t="inlineStr">
        <is>
          <t>62+960</t>
        </is>
      </c>
      <c r="Q792" t="inlineStr">
        <is>
          <t>62+960</t>
        </is>
      </c>
      <c r="R792" t="inlineStr">
        <is>
          <t>Aberta</t>
        </is>
      </c>
      <c r="T792" t="inlineStr">
        <is>
          <t>Aline Batista</t>
        </is>
      </c>
      <c r="U792" t="inlineStr">
        <is>
          <t>24/04/2026</t>
        </is>
      </c>
      <c r="V792" t="inlineStr">
        <is>
          <t>01/05/2026</t>
        </is>
      </c>
      <c r="W792">
        <v>40</v>
      </c>
      <c r="AA792" t="inlineStr">
        <is>
          <t>Aberta 30-60 dias</t>
        </is>
      </c>
    </row>
    <row r="793">
      <c r="A793">
        <v>791</v>
      </c>
      <c r="B793">
        <v>2</v>
      </c>
      <c r="C793" t="inlineStr">
        <is>
          <t>1.6</t>
        </is>
      </c>
      <c r="D793" t="inlineStr">
        <is>
          <t>C07</t>
        </is>
      </c>
      <c r="E793" t="inlineStr">
        <is>
          <t>LE/LD</t>
        </is>
      </c>
      <c r="F793" t="inlineStr">
        <is>
          <t>ATERPA</t>
        </is>
      </c>
      <c r="G793" t="inlineStr">
        <is>
          <t>CLP-012</t>
        </is>
      </c>
      <c r="H793" t="inlineStr">
        <is>
          <t>Protocolo</t>
        </is>
      </c>
      <c r="I793">
        <v>6</v>
      </c>
      <c r="J793" t="inlineStr">
        <is>
          <t>Drenagem Superficial</t>
        </is>
      </c>
      <c r="K793" t="inlineStr">
        <is>
          <t>6.6</t>
        </is>
      </c>
      <c r="L793" t="inlineStr">
        <is>
          <t>Talude</t>
        </is>
      </c>
      <c r="M793" t="inlineStr">
        <is>
          <t>Conformação</t>
        </is>
      </c>
      <c r="N793" t="inlineStr">
        <is>
          <t>Conformação do aterro na lateral do DSH</t>
        </is>
      </c>
      <c r="O793" t="inlineStr">
        <is>
          <t>Tipo A</t>
        </is>
      </c>
      <c r="P793" t="inlineStr">
        <is>
          <t>63+110</t>
        </is>
      </c>
      <c r="Q793" t="inlineStr">
        <is>
          <t>63+110</t>
        </is>
      </c>
      <c r="R793" t="inlineStr">
        <is>
          <t>Aberta</t>
        </is>
      </c>
      <c r="T793" t="inlineStr">
        <is>
          <t>Aline Batista</t>
        </is>
      </c>
      <c r="U793" t="inlineStr">
        <is>
          <t>24/04/2026</t>
        </is>
      </c>
      <c r="V793" t="inlineStr">
        <is>
          <t>01/05/2026</t>
        </is>
      </c>
      <c r="W793">
        <v>40</v>
      </c>
      <c r="AA793" t="inlineStr">
        <is>
          <t>Aberta 30-60 dias</t>
        </is>
      </c>
      <c r="AB793" t="inlineStr">
        <is>
          <t>GSA</t>
        </is>
      </c>
    </row>
    <row r="794">
      <c r="A794">
        <v>792</v>
      </c>
      <c r="B794">
        <v>2</v>
      </c>
      <c r="C794" t="inlineStr">
        <is>
          <t>1.6</t>
        </is>
      </c>
      <c r="D794" t="inlineStr">
        <is>
          <t>C07</t>
        </is>
      </c>
      <c r="E794" t="inlineStr">
        <is>
          <t>LE/LD</t>
        </is>
      </c>
      <c r="F794" t="inlineStr">
        <is>
          <t>ATERPA</t>
        </is>
      </c>
      <c r="G794" t="inlineStr">
        <is>
          <t>CLP-012</t>
        </is>
      </c>
      <c r="H794" t="inlineStr">
        <is>
          <t>Protocolo</t>
        </is>
      </c>
      <c r="I794">
        <v>6</v>
      </c>
      <c r="J794" t="inlineStr">
        <is>
          <t>Drenagem Superficial</t>
        </is>
      </c>
      <c r="K794" t="inlineStr">
        <is>
          <t>6.8</t>
        </is>
      </c>
      <c r="L794" t="inlineStr">
        <is>
          <t>Canaleta</t>
        </is>
      </c>
      <c r="M794" t="inlineStr">
        <is>
          <t>Patologias no Concreto</t>
        </is>
      </c>
      <c r="N794" t="inlineStr">
        <is>
          <t xml:space="preserve">Presença de fissuras na drenagem. </t>
        </is>
      </c>
      <c r="O794" t="inlineStr">
        <is>
          <t>Tipo A</t>
        </is>
      </c>
      <c r="P794" t="inlineStr">
        <is>
          <t>63+140</t>
        </is>
      </c>
      <c r="Q794" t="inlineStr">
        <is>
          <t>63+140</t>
        </is>
      </c>
      <c r="R794" t="inlineStr">
        <is>
          <t>Aberta</t>
        </is>
      </c>
      <c r="T794" t="inlineStr">
        <is>
          <t>Aline Batista</t>
        </is>
      </c>
      <c r="U794" t="inlineStr">
        <is>
          <t>24/04/2026</t>
        </is>
      </c>
      <c r="V794" t="inlineStr">
        <is>
          <t>01/05/2026</t>
        </is>
      </c>
      <c r="W794">
        <v>40</v>
      </c>
      <c r="AA794" t="inlineStr">
        <is>
          <t>Aberta 30-60 dias</t>
        </is>
      </c>
      <c r="AB794" t="inlineStr">
        <is>
          <t>GSA</t>
        </is>
      </c>
    </row>
    <row r="795">
      <c r="A795">
        <v>793</v>
      </c>
      <c r="B795">
        <v>2</v>
      </c>
      <c r="C795" t="inlineStr">
        <is>
          <t>1.6</t>
        </is>
      </c>
      <c r="D795" t="inlineStr">
        <is>
          <t>C07</t>
        </is>
      </c>
      <c r="E795" t="inlineStr">
        <is>
          <t>LE/LD</t>
        </is>
      </c>
      <c r="F795" t="inlineStr">
        <is>
          <t>ATERPA</t>
        </is>
      </c>
      <c r="G795" t="inlineStr">
        <is>
          <t>CLP-012</t>
        </is>
      </c>
      <c r="H795" t="inlineStr">
        <is>
          <t>Protocolo</t>
        </is>
      </c>
      <c r="I795">
        <v>6</v>
      </c>
      <c r="J795" t="inlineStr">
        <is>
          <t>Drenagem Superficial</t>
        </is>
      </c>
      <c r="K795" t="inlineStr">
        <is>
          <t>6.8</t>
        </is>
      </c>
      <c r="L795" t="inlineStr">
        <is>
          <t>Canaleta</t>
        </is>
      </c>
      <c r="M795" t="inlineStr">
        <is>
          <t>Patologias no Concreto</t>
        </is>
      </c>
      <c r="N795" t="inlineStr">
        <is>
          <t xml:space="preserve">Presença de fissuras na drenagem. </t>
        </is>
      </c>
      <c r="O795" t="inlineStr">
        <is>
          <t>Tipo A</t>
        </is>
      </c>
      <c r="P795" t="inlineStr">
        <is>
          <t>63+240</t>
        </is>
      </c>
      <c r="Q795" t="inlineStr">
        <is>
          <t>63+240</t>
        </is>
      </c>
      <c r="R795" t="inlineStr">
        <is>
          <t>Aberta</t>
        </is>
      </c>
      <c r="T795" t="inlineStr">
        <is>
          <t>Aline Batista</t>
        </is>
      </c>
      <c r="U795" t="inlineStr">
        <is>
          <t>24/04/2026</t>
        </is>
      </c>
      <c r="V795" t="inlineStr">
        <is>
          <t>01/05/2026</t>
        </is>
      </c>
      <c r="W795">
        <v>40</v>
      </c>
      <c r="AA795" t="inlineStr">
        <is>
          <t>Aberta 30-60 dias</t>
        </is>
      </c>
      <c r="AB795" t="inlineStr">
        <is>
          <t>GSA</t>
        </is>
      </c>
    </row>
    <row r="796">
      <c r="A796">
        <v>794</v>
      </c>
      <c r="B796">
        <v>2</v>
      </c>
      <c r="C796" t="inlineStr">
        <is>
          <t>1.6</t>
        </is>
      </c>
      <c r="D796" t="inlineStr">
        <is>
          <t>C07</t>
        </is>
      </c>
      <c r="E796" t="inlineStr">
        <is>
          <t>LE/LD</t>
        </is>
      </c>
      <c r="F796" t="inlineStr">
        <is>
          <t>ATERPA</t>
        </is>
      </c>
      <c r="G796" t="inlineStr">
        <is>
          <t>CLP-012</t>
        </is>
      </c>
      <c r="H796" t="inlineStr">
        <is>
          <t>Protocolo</t>
        </is>
      </c>
      <c r="I796">
        <v>6</v>
      </c>
      <c r="J796" t="inlineStr">
        <is>
          <t>Drenagem Superficial</t>
        </is>
      </c>
      <c r="K796" t="inlineStr">
        <is>
          <t>6.10</t>
        </is>
      </c>
      <c r="L796" t="inlineStr">
        <is>
          <t>Canaleta</t>
        </is>
      </c>
      <c r="M796" t="inlineStr">
        <is>
          <t>Obstrução do dispositivo</t>
        </is>
      </c>
      <c r="N796" t="inlineStr">
        <is>
          <t>Drenagem obstruída por acúmulo de material</t>
        </is>
      </c>
      <c r="O796" t="inlineStr">
        <is>
          <t>Tipo A</t>
        </is>
      </c>
      <c r="P796" t="inlineStr">
        <is>
          <t>63+260</t>
        </is>
      </c>
      <c r="Q796" t="inlineStr">
        <is>
          <t>63+260</t>
        </is>
      </c>
      <c r="R796" t="inlineStr">
        <is>
          <t>Aberta</t>
        </is>
      </c>
      <c r="T796" t="inlineStr">
        <is>
          <t>Aline Batista</t>
        </is>
      </c>
      <c r="U796" t="inlineStr">
        <is>
          <t>24/04/2026</t>
        </is>
      </c>
      <c r="V796" t="inlineStr">
        <is>
          <t>01/05/2026</t>
        </is>
      </c>
      <c r="W796">
        <v>40</v>
      </c>
      <c r="AA796" t="inlineStr">
        <is>
          <t>Aberta 30-60 dias</t>
        </is>
      </c>
      <c r="AB796" t="inlineStr">
        <is>
          <t>GSA</t>
        </is>
      </c>
    </row>
    <row r="797">
      <c r="A797">
        <v>795</v>
      </c>
      <c r="B797">
        <v>2</v>
      </c>
      <c r="C797" t="inlineStr">
        <is>
          <t>1.6</t>
        </is>
      </c>
      <c r="D797" t="inlineStr">
        <is>
          <t>A07</t>
        </is>
      </c>
      <c r="E797" t="inlineStr">
        <is>
          <t>LE/LD</t>
        </is>
      </c>
      <c r="F797" t="inlineStr">
        <is>
          <t>ATERPA</t>
        </is>
      </c>
      <c r="G797" t="inlineStr">
        <is>
          <t>CLP-012</t>
        </is>
      </c>
      <c r="H797" t="inlineStr">
        <is>
          <t>Protocolo</t>
        </is>
      </c>
      <c r="I797">
        <v>6</v>
      </c>
      <c r="J797" t="inlineStr">
        <is>
          <t>Drenagem Superficial</t>
        </is>
      </c>
      <c r="K797" t="inlineStr">
        <is>
          <t>6.5</t>
        </is>
      </c>
      <c r="L797" t="inlineStr">
        <is>
          <t>Dispositivo de drenagem</t>
        </is>
      </c>
      <c r="M797" t="inlineStr">
        <is>
          <t>Dispositivo não executado</t>
        </is>
      </c>
      <c r="N797" t="inlineStr">
        <is>
          <t xml:space="preserve">Ausência do dissipador </t>
        </is>
      </c>
      <c r="O797" t="inlineStr">
        <is>
          <t>Tipo A</t>
        </is>
      </c>
      <c r="P797" t="inlineStr">
        <is>
          <t>63+400</t>
        </is>
      </c>
      <c r="Q797" t="inlineStr">
        <is>
          <t>63+400</t>
        </is>
      </c>
      <c r="R797" t="inlineStr">
        <is>
          <t>Aberta</t>
        </is>
      </c>
      <c r="T797" t="inlineStr">
        <is>
          <t>Aline Batista</t>
        </is>
      </c>
      <c r="U797" t="inlineStr">
        <is>
          <t>24/04/2026</t>
        </is>
      </c>
      <c r="V797" t="inlineStr">
        <is>
          <t>01/05/2026</t>
        </is>
      </c>
      <c r="W797">
        <v>40</v>
      </c>
      <c r="AA797" t="inlineStr">
        <is>
          <t>Aberta 30-60 dias</t>
        </is>
      </c>
      <c r="AB797" t="inlineStr">
        <is>
          <t>GSA</t>
        </is>
      </c>
    </row>
    <row r="798">
      <c r="A798">
        <v>796</v>
      </c>
      <c r="B798">
        <v>2</v>
      </c>
      <c r="C798" t="inlineStr">
        <is>
          <t>1.6</t>
        </is>
      </c>
      <c r="D798" t="inlineStr">
        <is>
          <t>A07</t>
        </is>
      </c>
      <c r="E798" t="inlineStr">
        <is>
          <t>LE/LD</t>
        </is>
      </c>
      <c r="F798" t="inlineStr">
        <is>
          <t>ATERPA</t>
        </is>
      </c>
      <c r="G798" t="inlineStr">
        <is>
          <t>CLP-012</t>
        </is>
      </c>
      <c r="H798" t="inlineStr">
        <is>
          <t>Fiscalização</t>
        </is>
      </c>
      <c r="I798">
        <v>6</v>
      </c>
      <c r="J798" t="inlineStr">
        <is>
          <t>Drenagem Superficial</t>
        </is>
      </c>
      <c r="K798" t="inlineStr">
        <is>
          <t>6.5</t>
        </is>
      </c>
      <c r="L798" t="inlineStr">
        <is>
          <t>Dispositivo de drenagem</t>
        </is>
      </c>
      <c r="M798" t="inlineStr">
        <is>
          <t>Conformação</t>
        </is>
      </c>
      <c r="N798" t="inlineStr">
        <is>
          <t xml:space="preserve">Conformação e limpeza da saida do DSH </t>
        </is>
      </c>
      <c r="O798" t="inlineStr">
        <is>
          <t>Tipo C</t>
        </is>
      </c>
      <c r="P798" t="inlineStr">
        <is>
          <t>63+420</t>
        </is>
      </c>
      <c r="Q798" t="inlineStr">
        <is>
          <t>63+420</t>
        </is>
      </c>
      <c r="R798" t="inlineStr">
        <is>
          <t>Aberta</t>
        </is>
      </c>
      <c r="T798" t="inlineStr">
        <is>
          <t>Aline Batista</t>
        </is>
      </c>
      <c r="U798" t="inlineStr">
        <is>
          <t>24/04/2026</t>
        </is>
      </c>
      <c r="V798" t="inlineStr">
        <is>
          <t>24/05/2026</t>
        </is>
      </c>
      <c r="W798">
        <v>17</v>
      </c>
      <c r="AA798" t="inlineStr">
        <is>
          <t>Aberta 30-60 dias</t>
        </is>
      </c>
      <c r="AB798" t="inlineStr">
        <is>
          <t>GSA</t>
        </is>
      </c>
    </row>
    <row r="799">
      <c r="A799">
        <v>797</v>
      </c>
      <c r="B799">
        <v>2</v>
      </c>
      <c r="C799" t="inlineStr">
        <is>
          <t>1.6</t>
        </is>
      </c>
      <c r="D799" t="inlineStr">
        <is>
          <t>A07</t>
        </is>
      </c>
      <c r="E799" t="inlineStr">
        <is>
          <t>LE/LD</t>
        </is>
      </c>
      <c r="F799" t="inlineStr">
        <is>
          <t>ATERPA</t>
        </is>
      </c>
      <c r="G799" t="inlineStr">
        <is>
          <t>CLP-012</t>
        </is>
      </c>
      <c r="H799" t="inlineStr">
        <is>
          <t>Protocolo</t>
        </is>
      </c>
      <c r="I799">
        <v>6</v>
      </c>
      <c r="J799" t="inlineStr">
        <is>
          <t>Drenagem Superficial</t>
        </is>
      </c>
      <c r="K799" t="inlineStr">
        <is>
          <t>6.5</t>
        </is>
      </c>
      <c r="L799" t="inlineStr">
        <is>
          <t>Dispositivo de drenagem</t>
        </is>
      </c>
      <c r="M799" t="inlineStr">
        <is>
          <t>Assoreamento</t>
        </is>
      </c>
      <c r="N799" t="inlineStr">
        <is>
          <t>Dissipador e bacia assoreados</t>
        </is>
      </c>
      <c r="O799" t="inlineStr">
        <is>
          <t>Tipo A</t>
        </is>
      </c>
      <c r="P799" t="inlineStr">
        <is>
          <t>63+440</t>
        </is>
      </c>
      <c r="Q799" t="inlineStr">
        <is>
          <t>63+440</t>
        </is>
      </c>
      <c r="R799" t="inlineStr">
        <is>
          <t>Aberta</t>
        </is>
      </c>
      <c r="T799" t="inlineStr">
        <is>
          <t>Aline Batista</t>
        </is>
      </c>
      <c r="U799" t="inlineStr">
        <is>
          <t>24/04/2026</t>
        </is>
      </c>
      <c r="V799" t="inlineStr">
        <is>
          <t>01/05/2026</t>
        </is>
      </c>
      <c r="W799">
        <v>40</v>
      </c>
      <c r="AA799" t="inlineStr">
        <is>
          <t>Aberta 30-60 dias</t>
        </is>
      </c>
      <c r="AB799" t="inlineStr">
        <is>
          <t>GSA</t>
        </is>
      </c>
    </row>
    <row r="800">
      <c r="A800">
        <v>798</v>
      </c>
      <c r="B800">
        <v>2</v>
      </c>
      <c r="C800" t="inlineStr">
        <is>
          <t>1.6</t>
        </is>
      </c>
      <c r="D800" t="inlineStr">
        <is>
          <t>A07</t>
        </is>
      </c>
      <c r="E800" t="inlineStr">
        <is>
          <t>LE/LD</t>
        </is>
      </c>
      <c r="F800" t="inlineStr">
        <is>
          <t>ATERPA</t>
        </is>
      </c>
      <c r="G800" t="inlineStr">
        <is>
          <t>CLP-012</t>
        </is>
      </c>
      <c r="H800" t="inlineStr">
        <is>
          <t>Protocolo</t>
        </is>
      </c>
      <c r="I800">
        <v>6</v>
      </c>
      <c r="J800" t="inlineStr">
        <is>
          <t>Drenagem Superficial</t>
        </is>
      </c>
      <c r="K800" t="inlineStr">
        <is>
          <t>6.5</t>
        </is>
      </c>
      <c r="L800" t="inlineStr">
        <is>
          <t>Dispositivo de drenagem</t>
        </is>
      </c>
      <c r="M800" t="inlineStr">
        <is>
          <t>Assoreamento</t>
        </is>
      </c>
      <c r="N800" t="inlineStr">
        <is>
          <t>Dissipador assoreado</t>
        </is>
      </c>
      <c r="O800" t="inlineStr">
        <is>
          <t>Tipo A</t>
        </is>
      </c>
      <c r="P800" t="inlineStr">
        <is>
          <t>63+480</t>
        </is>
      </c>
      <c r="Q800" t="inlineStr">
        <is>
          <t>63+480</t>
        </is>
      </c>
      <c r="R800" t="inlineStr">
        <is>
          <t>Aberta</t>
        </is>
      </c>
      <c r="T800" t="inlineStr">
        <is>
          <t>Aline Batista</t>
        </is>
      </c>
      <c r="U800" t="inlineStr">
        <is>
          <t>24/04/2026</t>
        </is>
      </c>
      <c r="V800" t="inlineStr">
        <is>
          <t>01/05/2026</t>
        </is>
      </c>
      <c r="W800">
        <v>40</v>
      </c>
      <c r="AA800" t="inlineStr">
        <is>
          <t>Aberta 30-60 dias</t>
        </is>
      </c>
      <c r="AB800" t="inlineStr">
        <is>
          <t>GSA</t>
        </is>
      </c>
    </row>
    <row r="801">
      <c r="A801">
        <v>799</v>
      </c>
      <c r="B801">
        <v>2</v>
      </c>
      <c r="C801" t="inlineStr">
        <is>
          <t>1.6</t>
        </is>
      </c>
      <c r="D801" t="inlineStr">
        <is>
          <t>A07</t>
        </is>
      </c>
      <c r="E801" t="inlineStr">
        <is>
          <t>LE/LD</t>
        </is>
      </c>
      <c r="F801" t="inlineStr">
        <is>
          <t>ATERPA</t>
        </is>
      </c>
      <c r="G801" t="inlineStr">
        <is>
          <t>CLP-012</t>
        </is>
      </c>
      <c r="H801" t="inlineStr">
        <is>
          <t>Protocolo</t>
        </is>
      </c>
      <c r="I801">
        <v>6</v>
      </c>
      <c r="J801" t="inlineStr">
        <is>
          <t>Drenagem Superficial</t>
        </is>
      </c>
      <c r="K801" t="inlineStr">
        <is>
          <t>6.1</t>
        </is>
      </c>
      <c r="L801" t="inlineStr">
        <is>
          <t>Dispositivo de drenagem</t>
        </is>
      </c>
      <c r="M801" t="inlineStr">
        <is>
          <t>Dispositivo não executado</t>
        </is>
      </c>
      <c r="N801" t="inlineStr">
        <is>
          <t>Pendente execução de drenagem.</t>
        </is>
      </c>
      <c r="O801" t="inlineStr">
        <is>
          <t>Tipo A</t>
        </is>
      </c>
      <c r="P801" t="inlineStr">
        <is>
          <t>63+600</t>
        </is>
      </c>
      <c r="Q801" t="inlineStr">
        <is>
          <t>63+600</t>
        </is>
      </c>
      <c r="R801" t="inlineStr">
        <is>
          <t>Aberta</t>
        </is>
      </c>
      <c r="T801" t="inlineStr">
        <is>
          <t>Aline Batista</t>
        </is>
      </c>
      <c r="U801" t="inlineStr">
        <is>
          <t>24/04/2026</t>
        </is>
      </c>
      <c r="V801" t="inlineStr">
        <is>
          <t>01/05/2026</t>
        </is>
      </c>
      <c r="W801">
        <v>40</v>
      </c>
      <c r="AA801" t="inlineStr">
        <is>
          <t>Aberta 30-60 dias</t>
        </is>
      </c>
      <c r="AB801" t="inlineStr">
        <is>
          <t>GSA</t>
        </is>
      </c>
    </row>
    <row r="802">
      <c r="A802">
        <v>800</v>
      </c>
      <c r="B802">
        <v>2</v>
      </c>
      <c r="C802" t="inlineStr">
        <is>
          <t>1.6</t>
        </is>
      </c>
      <c r="D802" t="inlineStr">
        <is>
          <t>C08</t>
        </is>
      </c>
      <c r="E802" t="inlineStr">
        <is>
          <t>LE/LD</t>
        </is>
      </c>
      <c r="F802" t="inlineStr">
        <is>
          <t>ATERPA</t>
        </is>
      </c>
      <c r="G802" t="inlineStr">
        <is>
          <t>CLP-012</t>
        </is>
      </c>
      <c r="H802" t="inlineStr">
        <is>
          <t>Fiscalização</t>
        </is>
      </c>
      <c r="I802">
        <v>6</v>
      </c>
      <c r="J802" t="inlineStr">
        <is>
          <t>Drenagem Superficial</t>
        </is>
      </c>
      <c r="K802" t="inlineStr">
        <is>
          <t>6.10</t>
        </is>
      </c>
      <c r="L802" t="inlineStr">
        <is>
          <t>Dispositivo de drenagem</t>
        </is>
      </c>
      <c r="M802" t="inlineStr">
        <is>
          <t>Obstrução do dispositivo</t>
        </is>
      </c>
      <c r="N802" t="inlineStr">
        <is>
          <t>Drenagem obstruída por acúmulo de material</t>
        </is>
      </c>
      <c r="O802" t="inlineStr">
        <is>
          <t>Tipo A</t>
        </is>
      </c>
      <c r="P802" t="inlineStr">
        <is>
          <t>63+900</t>
        </is>
      </c>
      <c r="Q802" t="inlineStr">
        <is>
          <t>63+900</t>
        </is>
      </c>
      <c r="R802" t="inlineStr">
        <is>
          <t>Aberta</t>
        </is>
      </c>
      <c r="T802" t="inlineStr">
        <is>
          <t>Aline Batista</t>
        </is>
      </c>
      <c r="U802" t="inlineStr">
        <is>
          <t>24/04/2026</t>
        </is>
      </c>
      <c r="V802" t="inlineStr">
        <is>
          <t>01/05/2026</t>
        </is>
      </c>
      <c r="W802">
        <v>40</v>
      </c>
      <c r="AA802" t="inlineStr">
        <is>
          <t>Aberta 30-60 dias</t>
        </is>
      </c>
      <c r="AB802" t="inlineStr">
        <is>
          <t>GSA</t>
        </is>
      </c>
    </row>
    <row r="803">
      <c r="A803">
        <v>801</v>
      </c>
      <c r="B803">
        <v>2</v>
      </c>
      <c r="C803" t="inlineStr">
        <is>
          <t>1.6</t>
        </is>
      </c>
      <c r="D803" t="inlineStr">
        <is>
          <t>C08</t>
        </is>
      </c>
      <c r="E803" t="inlineStr">
        <is>
          <t>LE/LD</t>
        </is>
      </c>
      <c r="F803" t="inlineStr">
        <is>
          <t>ATERPA</t>
        </is>
      </c>
      <c r="G803" t="inlineStr">
        <is>
          <t>CLP-012</t>
        </is>
      </c>
      <c r="H803" t="inlineStr">
        <is>
          <t>Fiscalização</t>
        </is>
      </c>
      <c r="I803">
        <v>6</v>
      </c>
      <c r="J803" t="inlineStr">
        <is>
          <t>Drenagem Superficial</t>
        </is>
      </c>
      <c r="K803" t="inlineStr">
        <is>
          <t>6.10</t>
        </is>
      </c>
      <c r="L803" t="inlineStr">
        <is>
          <t>Dispositivo de drenagem</t>
        </is>
      </c>
      <c r="M803" t="inlineStr">
        <is>
          <t>Obstrução do dispositivo</t>
        </is>
      </c>
      <c r="N803" t="inlineStr">
        <is>
          <t>Drenagem obstruída por acúmulo de material e presença de material solto em plataforma.</t>
        </is>
      </c>
      <c r="O803" t="inlineStr">
        <is>
          <t>Tipo A</t>
        </is>
      </c>
      <c r="P803" t="inlineStr">
        <is>
          <t>63+900</t>
        </is>
      </c>
      <c r="Q803" t="inlineStr">
        <is>
          <t>63+900</t>
        </is>
      </c>
      <c r="R803" t="inlineStr">
        <is>
          <t>Aberta</t>
        </is>
      </c>
      <c r="T803" t="inlineStr">
        <is>
          <t>Aline Batista</t>
        </is>
      </c>
      <c r="U803" t="inlineStr">
        <is>
          <t>24/04/2026</t>
        </is>
      </c>
      <c r="V803" t="inlineStr">
        <is>
          <t>01/05/2026</t>
        </is>
      </c>
      <c r="W803">
        <v>40</v>
      </c>
      <c r="AA803" t="inlineStr">
        <is>
          <t>Aberta 30-60 dias</t>
        </is>
      </c>
      <c r="AB803" t="inlineStr">
        <is>
          <t>GSA</t>
        </is>
      </c>
    </row>
    <row r="804">
      <c r="A804">
        <v>802</v>
      </c>
      <c r="B804">
        <v>2</v>
      </c>
      <c r="C804" t="inlineStr">
        <is>
          <t>1.6</t>
        </is>
      </c>
      <c r="D804" t="inlineStr">
        <is>
          <t>C08</t>
        </is>
      </c>
      <c r="E804" t="inlineStr">
        <is>
          <t>LE/LD</t>
        </is>
      </c>
      <c r="F804" t="inlineStr">
        <is>
          <t>ATERPA</t>
        </is>
      </c>
      <c r="G804" t="inlineStr">
        <is>
          <t>CLP-012</t>
        </is>
      </c>
      <c r="H804" t="inlineStr">
        <is>
          <t>Protocolo</t>
        </is>
      </c>
      <c r="I804">
        <v>6</v>
      </c>
      <c r="J804" t="inlineStr">
        <is>
          <t>Drenagem Superficial</t>
        </is>
      </c>
      <c r="K804" t="inlineStr">
        <is>
          <t>6.10</t>
        </is>
      </c>
      <c r="L804" t="inlineStr">
        <is>
          <t>Dispositivo de drenagem</t>
        </is>
      </c>
      <c r="M804" t="inlineStr">
        <is>
          <t>Obstrução do dispositivo</t>
        </is>
      </c>
      <c r="N804" t="inlineStr">
        <is>
          <t>Drenagem obstruída por acúmulo de material</t>
        </is>
      </c>
      <c r="O804" t="inlineStr">
        <is>
          <t>Tipo A</t>
        </is>
      </c>
      <c r="P804" t="inlineStr">
        <is>
          <t>64+130</t>
        </is>
      </c>
      <c r="Q804" t="inlineStr">
        <is>
          <t>64+130</t>
        </is>
      </c>
      <c r="R804" t="inlineStr">
        <is>
          <t>Aberta</t>
        </is>
      </c>
      <c r="T804" t="inlineStr">
        <is>
          <t>Aline Batista</t>
        </is>
      </c>
      <c r="U804" t="inlineStr">
        <is>
          <t>24/04/2026</t>
        </is>
      </c>
      <c r="V804" t="inlineStr">
        <is>
          <t>01/05/2026</t>
        </is>
      </c>
      <c r="W804">
        <v>40</v>
      </c>
      <c r="AA804" t="inlineStr">
        <is>
          <t>Aberta 30-60 dias</t>
        </is>
      </c>
      <c r="AB804" t="inlineStr">
        <is>
          <t>GSA</t>
        </is>
      </c>
    </row>
    <row r="805">
      <c r="A805">
        <v>803</v>
      </c>
      <c r="B805">
        <v>2</v>
      </c>
      <c r="C805" t="inlineStr">
        <is>
          <t>1.6</t>
        </is>
      </c>
      <c r="D805" t="inlineStr">
        <is>
          <t>C08</t>
        </is>
      </c>
      <c r="E805" t="inlineStr">
        <is>
          <t>LE/LD</t>
        </is>
      </c>
      <c r="F805" t="inlineStr">
        <is>
          <t>ATERPA</t>
        </is>
      </c>
      <c r="G805" t="inlineStr">
        <is>
          <t>CLP-012</t>
        </is>
      </c>
      <c r="H805" t="inlineStr">
        <is>
          <t>Protocolo</t>
        </is>
      </c>
      <c r="I805">
        <v>6</v>
      </c>
      <c r="J805" t="inlineStr">
        <is>
          <t>Terraplenagem</t>
        </is>
      </c>
      <c r="K805" t="inlineStr">
        <is>
          <t>4.24</t>
        </is>
      </c>
      <c r="L805" t="inlineStr">
        <is>
          <t>Taliude</t>
        </is>
      </c>
      <c r="M805" t="inlineStr">
        <is>
          <t>Conformação</t>
        </is>
      </c>
      <c r="N805" t="inlineStr">
        <is>
          <t>Conformação de material e aplicação de hidrossemeadura na lateral do dispositivo de drenagem.</t>
        </is>
      </c>
      <c r="O805" t="inlineStr">
        <is>
          <t>Tipo A</t>
        </is>
      </c>
      <c r="P805" t="inlineStr">
        <is>
          <t>64+660</t>
        </is>
      </c>
      <c r="Q805" t="inlineStr">
        <is>
          <t>64+660</t>
        </is>
      </c>
      <c r="R805" t="inlineStr">
        <is>
          <t>Aberta</t>
        </is>
      </c>
      <c r="T805" t="inlineStr">
        <is>
          <t>Aline Batista</t>
        </is>
      </c>
      <c r="U805" t="inlineStr">
        <is>
          <t>24/04/2026</t>
        </is>
      </c>
      <c r="V805" t="inlineStr">
        <is>
          <t>01/05/2026</t>
        </is>
      </c>
      <c r="W805">
        <v>40</v>
      </c>
      <c r="AA805" t="inlineStr">
        <is>
          <t>Aberta 30-60 dias</t>
        </is>
      </c>
      <c r="AB805" t="inlineStr">
        <is>
          <t>GSA</t>
        </is>
      </c>
    </row>
    <row r="806">
      <c r="A806">
        <v>804</v>
      </c>
      <c r="B806">
        <v>2</v>
      </c>
      <c r="C806" t="inlineStr">
        <is>
          <t>1.6</t>
        </is>
      </c>
      <c r="D806" t="inlineStr">
        <is>
          <t>C08</t>
        </is>
      </c>
      <c r="E806" t="inlineStr">
        <is>
          <t>LE/LD</t>
        </is>
      </c>
      <c r="F806" t="inlineStr">
        <is>
          <t>ATERPA</t>
        </is>
      </c>
      <c r="G806" t="inlineStr">
        <is>
          <t>CLP-012</t>
        </is>
      </c>
      <c r="H806" t="inlineStr">
        <is>
          <t>Protocolo</t>
        </is>
      </c>
      <c r="I806">
        <v>6</v>
      </c>
      <c r="J806" t="inlineStr">
        <is>
          <t>Drenagem Superficial</t>
        </is>
      </c>
      <c r="K806" t="inlineStr">
        <is>
          <t>6.1</t>
        </is>
      </c>
      <c r="L806" t="inlineStr">
        <is>
          <t>Dispositivo de drenagem</t>
        </is>
      </c>
      <c r="M806" t="inlineStr">
        <is>
          <t>Obstrução do dispositivo</t>
        </is>
      </c>
      <c r="N806" t="inlineStr">
        <is>
          <t>Canaleta obstruida por lavagem de betoneira</t>
        </is>
      </c>
      <c r="O806" t="inlineStr">
        <is>
          <t>Tipo A</t>
        </is>
      </c>
      <c r="P806" t="inlineStr">
        <is>
          <t>64+680</t>
        </is>
      </c>
      <c r="Q806" t="inlineStr">
        <is>
          <t>64+680</t>
        </is>
      </c>
      <c r="R806" t="inlineStr">
        <is>
          <t>Aberta</t>
        </is>
      </c>
      <c r="T806" t="inlineStr">
        <is>
          <t>Aline Batista</t>
        </is>
      </c>
      <c r="U806" t="inlineStr">
        <is>
          <t>24/04/2026</t>
        </is>
      </c>
      <c r="V806" t="inlineStr">
        <is>
          <t>01/05/2026</t>
        </is>
      </c>
      <c r="W806">
        <v>40</v>
      </c>
      <c r="AA806" t="inlineStr">
        <is>
          <t>Aberta 30-60 dias</t>
        </is>
      </c>
      <c r="AB806" t="inlineStr">
        <is>
          <t>GSA</t>
        </is>
      </c>
    </row>
    <row r="807">
      <c r="A807">
        <v>805</v>
      </c>
      <c r="B807">
        <v>2</v>
      </c>
      <c r="C807" t="inlineStr">
        <is>
          <t>1.6</t>
        </is>
      </c>
      <c r="D807" t="inlineStr">
        <is>
          <t>C08</t>
        </is>
      </c>
      <c r="E807" t="inlineStr">
        <is>
          <t>LE/LD</t>
        </is>
      </c>
      <c r="F807" t="inlineStr">
        <is>
          <t>ATERPA</t>
        </is>
      </c>
      <c r="G807" t="inlineStr">
        <is>
          <t>CLP-012</t>
        </is>
      </c>
      <c r="H807" t="inlineStr">
        <is>
          <t>Protocolo</t>
        </is>
      </c>
      <c r="I807">
        <v>6</v>
      </c>
      <c r="J807" t="inlineStr">
        <is>
          <t>Drenagem Superficial</t>
        </is>
      </c>
      <c r="K807" t="inlineStr">
        <is>
          <t>6.10</t>
        </is>
      </c>
      <c r="L807" t="inlineStr">
        <is>
          <t>Dispositivo de drenagem</t>
        </is>
      </c>
      <c r="M807" t="inlineStr">
        <is>
          <t>Obstrução do dispositivo</t>
        </is>
      </c>
      <c r="N807" t="inlineStr">
        <is>
          <t>Drenagem obstruída por acúmulo de material</t>
        </is>
      </c>
      <c r="O807" t="inlineStr">
        <is>
          <t>Tipo A</t>
        </is>
      </c>
      <c r="P807" t="inlineStr">
        <is>
          <t>64+820</t>
        </is>
      </c>
      <c r="Q807" t="inlineStr">
        <is>
          <t>64+820</t>
        </is>
      </c>
      <c r="R807" t="inlineStr">
        <is>
          <t>Aberta</t>
        </is>
      </c>
      <c r="T807" t="inlineStr">
        <is>
          <t>Aline Batista</t>
        </is>
      </c>
      <c r="U807" t="inlineStr">
        <is>
          <t>24/04/2026</t>
        </is>
      </c>
      <c r="V807" t="inlineStr">
        <is>
          <t>01/05/2026</t>
        </is>
      </c>
      <c r="W807">
        <v>40</v>
      </c>
      <c r="AA807" t="inlineStr">
        <is>
          <t>Aberta 30-60 dias</t>
        </is>
      </c>
      <c r="AB807" t="inlineStr">
        <is>
          <t>GSA</t>
        </is>
      </c>
    </row>
    <row r="808">
      <c r="A808">
        <v>806</v>
      </c>
      <c r="B808">
        <v>2</v>
      </c>
      <c r="C808" t="inlineStr">
        <is>
          <t>1.6</t>
        </is>
      </c>
      <c r="D808" t="inlineStr">
        <is>
          <t>C08</t>
        </is>
      </c>
      <c r="E808" t="inlineStr">
        <is>
          <t>LE/LD</t>
        </is>
      </c>
      <c r="F808" t="inlineStr">
        <is>
          <t>ATERPA</t>
        </is>
      </c>
      <c r="G808" t="inlineStr">
        <is>
          <t>CLP-012</t>
        </is>
      </c>
      <c r="H808" t="inlineStr">
        <is>
          <t>Protocolo</t>
        </is>
      </c>
      <c r="I808">
        <v>6</v>
      </c>
      <c r="J808" t="inlineStr">
        <is>
          <t>Drenagem Superficial</t>
        </is>
      </c>
      <c r="K808" t="inlineStr">
        <is>
          <t>6.10</t>
        </is>
      </c>
      <c r="L808" t="inlineStr">
        <is>
          <t>Dispositivo de drenagem</t>
        </is>
      </c>
      <c r="M808" t="inlineStr">
        <is>
          <t>Obstrução do dispositivo</t>
        </is>
      </c>
      <c r="N808" t="inlineStr">
        <is>
          <t>Drenagem obstruída por acúmulo de material</t>
        </is>
      </c>
      <c r="O808" t="inlineStr">
        <is>
          <t>Tipo A</t>
        </is>
      </c>
      <c r="P808" t="inlineStr">
        <is>
          <t>64+930</t>
        </is>
      </c>
      <c r="Q808" t="inlineStr">
        <is>
          <t>64+930</t>
        </is>
      </c>
      <c r="R808" t="inlineStr">
        <is>
          <t>Aberta</t>
        </is>
      </c>
      <c r="T808" t="inlineStr">
        <is>
          <t>Aline Batista</t>
        </is>
      </c>
      <c r="U808" t="inlineStr">
        <is>
          <t>24/04/2026</t>
        </is>
      </c>
      <c r="V808" t="inlineStr">
        <is>
          <t>01/05/2026</t>
        </is>
      </c>
      <c r="W808">
        <v>40</v>
      </c>
      <c r="AA808" t="inlineStr">
        <is>
          <t>Aberta 30-60 dias</t>
        </is>
      </c>
      <c r="AB808" t="inlineStr">
        <is>
          <t>GSA</t>
        </is>
      </c>
    </row>
    <row r="809">
      <c r="A809">
        <v>807</v>
      </c>
      <c r="B809">
        <v>2</v>
      </c>
      <c r="C809" t="inlineStr">
        <is>
          <t>1.6</t>
        </is>
      </c>
      <c r="D809" t="inlineStr">
        <is>
          <t>C08</t>
        </is>
      </c>
      <c r="E809" t="inlineStr">
        <is>
          <t>LE/LD</t>
        </is>
      </c>
      <c r="F809" t="inlineStr">
        <is>
          <t>ATERPA</t>
        </is>
      </c>
      <c r="G809" t="inlineStr">
        <is>
          <t>CLP-012</t>
        </is>
      </c>
      <c r="H809" t="inlineStr">
        <is>
          <t>Protocolo</t>
        </is>
      </c>
      <c r="I809">
        <v>6</v>
      </c>
      <c r="J809" t="inlineStr">
        <is>
          <t>Drenagem Superficial</t>
        </is>
      </c>
      <c r="K809" t="inlineStr">
        <is>
          <t>6.10</t>
        </is>
      </c>
      <c r="L809" t="inlineStr">
        <is>
          <t>Dispositivo de drenagem</t>
        </is>
      </c>
      <c r="M809" t="inlineStr">
        <is>
          <t>Patologias no Concreto</t>
        </is>
      </c>
      <c r="N809" t="inlineStr">
        <is>
          <t>Tratamento de patologias e obstrução da canaleta</t>
        </is>
      </c>
      <c r="O809" t="inlineStr">
        <is>
          <t>Tipo A</t>
        </is>
      </c>
      <c r="P809" t="inlineStr">
        <is>
          <t>64+990</t>
        </is>
      </c>
      <c r="Q809" t="inlineStr">
        <is>
          <t>64+990</t>
        </is>
      </c>
      <c r="R809" t="inlineStr">
        <is>
          <t>Aberta</t>
        </is>
      </c>
      <c r="T809" t="inlineStr">
        <is>
          <t>Aline Batista</t>
        </is>
      </c>
      <c r="U809" t="inlineStr">
        <is>
          <t>24/04/2026</t>
        </is>
      </c>
      <c r="V809" t="inlineStr">
        <is>
          <t>01/05/2026</t>
        </is>
      </c>
      <c r="W809">
        <v>40</v>
      </c>
      <c r="AA809" t="inlineStr">
        <is>
          <t>Aberta 30-60 dias</t>
        </is>
      </c>
      <c r="AB809" t="inlineStr">
        <is>
          <t>GSA</t>
        </is>
      </c>
    </row>
    <row r="810">
      <c r="A810">
        <v>808</v>
      </c>
      <c r="B810">
        <v>2</v>
      </c>
      <c r="C810" t="inlineStr">
        <is>
          <t>1.6</t>
        </is>
      </c>
      <c r="D810" t="inlineStr">
        <is>
          <t>C08</t>
        </is>
      </c>
      <c r="E810" t="inlineStr">
        <is>
          <t>LE/LD</t>
        </is>
      </c>
      <c r="F810" t="inlineStr">
        <is>
          <t>ATERPA</t>
        </is>
      </c>
      <c r="G810" t="inlineStr">
        <is>
          <t>CLP-012</t>
        </is>
      </c>
      <c r="H810" t="inlineStr">
        <is>
          <t>Protocolo</t>
        </is>
      </c>
      <c r="I810">
        <v>6</v>
      </c>
      <c r="J810" t="inlineStr">
        <is>
          <t>Drenagem Superficial</t>
        </is>
      </c>
      <c r="K810" t="inlineStr">
        <is>
          <t>6.10</t>
        </is>
      </c>
      <c r="L810" t="inlineStr">
        <is>
          <t>Dispositivo de drenagem</t>
        </is>
      </c>
      <c r="M810" t="inlineStr">
        <is>
          <t>Obstrução do dispositivo</t>
        </is>
      </c>
      <c r="N810" t="inlineStr">
        <is>
          <t>Drenagem obstruída por acúmulo de material</t>
        </is>
      </c>
      <c r="O810" t="inlineStr">
        <is>
          <t>Tipo A</t>
        </is>
      </c>
      <c r="P810" t="inlineStr">
        <is>
          <t>65+200</t>
        </is>
      </c>
      <c r="Q810" t="inlineStr">
        <is>
          <t>65+200</t>
        </is>
      </c>
      <c r="R810" t="inlineStr">
        <is>
          <t>Aberta</t>
        </is>
      </c>
      <c r="T810" t="inlineStr">
        <is>
          <t>Aline Batista</t>
        </is>
      </c>
      <c r="U810" t="inlineStr">
        <is>
          <t>24/04/2026</t>
        </is>
      </c>
      <c r="V810" t="inlineStr">
        <is>
          <t>01/05/2026</t>
        </is>
      </c>
      <c r="W810">
        <v>40</v>
      </c>
      <c r="AA810" t="inlineStr">
        <is>
          <t>Aberta 30-60 dias</t>
        </is>
      </c>
      <c r="AB810" t="inlineStr">
        <is>
          <t>GSA</t>
        </is>
      </c>
    </row>
    <row r="811">
      <c r="A811">
        <v>809</v>
      </c>
      <c r="B811">
        <v>2</v>
      </c>
      <c r="C811" t="inlineStr">
        <is>
          <t>1.6</t>
        </is>
      </c>
      <c r="D811" t="inlineStr">
        <is>
          <t>C09</t>
        </is>
      </c>
      <c r="E811" t="inlineStr">
        <is>
          <t>LE/LD</t>
        </is>
      </c>
      <c r="F811" t="inlineStr">
        <is>
          <t>ATERPA</t>
        </is>
      </c>
      <c r="G811" t="inlineStr">
        <is>
          <t>CLP-012</t>
        </is>
      </c>
      <c r="H811" t="inlineStr">
        <is>
          <t>Protocolo</t>
        </is>
      </c>
      <c r="I811">
        <v>6</v>
      </c>
      <c r="J811" t="inlineStr">
        <is>
          <t>Drenagem Superficial</t>
        </is>
      </c>
      <c r="K811" t="inlineStr">
        <is>
          <t>6.10</t>
        </is>
      </c>
      <c r="L811" t="inlineStr">
        <is>
          <t>Dispositivo de drenagem</t>
        </is>
      </c>
      <c r="M811" t="inlineStr">
        <is>
          <t>Obstrução do dispositivo</t>
        </is>
      </c>
      <c r="N811" t="inlineStr">
        <is>
          <t>Drenagem obstruída por acúmulo de material</t>
        </is>
      </c>
      <c r="O811" t="inlineStr">
        <is>
          <t>Tipo A</t>
        </is>
      </c>
      <c r="P811" t="inlineStr">
        <is>
          <t>65+500</t>
        </is>
      </c>
      <c r="Q811" t="inlineStr">
        <is>
          <t>65+500</t>
        </is>
      </c>
      <c r="R811" t="inlineStr">
        <is>
          <t>Aberta</t>
        </is>
      </c>
      <c r="T811" t="inlineStr">
        <is>
          <t>Aline Batista</t>
        </is>
      </c>
      <c r="U811" t="inlineStr">
        <is>
          <t>24/04/2026</t>
        </is>
      </c>
      <c r="V811" t="inlineStr">
        <is>
          <t>01/05/2026</t>
        </is>
      </c>
      <c r="W811">
        <v>40</v>
      </c>
      <c r="AA811" t="inlineStr">
        <is>
          <t>Aberta 30-60 dias</t>
        </is>
      </c>
      <c r="AB811" t="inlineStr">
        <is>
          <t>GSA</t>
        </is>
      </c>
    </row>
    <row r="812">
      <c r="A812">
        <v>810</v>
      </c>
      <c r="B812">
        <v>2</v>
      </c>
      <c r="C812" t="inlineStr">
        <is>
          <t>1.6</t>
        </is>
      </c>
      <c r="D812" t="inlineStr">
        <is>
          <t>C09</t>
        </is>
      </c>
      <c r="E812" t="inlineStr">
        <is>
          <t>LE/LD</t>
        </is>
      </c>
      <c r="F812" t="inlineStr">
        <is>
          <t>ATERPA</t>
        </is>
      </c>
      <c r="G812" t="inlineStr">
        <is>
          <t>CLP-012</t>
        </is>
      </c>
      <c r="H812" t="inlineStr">
        <is>
          <t>Protocolo</t>
        </is>
      </c>
      <c r="I812">
        <v>6</v>
      </c>
      <c r="J812" t="inlineStr">
        <is>
          <t>Drenagem Superficial</t>
        </is>
      </c>
      <c r="K812" t="inlineStr">
        <is>
          <t>6.10</t>
        </is>
      </c>
      <c r="L812" t="inlineStr">
        <is>
          <t>Dispositivo de drenagem</t>
        </is>
      </c>
      <c r="M812" t="inlineStr">
        <is>
          <t>Obstrução do dispositivo</t>
        </is>
      </c>
      <c r="N812" t="inlineStr">
        <is>
          <t>Drenagem obstruída por acúmulo de material</t>
        </is>
      </c>
      <c r="O812" t="inlineStr">
        <is>
          <t>Tipo A</t>
        </is>
      </c>
      <c r="P812" t="inlineStr">
        <is>
          <t>65+900</t>
        </is>
      </c>
      <c r="Q812" t="inlineStr">
        <is>
          <t>65+900</t>
        </is>
      </c>
      <c r="R812" t="inlineStr">
        <is>
          <t>Aberta</t>
        </is>
      </c>
      <c r="T812" t="inlineStr">
        <is>
          <t>Aline Batista</t>
        </is>
      </c>
      <c r="U812" t="inlineStr">
        <is>
          <t>24/04/2026</t>
        </is>
      </c>
      <c r="V812" t="inlineStr">
        <is>
          <t>01/05/2026</t>
        </is>
      </c>
      <c r="W812">
        <v>40</v>
      </c>
      <c r="AA812" t="inlineStr">
        <is>
          <t>Aberta 30-60 dias</t>
        </is>
      </c>
      <c r="AB812" t="inlineStr">
        <is>
          <t>GSA</t>
        </is>
      </c>
    </row>
    <row r="813">
      <c r="A813">
        <v>811</v>
      </c>
      <c r="B813">
        <v>2</v>
      </c>
      <c r="C813" t="inlineStr">
        <is>
          <t>1.6</t>
        </is>
      </c>
      <c r="D813" t="inlineStr">
        <is>
          <t>C10</t>
        </is>
      </c>
      <c r="E813" t="inlineStr">
        <is>
          <t>LE/LD</t>
        </is>
      </c>
      <c r="F813" t="inlineStr">
        <is>
          <t>ATERPA</t>
        </is>
      </c>
      <c r="G813" t="inlineStr">
        <is>
          <t>CLP-012</t>
        </is>
      </c>
      <c r="H813" t="inlineStr">
        <is>
          <t>Protocolo</t>
        </is>
      </c>
      <c r="I813">
        <v>6</v>
      </c>
      <c r="J813" t="inlineStr">
        <is>
          <t>Drenagem Superficial</t>
        </is>
      </c>
      <c r="K813" t="inlineStr">
        <is>
          <t>6.8</t>
        </is>
      </c>
      <c r="L813" t="inlineStr">
        <is>
          <t>Dispositivo de drenagem</t>
        </is>
      </c>
      <c r="M813" t="inlineStr">
        <is>
          <t>Patologias no Concreto</t>
        </is>
      </c>
      <c r="N813" t="inlineStr">
        <is>
          <t>Tratamento de patologias da descida de agua</t>
        </is>
      </c>
      <c r="O813" t="inlineStr">
        <is>
          <t>Tipo A</t>
        </is>
      </c>
      <c r="P813" t="inlineStr">
        <is>
          <t>67+260</t>
        </is>
      </c>
      <c r="Q813" t="inlineStr">
        <is>
          <t>67+260</t>
        </is>
      </c>
      <c r="R813" t="inlineStr">
        <is>
          <t>Aberta</t>
        </is>
      </c>
      <c r="T813" t="inlineStr">
        <is>
          <t>Aline Batista</t>
        </is>
      </c>
      <c r="U813" t="inlineStr">
        <is>
          <t>24/04/2026</t>
        </is>
      </c>
      <c r="V813" t="inlineStr">
        <is>
          <t>01/05/2026</t>
        </is>
      </c>
      <c r="W813">
        <v>40</v>
      </c>
      <c r="AA813" t="inlineStr">
        <is>
          <t>Aberta 30-60 dias</t>
        </is>
      </c>
      <c r="AB813" t="inlineStr">
        <is>
          <t>GSA</t>
        </is>
      </c>
    </row>
    <row r="814">
      <c r="A814">
        <v>812</v>
      </c>
      <c r="B814">
        <v>2</v>
      </c>
      <c r="C814" t="inlineStr">
        <is>
          <t>1.6</t>
        </is>
      </c>
      <c r="D814" t="inlineStr">
        <is>
          <t>C10</t>
        </is>
      </c>
      <c r="E814" t="inlineStr">
        <is>
          <t>LE/LD</t>
        </is>
      </c>
      <c r="F814" t="inlineStr">
        <is>
          <t>ATERPA</t>
        </is>
      </c>
      <c r="G814" t="inlineStr">
        <is>
          <t>CLP-012</t>
        </is>
      </c>
      <c r="H814" t="inlineStr">
        <is>
          <t>Protocolo</t>
        </is>
      </c>
      <c r="I814">
        <v>6</v>
      </c>
      <c r="J814" t="inlineStr">
        <is>
          <t>Drenagem Superficial</t>
        </is>
      </c>
      <c r="K814" t="inlineStr">
        <is>
          <t>6.6</t>
        </is>
      </c>
      <c r="L814" t="inlineStr">
        <is>
          <t>Dispositivo de drenagem</t>
        </is>
      </c>
      <c r="M814" t="inlineStr">
        <is>
          <t>Material Solto</t>
        </is>
      </c>
      <c r="N814" t="inlineStr">
        <is>
          <t>Compactação de material na lateral da descida e hidrossemeadura</t>
        </is>
      </c>
      <c r="O814" t="inlineStr">
        <is>
          <t>Tipo A</t>
        </is>
      </c>
      <c r="P814" t="inlineStr">
        <is>
          <t>67+260</t>
        </is>
      </c>
      <c r="Q814" t="inlineStr">
        <is>
          <t>67+260</t>
        </is>
      </c>
      <c r="R814" t="inlineStr">
        <is>
          <t>Aberta</t>
        </is>
      </c>
      <c r="T814" t="inlineStr">
        <is>
          <t>Aline Batista</t>
        </is>
      </c>
      <c r="U814" t="inlineStr">
        <is>
          <t>24/04/2026</t>
        </is>
      </c>
      <c r="V814" t="inlineStr">
        <is>
          <t>01/05/2026</t>
        </is>
      </c>
      <c r="W814">
        <v>40</v>
      </c>
      <c r="AA814" t="inlineStr">
        <is>
          <t>Aberta 30-60 dias</t>
        </is>
      </c>
      <c r="AB814" t="inlineStr">
        <is>
          <t>GSA</t>
        </is>
      </c>
    </row>
    <row r="815">
      <c r="A815">
        <v>813</v>
      </c>
      <c r="B815">
        <v>2</v>
      </c>
      <c r="C815" t="inlineStr">
        <is>
          <t>1.6</t>
        </is>
      </c>
      <c r="D815" t="inlineStr">
        <is>
          <t>C10</t>
        </is>
      </c>
      <c r="E815" t="inlineStr">
        <is>
          <t>LE/LD</t>
        </is>
      </c>
      <c r="F815" t="inlineStr">
        <is>
          <t>ATERPA</t>
        </is>
      </c>
      <c r="G815" t="inlineStr">
        <is>
          <t>CLP-012</t>
        </is>
      </c>
      <c r="H815" t="inlineStr">
        <is>
          <t>Protocolo</t>
        </is>
      </c>
      <c r="I815">
        <v>6</v>
      </c>
      <c r="J815" t="inlineStr">
        <is>
          <t>Drenagem Superficial</t>
        </is>
      </c>
      <c r="K815" t="inlineStr">
        <is>
          <t>6.10</t>
        </is>
      </c>
      <c r="L815" t="inlineStr">
        <is>
          <t>Dispositivo de drenagem</t>
        </is>
      </c>
      <c r="M815" t="inlineStr">
        <is>
          <t>Obstrução do dispositivo</t>
        </is>
      </c>
      <c r="N815" t="inlineStr">
        <is>
          <t>Drenagem obstruída por acúmulo de material</t>
        </is>
      </c>
      <c r="O815" t="inlineStr">
        <is>
          <t>Tipo A</t>
        </is>
      </c>
      <c r="P815" t="inlineStr">
        <is>
          <t>67+270</t>
        </is>
      </c>
      <c r="Q815" t="inlineStr">
        <is>
          <t>67+270</t>
        </is>
      </c>
      <c r="R815" t="inlineStr">
        <is>
          <t>Aberta</t>
        </is>
      </c>
      <c r="T815" t="inlineStr">
        <is>
          <t>Aline Batista</t>
        </is>
      </c>
      <c r="U815" t="inlineStr">
        <is>
          <t>24/04/2026</t>
        </is>
      </c>
      <c r="V815" t="inlineStr">
        <is>
          <t>01/05/2026</t>
        </is>
      </c>
      <c r="W815">
        <v>40</v>
      </c>
      <c r="AA815" t="inlineStr">
        <is>
          <t>Aberta 30-60 dias</t>
        </is>
      </c>
      <c r="AB815" t="inlineStr">
        <is>
          <t>GSA</t>
        </is>
      </c>
    </row>
    <row r="816">
      <c r="A816">
        <v>814</v>
      </c>
      <c r="B816">
        <v>2</v>
      </c>
      <c r="C816" t="inlineStr">
        <is>
          <t>1.6</t>
        </is>
      </c>
      <c r="D816" t="inlineStr">
        <is>
          <t>C10</t>
        </is>
      </c>
      <c r="E816" t="inlineStr">
        <is>
          <t>LE/LD</t>
        </is>
      </c>
      <c r="F816" t="inlineStr">
        <is>
          <t>ATERPA</t>
        </is>
      </c>
      <c r="G816" t="inlineStr">
        <is>
          <t>CLP-012</t>
        </is>
      </c>
      <c r="H816" t="inlineStr">
        <is>
          <t>Protocolo</t>
        </is>
      </c>
      <c r="I816">
        <v>6</v>
      </c>
      <c r="J816" t="inlineStr">
        <is>
          <t>Drenagem Superficial</t>
        </is>
      </c>
      <c r="K816" t="inlineStr">
        <is>
          <t>6.10</t>
        </is>
      </c>
      <c r="L816" t="inlineStr">
        <is>
          <t>Dispositivo de drenagem</t>
        </is>
      </c>
      <c r="M816" t="inlineStr">
        <is>
          <t>Obstrução do dispositivo</t>
        </is>
      </c>
      <c r="N816" t="inlineStr">
        <is>
          <t>Drenagem obstruída por acúmulo de material</t>
        </is>
      </c>
      <c r="O816" t="inlineStr">
        <is>
          <t>Tipo A</t>
        </is>
      </c>
      <c r="P816" t="inlineStr">
        <is>
          <t>67+520</t>
        </is>
      </c>
      <c r="Q816" t="inlineStr">
        <is>
          <t>67+520</t>
        </is>
      </c>
      <c r="R816" t="inlineStr">
        <is>
          <t>Aberta</t>
        </is>
      </c>
      <c r="T816" t="inlineStr">
        <is>
          <t>Aline Batista</t>
        </is>
      </c>
      <c r="U816" t="inlineStr">
        <is>
          <t>24/04/2026</t>
        </is>
      </c>
      <c r="V816" t="inlineStr">
        <is>
          <t>01/05/2026</t>
        </is>
      </c>
      <c r="W816">
        <v>40</v>
      </c>
      <c r="AA816" t="inlineStr">
        <is>
          <t>Aberta 30-60 dias</t>
        </is>
      </c>
      <c r="AB816" t="inlineStr">
        <is>
          <t>GSA</t>
        </is>
      </c>
    </row>
    <row r="817">
      <c r="A817">
        <v>815</v>
      </c>
      <c r="B817">
        <v>2</v>
      </c>
      <c r="C817" t="inlineStr">
        <is>
          <t>1.6</t>
        </is>
      </c>
      <c r="D817" t="inlineStr">
        <is>
          <t>C10</t>
        </is>
      </c>
      <c r="E817" t="inlineStr">
        <is>
          <t>LE/LD</t>
        </is>
      </c>
      <c r="F817" t="inlineStr">
        <is>
          <t>ATERPA</t>
        </is>
      </c>
      <c r="G817" t="inlineStr">
        <is>
          <t>CLP-012</t>
        </is>
      </c>
      <c r="H817" t="inlineStr">
        <is>
          <t>Protocolo</t>
        </is>
      </c>
      <c r="I817">
        <v>6</v>
      </c>
      <c r="J817" t="inlineStr">
        <is>
          <t>Drenagem Superficial</t>
        </is>
      </c>
      <c r="K817" t="inlineStr">
        <is>
          <t>6.10</t>
        </is>
      </c>
      <c r="L817" t="inlineStr">
        <is>
          <t>Dispositivo de drenagem</t>
        </is>
      </c>
      <c r="M817" t="inlineStr">
        <is>
          <t>Obstrução do dispositivo</t>
        </is>
      </c>
      <c r="N817" t="inlineStr">
        <is>
          <t>Drenagem obstruída por acúmulo de material</t>
        </is>
      </c>
      <c r="O817" t="inlineStr">
        <is>
          <t>Tipo A</t>
        </is>
      </c>
      <c r="P817" t="inlineStr">
        <is>
          <t>67+520</t>
        </is>
      </c>
      <c r="Q817" t="inlineStr">
        <is>
          <t>67+520</t>
        </is>
      </c>
      <c r="R817" t="inlineStr">
        <is>
          <t>Aberta</t>
        </is>
      </c>
      <c r="T817" t="inlineStr">
        <is>
          <t>Aline Batista</t>
        </is>
      </c>
      <c r="U817" t="inlineStr">
        <is>
          <t>24/04/2026</t>
        </is>
      </c>
      <c r="V817" t="inlineStr">
        <is>
          <t>01/05/2026</t>
        </is>
      </c>
      <c r="W817">
        <v>40</v>
      </c>
      <c r="AA817" t="inlineStr">
        <is>
          <t>Aberta 30-60 dias</t>
        </is>
      </c>
      <c r="AB817" t="inlineStr">
        <is>
          <t>GSA</t>
        </is>
      </c>
    </row>
    <row r="818">
      <c r="A818">
        <v>816</v>
      </c>
      <c r="B818">
        <v>2</v>
      </c>
      <c r="C818" t="inlineStr">
        <is>
          <t>1.6</t>
        </is>
      </c>
      <c r="D818" t="inlineStr">
        <is>
          <t>C10</t>
        </is>
      </c>
      <c r="E818" t="inlineStr">
        <is>
          <t>LE/LD</t>
        </is>
      </c>
      <c r="F818" t="inlineStr">
        <is>
          <t>ATERPA</t>
        </is>
      </c>
      <c r="G818" t="inlineStr">
        <is>
          <t>CLP-012</t>
        </is>
      </c>
      <c r="H818" t="inlineStr">
        <is>
          <t>Protocolo</t>
        </is>
      </c>
      <c r="I818">
        <v>6</v>
      </c>
      <c r="J818" t="inlineStr">
        <is>
          <t>Drenagem Superficial</t>
        </is>
      </c>
      <c r="K818" t="inlineStr">
        <is>
          <t>6.10</t>
        </is>
      </c>
      <c r="L818" t="inlineStr">
        <is>
          <t>Dispositivo de drenagem</t>
        </is>
      </c>
      <c r="M818" t="inlineStr">
        <is>
          <t>Obstrução do dispositivo</t>
        </is>
      </c>
      <c r="N818" t="inlineStr">
        <is>
          <t>Drenagem obstruída por acúmulo de material</t>
        </is>
      </c>
      <c r="O818" t="inlineStr">
        <is>
          <t>Tipo A</t>
        </is>
      </c>
      <c r="P818" t="inlineStr">
        <is>
          <t>67+540</t>
        </is>
      </c>
      <c r="Q818" t="inlineStr">
        <is>
          <t>67+540</t>
        </is>
      </c>
      <c r="R818" t="inlineStr">
        <is>
          <t>Aberta</t>
        </is>
      </c>
      <c r="T818" t="inlineStr">
        <is>
          <t>Aline Batista</t>
        </is>
      </c>
      <c r="U818" t="inlineStr">
        <is>
          <t>24/04/2026</t>
        </is>
      </c>
      <c r="V818" t="inlineStr">
        <is>
          <t>01/05/2026</t>
        </is>
      </c>
      <c r="W818">
        <v>40</v>
      </c>
      <c r="AA818" t="inlineStr">
        <is>
          <t>Aberta 30-60 dias</t>
        </is>
      </c>
      <c r="AB818" t="inlineStr">
        <is>
          <t>GSA</t>
        </is>
      </c>
    </row>
    <row r="819">
      <c r="A819">
        <v>817</v>
      </c>
      <c r="B819">
        <v>2</v>
      </c>
      <c r="C819" t="inlineStr">
        <is>
          <t>1.6</t>
        </is>
      </c>
      <c r="D819" t="inlineStr">
        <is>
          <t>C10</t>
        </is>
      </c>
      <c r="E819" t="inlineStr">
        <is>
          <t>LE/LD</t>
        </is>
      </c>
      <c r="F819" t="inlineStr">
        <is>
          <t>ATERPA</t>
        </is>
      </c>
      <c r="G819" t="inlineStr">
        <is>
          <t>CLP-012</t>
        </is>
      </c>
      <c r="H819" t="inlineStr">
        <is>
          <t>Protocolo</t>
        </is>
      </c>
      <c r="I819">
        <v>6</v>
      </c>
      <c r="J819" t="inlineStr">
        <is>
          <t>Drenagem Superficial</t>
        </is>
      </c>
      <c r="K819" t="inlineStr">
        <is>
          <t>6.10</t>
        </is>
      </c>
      <c r="L819" t="inlineStr">
        <is>
          <t>Dispositivo de drenagem</t>
        </is>
      </c>
      <c r="M819" t="inlineStr">
        <is>
          <t>Obstrução do dispositivo</t>
        </is>
      </c>
      <c r="N819" t="inlineStr">
        <is>
          <t>Drenagem obstruída por acúmulo de material</t>
        </is>
      </c>
      <c r="O819" t="inlineStr">
        <is>
          <t>Tipo A</t>
        </is>
      </c>
      <c r="P819" t="inlineStr">
        <is>
          <t>67+540</t>
        </is>
      </c>
      <c r="Q819" t="inlineStr">
        <is>
          <t>67+540</t>
        </is>
      </c>
      <c r="R819" t="inlineStr">
        <is>
          <t>Aberta</t>
        </is>
      </c>
      <c r="T819" t="inlineStr">
        <is>
          <t>Aline Batista</t>
        </is>
      </c>
      <c r="U819" t="inlineStr">
        <is>
          <t>24/04/2026</t>
        </is>
      </c>
      <c r="V819" t="inlineStr">
        <is>
          <t>01/05/2026</t>
        </is>
      </c>
      <c r="W819">
        <v>40</v>
      </c>
      <c r="AA819" t="inlineStr">
        <is>
          <t>Aberta 30-60 dias</t>
        </is>
      </c>
      <c r="AB819" t="inlineStr">
        <is>
          <t>GSA</t>
        </is>
      </c>
    </row>
    <row r="820">
      <c r="A820">
        <v>818</v>
      </c>
      <c r="B820">
        <v>2</v>
      </c>
      <c r="C820" t="inlineStr">
        <is>
          <t>1.6</t>
        </is>
      </c>
      <c r="D820" t="inlineStr">
        <is>
          <t>C10</t>
        </is>
      </c>
      <c r="E820" t="inlineStr">
        <is>
          <t>LE/LD</t>
        </is>
      </c>
      <c r="F820" t="inlineStr">
        <is>
          <t>ATERPA</t>
        </is>
      </c>
      <c r="G820" t="inlineStr">
        <is>
          <t>CLP-012</t>
        </is>
      </c>
      <c r="H820" t="inlineStr">
        <is>
          <t>Protocolo</t>
        </is>
      </c>
      <c r="I820">
        <v>6</v>
      </c>
      <c r="J820" t="inlineStr">
        <is>
          <t>Drenagem Superficial</t>
        </is>
      </c>
      <c r="K820" t="inlineStr">
        <is>
          <t>6.10</t>
        </is>
      </c>
      <c r="L820" t="inlineStr">
        <is>
          <t>Dispositivo de drenagem</t>
        </is>
      </c>
      <c r="M820" t="inlineStr">
        <is>
          <t>Obstrução do dispositivo</t>
        </is>
      </c>
      <c r="N820" t="inlineStr">
        <is>
          <t>Drenagem obstruída por acúmulo de material, ausencia do DSH</t>
        </is>
      </c>
      <c r="O820" t="inlineStr">
        <is>
          <t>Tipo A</t>
        </is>
      </c>
      <c r="P820" t="inlineStr">
        <is>
          <t>67+570</t>
        </is>
      </c>
      <c r="Q820" t="inlineStr">
        <is>
          <t>67+570</t>
        </is>
      </c>
      <c r="R820" t="inlineStr">
        <is>
          <t>Aberta</t>
        </is>
      </c>
      <c r="T820" t="inlineStr">
        <is>
          <t>Aline Batista</t>
        </is>
      </c>
      <c r="U820" t="inlineStr">
        <is>
          <t>24/04/2026</t>
        </is>
      </c>
      <c r="V820" t="inlineStr">
        <is>
          <t>01/05/2026</t>
        </is>
      </c>
      <c r="W820">
        <v>40</v>
      </c>
      <c r="AA820" t="inlineStr">
        <is>
          <t>Aberta 30-60 dias</t>
        </is>
      </c>
      <c r="AB820" t="inlineStr">
        <is>
          <t>GSA</t>
        </is>
      </c>
    </row>
    <row r="821">
      <c r="A821">
        <v>819</v>
      </c>
      <c r="B821">
        <v>2</v>
      </c>
      <c r="C821" t="inlineStr">
        <is>
          <t>1.6</t>
        </is>
      </c>
      <c r="D821" t="inlineStr">
        <is>
          <t>C10</t>
        </is>
      </c>
      <c r="E821" t="inlineStr">
        <is>
          <t>LE/LD</t>
        </is>
      </c>
      <c r="F821" t="inlineStr">
        <is>
          <t>ATERPA</t>
        </is>
      </c>
      <c r="G821" t="inlineStr">
        <is>
          <t>CLP-012</t>
        </is>
      </c>
      <c r="H821" t="inlineStr">
        <is>
          <t>Protocolo</t>
        </is>
      </c>
      <c r="I821">
        <v>6</v>
      </c>
      <c r="J821" t="inlineStr">
        <is>
          <t>Drenagem Superficial</t>
        </is>
      </c>
      <c r="K821" t="inlineStr">
        <is>
          <t>6.10</t>
        </is>
      </c>
      <c r="L821" t="inlineStr">
        <is>
          <t>Dispositivo de drenagem</t>
        </is>
      </c>
      <c r="M821" t="inlineStr">
        <is>
          <t>Obstrução do dispositivo</t>
        </is>
      </c>
      <c r="N821" t="inlineStr">
        <is>
          <t>Drenagem obstruída por acúmulo de material, ausencia do DSH</t>
        </is>
      </c>
      <c r="O821" t="inlineStr">
        <is>
          <t>Tipo A</t>
        </is>
      </c>
      <c r="P821" t="inlineStr">
        <is>
          <t>67+580</t>
        </is>
      </c>
      <c r="Q821" t="inlineStr">
        <is>
          <t>67+580</t>
        </is>
      </c>
      <c r="R821" t="inlineStr">
        <is>
          <t>Aberta</t>
        </is>
      </c>
      <c r="T821" t="inlineStr">
        <is>
          <t>Aline Batista</t>
        </is>
      </c>
      <c r="U821" t="inlineStr">
        <is>
          <t>24/04/2026</t>
        </is>
      </c>
      <c r="V821" t="inlineStr">
        <is>
          <t>01/05/2026</t>
        </is>
      </c>
      <c r="W821">
        <v>40</v>
      </c>
      <c r="AA821" t="inlineStr">
        <is>
          <t>Aberta 30-60 dias</t>
        </is>
      </c>
      <c r="AB821" t="inlineStr">
        <is>
          <t>GSA</t>
        </is>
      </c>
    </row>
    <row r="822">
      <c r="A822">
        <v>820</v>
      </c>
      <c r="B822">
        <v>2</v>
      </c>
      <c r="C822" t="inlineStr">
        <is>
          <t>1.6</t>
        </is>
      </c>
      <c r="D822" t="inlineStr">
        <is>
          <t>C10</t>
        </is>
      </c>
      <c r="E822" t="inlineStr">
        <is>
          <t>LE/LD</t>
        </is>
      </c>
      <c r="F822" t="inlineStr">
        <is>
          <t>ATERPA</t>
        </is>
      </c>
      <c r="G822" t="inlineStr">
        <is>
          <t>CLP-012</t>
        </is>
      </c>
      <c r="H822" t="inlineStr">
        <is>
          <t>Protocolo</t>
        </is>
      </c>
      <c r="I822">
        <v>6</v>
      </c>
      <c r="J822" t="inlineStr">
        <is>
          <t>Drenagem Superficial</t>
        </is>
      </c>
      <c r="K822" t="inlineStr">
        <is>
          <t>6.10</t>
        </is>
      </c>
      <c r="L822" t="inlineStr">
        <is>
          <t>Dispositivo de drenagem</t>
        </is>
      </c>
      <c r="M822" t="inlineStr">
        <is>
          <t>Obstrução do dispositivo</t>
        </is>
      </c>
      <c r="N822" t="inlineStr">
        <is>
          <t>Drenagem obstruída por acúmulo de material e ausencia do DSH</t>
        </is>
      </c>
      <c r="O822" t="inlineStr">
        <is>
          <t>Tipo A</t>
        </is>
      </c>
      <c r="P822" t="inlineStr">
        <is>
          <t>67+800</t>
        </is>
      </c>
      <c r="Q822" t="inlineStr">
        <is>
          <t>67+800</t>
        </is>
      </c>
      <c r="R822" t="inlineStr">
        <is>
          <t>Aberta</t>
        </is>
      </c>
      <c r="T822" t="inlineStr">
        <is>
          <t>Aline Batista</t>
        </is>
      </c>
      <c r="U822" t="inlineStr">
        <is>
          <t>24/04/2026</t>
        </is>
      </c>
      <c r="V822" t="inlineStr">
        <is>
          <t>01/05/2026</t>
        </is>
      </c>
      <c r="W822">
        <v>40</v>
      </c>
      <c r="AA822" t="inlineStr">
        <is>
          <t>Aberta 30-60 dias</t>
        </is>
      </c>
      <c r="AB822" t="inlineStr">
        <is>
          <t>GSA</t>
        </is>
      </c>
    </row>
    <row r="823">
      <c r="A823">
        <v>821</v>
      </c>
      <c r="B823">
        <v>2</v>
      </c>
      <c r="C823" t="inlineStr">
        <is>
          <t>1.6</t>
        </is>
      </c>
      <c r="D823" t="inlineStr">
        <is>
          <t>C10</t>
        </is>
      </c>
      <c r="E823" t="inlineStr">
        <is>
          <t>LE/LD</t>
        </is>
      </c>
      <c r="F823" t="inlineStr">
        <is>
          <t>ATERPA</t>
        </is>
      </c>
      <c r="G823" t="inlineStr">
        <is>
          <t>CLP-012</t>
        </is>
      </c>
      <c r="H823" t="inlineStr">
        <is>
          <t>Protocolo</t>
        </is>
      </c>
      <c r="I823">
        <v>6</v>
      </c>
      <c r="J823" t="inlineStr">
        <is>
          <t>Drenagem Superficial</t>
        </is>
      </c>
      <c r="K823" t="inlineStr">
        <is>
          <t>6.10</t>
        </is>
      </c>
      <c r="L823" t="inlineStr">
        <is>
          <t>Dispositivo de drenagem</t>
        </is>
      </c>
      <c r="M823" t="inlineStr">
        <is>
          <t>Obstrução do dispositivo</t>
        </is>
      </c>
      <c r="N823" t="inlineStr">
        <is>
          <t>Drenagem obstruída por acúmulo de material</t>
        </is>
      </c>
      <c r="O823" t="inlineStr">
        <is>
          <t>Tipo A</t>
        </is>
      </c>
      <c r="P823" t="inlineStr">
        <is>
          <t>67+850</t>
        </is>
      </c>
      <c r="Q823" t="inlineStr">
        <is>
          <t>67+850</t>
        </is>
      </c>
      <c r="R823" t="inlineStr">
        <is>
          <t>Aberta</t>
        </is>
      </c>
      <c r="T823" t="inlineStr">
        <is>
          <t>Aline Batista</t>
        </is>
      </c>
      <c r="U823" t="inlineStr">
        <is>
          <t>24/04/2026</t>
        </is>
      </c>
      <c r="V823" t="inlineStr">
        <is>
          <t>01/05/2026</t>
        </is>
      </c>
      <c r="W823">
        <v>40</v>
      </c>
      <c r="AA823" t="inlineStr">
        <is>
          <t>Aberta 30-60 dias</t>
        </is>
      </c>
      <c r="AB823" t="inlineStr">
        <is>
          <t>GSA</t>
        </is>
      </c>
    </row>
    <row r="824">
      <c r="A824">
        <v>822</v>
      </c>
      <c r="B824">
        <v>2</v>
      </c>
      <c r="C824" t="inlineStr">
        <is>
          <t>1.6</t>
        </is>
      </c>
      <c r="D824" t="inlineStr">
        <is>
          <t>C10</t>
        </is>
      </c>
      <c r="E824" t="inlineStr">
        <is>
          <t>LE/LD</t>
        </is>
      </c>
      <c r="F824" t="inlineStr">
        <is>
          <t>ATERPA</t>
        </is>
      </c>
      <c r="G824" t="inlineStr">
        <is>
          <t>CLP-012</t>
        </is>
      </c>
      <c r="H824" t="inlineStr">
        <is>
          <t>Protocolo</t>
        </is>
      </c>
      <c r="I824">
        <v>6</v>
      </c>
      <c r="J824" t="inlineStr">
        <is>
          <t>Drenagem Superficial</t>
        </is>
      </c>
      <c r="K824" t="inlineStr">
        <is>
          <t>6.10</t>
        </is>
      </c>
      <c r="L824" t="inlineStr">
        <is>
          <t>Dispositivo de drenagem</t>
        </is>
      </c>
      <c r="M824" t="inlineStr">
        <is>
          <t>Obstrução do dispositivo</t>
        </is>
      </c>
      <c r="N824" t="inlineStr">
        <is>
          <t>Drenagem obstruída por acúmulo de material</t>
        </is>
      </c>
      <c r="O824" t="inlineStr">
        <is>
          <t>Tipo A</t>
        </is>
      </c>
      <c r="P824" t="inlineStr">
        <is>
          <t>67+850</t>
        </is>
      </c>
      <c r="Q824" t="inlineStr">
        <is>
          <t>67+850</t>
        </is>
      </c>
      <c r="R824" t="inlineStr">
        <is>
          <t>Aberta</t>
        </is>
      </c>
      <c r="T824" t="inlineStr">
        <is>
          <t>Aline Batista</t>
        </is>
      </c>
      <c r="U824" t="inlineStr">
        <is>
          <t>24/04/2026</t>
        </is>
      </c>
      <c r="V824" t="inlineStr">
        <is>
          <t>01/05/2026</t>
        </is>
      </c>
      <c r="W824">
        <v>40</v>
      </c>
      <c r="AA824" t="inlineStr">
        <is>
          <t>Aberta 30-60 dias</t>
        </is>
      </c>
      <c r="AB824" t="inlineStr">
        <is>
          <t>GSA</t>
        </is>
      </c>
    </row>
    <row r="825">
      <c r="A825">
        <v>823</v>
      </c>
      <c r="B825">
        <v>2</v>
      </c>
      <c r="C825" t="inlineStr">
        <is>
          <t>1.6</t>
        </is>
      </c>
      <c r="D825" t="inlineStr">
        <is>
          <t>C10</t>
        </is>
      </c>
      <c r="E825" t="inlineStr">
        <is>
          <t>LE/LD</t>
        </is>
      </c>
      <c r="F825" t="inlineStr">
        <is>
          <t>ATERPA</t>
        </is>
      </c>
      <c r="G825" t="inlineStr">
        <is>
          <t>CLP-012</t>
        </is>
      </c>
      <c r="H825" t="inlineStr">
        <is>
          <t>Protocolo</t>
        </is>
      </c>
      <c r="I825">
        <v>6</v>
      </c>
      <c r="J825" t="inlineStr">
        <is>
          <t>Drenagem Superficial</t>
        </is>
      </c>
      <c r="K825" t="inlineStr">
        <is>
          <t>6.10</t>
        </is>
      </c>
      <c r="L825" t="inlineStr">
        <is>
          <t>Dispositivo de drenagem</t>
        </is>
      </c>
      <c r="M825" t="inlineStr">
        <is>
          <t>Obstrução do dispositivo</t>
        </is>
      </c>
      <c r="N825" t="inlineStr">
        <is>
          <t>Drenagem obstruída por acúmulo de material</t>
        </is>
      </c>
      <c r="O825" t="inlineStr">
        <is>
          <t>Tipo A</t>
        </is>
      </c>
      <c r="P825" t="inlineStr">
        <is>
          <t>67+270</t>
        </is>
      </c>
      <c r="Q825" t="inlineStr">
        <is>
          <t>67+270</t>
        </is>
      </c>
      <c r="R825" t="inlineStr">
        <is>
          <t>Aberta</t>
        </is>
      </c>
      <c r="T825" t="inlineStr">
        <is>
          <t>Aline Batista</t>
        </is>
      </c>
      <c r="U825" t="inlineStr">
        <is>
          <t>24/04/2026</t>
        </is>
      </c>
      <c r="V825" t="inlineStr">
        <is>
          <t>01/05/2026</t>
        </is>
      </c>
      <c r="W825">
        <v>40</v>
      </c>
      <c r="AA825" t="inlineStr">
        <is>
          <t>Aberta 30-60 dias</t>
        </is>
      </c>
      <c r="AB825" t="inlineStr">
        <is>
          <t>GSA</t>
        </is>
      </c>
    </row>
    <row r="826">
      <c r="A826">
        <v>824</v>
      </c>
      <c r="B826">
        <v>2</v>
      </c>
      <c r="C826" t="inlineStr">
        <is>
          <t>1.6</t>
        </is>
      </c>
      <c r="D826" t="inlineStr">
        <is>
          <t>C10</t>
        </is>
      </c>
      <c r="E826" t="inlineStr">
        <is>
          <t>LE/LD</t>
        </is>
      </c>
      <c r="F826" t="inlineStr">
        <is>
          <t>ATERPA</t>
        </is>
      </c>
      <c r="G826" t="inlineStr">
        <is>
          <t>CLP-012</t>
        </is>
      </c>
      <c r="H826" t="inlineStr">
        <is>
          <t>Protocolo</t>
        </is>
      </c>
      <c r="I826">
        <v>6</v>
      </c>
      <c r="J826" t="inlineStr">
        <is>
          <t>Drenagem Superficial</t>
        </is>
      </c>
      <c r="K826" t="inlineStr">
        <is>
          <t>6.10</t>
        </is>
      </c>
      <c r="L826" t="inlineStr">
        <is>
          <t>Dispositivo de drenagem</t>
        </is>
      </c>
      <c r="M826" t="inlineStr">
        <is>
          <t>Obstrução do dispositivo</t>
        </is>
      </c>
      <c r="N826" t="inlineStr">
        <is>
          <t>Drenagem obstruída por acúmulo de material</t>
        </is>
      </c>
      <c r="O826" t="inlineStr">
        <is>
          <t>Tipo A</t>
        </is>
      </c>
      <c r="P826" t="inlineStr">
        <is>
          <t>67+570</t>
        </is>
      </c>
      <c r="Q826" t="inlineStr">
        <is>
          <t>67+570</t>
        </is>
      </c>
      <c r="R826" t="inlineStr">
        <is>
          <t>Aberta</t>
        </is>
      </c>
      <c r="T826" t="inlineStr">
        <is>
          <t>Aline Batista</t>
        </is>
      </c>
      <c r="U826" t="inlineStr">
        <is>
          <t>24/04/2026</t>
        </is>
      </c>
      <c r="V826" t="inlineStr">
        <is>
          <t>01/05/2026</t>
        </is>
      </c>
      <c r="W826">
        <v>40</v>
      </c>
      <c r="AA826" t="inlineStr">
        <is>
          <t>Aberta 30-60 dias</t>
        </is>
      </c>
      <c r="AB826" t="inlineStr">
        <is>
          <t>GSA</t>
        </is>
      </c>
    </row>
    <row r="827">
      <c r="A827">
        <v>825</v>
      </c>
      <c r="B827">
        <v>2</v>
      </c>
      <c r="C827" t="inlineStr">
        <is>
          <t>1.6</t>
        </is>
      </c>
      <c r="D827" t="inlineStr">
        <is>
          <t>C10</t>
        </is>
      </c>
      <c r="E827" t="inlineStr">
        <is>
          <t>LE/LD</t>
        </is>
      </c>
      <c r="F827" t="inlineStr">
        <is>
          <t>ATERPA</t>
        </is>
      </c>
      <c r="G827" t="inlineStr">
        <is>
          <t>CLP-012</t>
        </is>
      </c>
      <c r="H827" t="inlineStr">
        <is>
          <t>Protocolo</t>
        </is>
      </c>
      <c r="I827">
        <v>6</v>
      </c>
      <c r="J827" t="inlineStr">
        <is>
          <t>Drenagem Superficial</t>
        </is>
      </c>
      <c r="K827" t="inlineStr">
        <is>
          <t>6.10</t>
        </is>
      </c>
      <c r="L827" t="inlineStr">
        <is>
          <t>Dispositivo de drenagem</t>
        </is>
      </c>
      <c r="M827" t="inlineStr">
        <is>
          <t>Obstrução do dispositivo</t>
        </is>
      </c>
      <c r="N827" t="inlineStr">
        <is>
          <t>Drenagem obstruída por acúmulo de material  e Ausencia do DSH</t>
        </is>
      </c>
      <c r="O827" t="inlineStr">
        <is>
          <t>Tipo A</t>
        </is>
      </c>
      <c r="P827" t="inlineStr">
        <is>
          <t>67+900</t>
        </is>
      </c>
      <c r="Q827" t="inlineStr">
        <is>
          <t>67+900</t>
        </is>
      </c>
      <c r="R827" t="inlineStr">
        <is>
          <t>Aberta</t>
        </is>
      </c>
      <c r="T827" t="inlineStr">
        <is>
          <t>Aline Batista</t>
        </is>
      </c>
      <c r="U827" t="inlineStr">
        <is>
          <t>24/04/2026</t>
        </is>
      </c>
      <c r="V827" t="inlineStr">
        <is>
          <t>01/05/2026</t>
        </is>
      </c>
      <c r="W827">
        <v>40</v>
      </c>
      <c r="AA827" t="inlineStr">
        <is>
          <t>Aberta 30-60 dias</t>
        </is>
      </c>
      <c r="AB827" t="inlineStr">
        <is>
          <t>GSA</t>
        </is>
      </c>
    </row>
    <row r="828">
      <c r="A828">
        <v>826</v>
      </c>
      <c r="B828">
        <v>2</v>
      </c>
      <c r="C828" t="inlineStr">
        <is>
          <t>1.6</t>
        </is>
      </c>
      <c r="D828" t="inlineStr">
        <is>
          <t>C10</t>
        </is>
      </c>
      <c r="E828" t="inlineStr">
        <is>
          <t>LE/LD</t>
        </is>
      </c>
      <c r="F828" t="inlineStr">
        <is>
          <t>ATERPA</t>
        </is>
      </c>
      <c r="G828" t="inlineStr">
        <is>
          <t>CLP-012</t>
        </is>
      </c>
      <c r="H828" t="inlineStr">
        <is>
          <t>Protocolo</t>
        </is>
      </c>
      <c r="I828">
        <v>6</v>
      </c>
      <c r="J828" t="inlineStr">
        <is>
          <t>Drenagem Superficial</t>
        </is>
      </c>
      <c r="K828" t="inlineStr">
        <is>
          <t>6.10</t>
        </is>
      </c>
      <c r="L828" t="inlineStr">
        <is>
          <t>Dispositivo de drenagem</t>
        </is>
      </c>
      <c r="M828" t="inlineStr">
        <is>
          <t>Acúmulo de água</t>
        </is>
      </c>
      <c r="N828" t="inlineStr">
        <is>
          <t>Acumulo de água em valeta e ausencia do DSH</t>
        </is>
      </c>
      <c r="O828" t="inlineStr">
        <is>
          <t>Tipo A</t>
        </is>
      </c>
      <c r="P828" t="inlineStr">
        <is>
          <t>68+020</t>
        </is>
      </c>
      <c r="Q828" t="inlineStr">
        <is>
          <t>68+020</t>
        </is>
      </c>
      <c r="R828" t="inlineStr">
        <is>
          <t>Aberta</t>
        </is>
      </c>
      <c r="T828" t="inlineStr">
        <is>
          <t>Aline Batista</t>
        </is>
      </c>
      <c r="U828" t="inlineStr">
        <is>
          <t>24/04/2026</t>
        </is>
      </c>
      <c r="V828" t="inlineStr">
        <is>
          <t>01/05/2026</t>
        </is>
      </c>
      <c r="W828">
        <v>40</v>
      </c>
      <c r="AA828" t="inlineStr">
        <is>
          <t>Aberta 30-60 dias</t>
        </is>
      </c>
      <c r="AB828" t="inlineStr">
        <is>
          <t>GSA</t>
        </is>
      </c>
    </row>
    <row r="829">
      <c r="A829">
        <v>827</v>
      </c>
      <c r="B829">
        <v>2</v>
      </c>
      <c r="C829" t="inlineStr">
        <is>
          <t>1.6</t>
        </is>
      </c>
      <c r="D829" t="inlineStr">
        <is>
          <t>C10</t>
        </is>
      </c>
      <c r="E829" t="inlineStr">
        <is>
          <t>LE/LD</t>
        </is>
      </c>
      <c r="F829" t="inlineStr">
        <is>
          <t>ATERPA</t>
        </is>
      </c>
      <c r="G829" t="inlineStr">
        <is>
          <t>CLP-012</t>
        </is>
      </c>
      <c r="H829" t="inlineStr">
        <is>
          <t>Protocolo</t>
        </is>
      </c>
      <c r="I829">
        <v>6</v>
      </c>
      <c r="J829" t="inlineStr">
        <is>
          <t>Drenagem Superficial</t>
        </is>
      </c>
      <c r="K829" t="inlineStr">
        <is>
          <t>6.10</t>
        </is>
      </c>
      <c r="L829" t="inlineStr">
        <is>
          <t>Dispositivo de drenagem</t>
        </is>
      </c>
      <c r="M829" t="inlineStr">
        <is>
          <t>Acúmulo de água</t>
        </is>
      </c>
      <c r="N829" t="inlineStr">
        <is>
          <t>Acumulo de água em valeta e ausencia do DSH</t>
        </is>
      </c>
      <c r="O829" t="inlineStr">
        <is>
          <t>Tipo A</t>
        </is>
      </c>
      <c r="P829" t="inlineStr">
        <is>
          <t>67+580</t>
        </is>
      </c>
      <c r="Q829" t="inlineStr">
        <is>
          <t>67+580</t>
        </is>
      </c>
      <c r="R829" t="inlineStr">
        <is>
          <t>Aberta</t>
        </is>
      </c>
      <c r="T829" t="inlineStr">
        <is>
          <t>Aline Batista</t>
        </is>
      </c>
      <c r="U829" t="inlineStr">
        <is>
          <t>24/04/2026</t>
        </is>
      </c>
      <c r="V829" t="inlineStr">
        <is>
          <t>01/05/2026</t>
        </is>
      </c>
      <c r="W829">
        <v>40</v>
      </c>
      <c r="AA829" t="inlineStr">
        <is>
          <t>Aberta 30-60 dias</t>
        </is>
      </c>
      <c r="AB829" t="inlineStr">
        <is>
          <t>GSA</t>
        </is>
      </c>
    </row>
    <row r="830">
      <c r="A830">
        <v>828</v>
      </c>
      <c r="B830">
        <v>2</v>
      </c>
      <c r="C830" t="inlineStr">
        <is>
          <t>1.6</t>
        </is>
      </c>
      <c r="D830" t="inlineStr">
        <is>
          <t>C10</t>
        </is>
      </c>
      <c r="E830" t="inlineStr">
        <is>
          <t>LE/LD</t>
        </is>
      </c>
      <c r="F830" t="inlineStr">
        <is>
          <t>ATERPA</t>
        </is>
      </c>
      <c r="G830" t="inlineStr">
        <is>
          <t>CLP-012</t>
        </is>
      </c>
      <c r="H830" t="inlineStr">
        <is>
          <t>Protocolo</t>
        </is>
      </c>
      <c r="I830">
        <v>6</v>
      </c>
      <c r="J830" t="inlineStr">
        <is>
          <t>Drenagem Superficial</t>
        </is>
      </c>
      <c r="K830" t="inlineStr">
        <is>
          <t>6.10</t>
        </is>
      </c>
      <c r="L830" t="inlineStr">
        <is>
          <t>Dispositivo de drenagem</t>
        </is>
      </c>
      <c r="M830" t="inlineStr">
        <is>
          <t>Acúmulo de água</t>
        </is>
      </c>
      <c r="N830" t="inlineStr">
        <is>
          <t>Acumulo de água em valeta e ausencia do DSH</t>
        </is>
      </c>
      <c r="O830" t="inlineStr">
        <is>
          <t>Tipo A</t>
        </is>
      </c>
      <c r="P830" t="inlineStr">
        <is>
          <t>68+020</t>
        </is>
      </c>
      <c r="Q830" t="inlineStr">
        <is>
          <t>68+020</t>
        </is>
      </c>
      <c r="R830" t="inlineStr">
        <is>
          <t>Aberta</t>
        </is>
      </c>
      <c r="T830" t="inlineStr">
        <is>
          <t>Aline Batista</t>
        </is>
      </c>
      <c r="U830" t="inlineStr">
        <is>
          <t>24/04/2026</t>
        </is>
      </c>
      <c r="V830" t="inlineStr">
        <is>
          <t>01/05/2026</t>
        </is>
      </c>
      <c r="W830">
        <v>40</v>
      </c>
      <c r="AA830" t="inlineStr">
        <is>
          <t>Aberta 30-60 dias</t>
        </is>
      </c>
      <c r="AB830" t="inlineStr">
        <is>
          <t>GSA</t>
        </is>
      </c>
    </row>
    <row r="831">
      <c r="A831">
        <v>829</v>
      </c>
      <c r="B831">
        <v>2</v>
      </c>
      <c r="C831" t="inlineStr">
        <is>
          <t>1.6</t>
        </is>
      </c>
      <c r="D831" t="inlineStr">
        <is>
          <t>C10</t>
        </is>
      </c>
      <c r="E831" t="inlineStr">
        <is>
          <t>LE/LD</t>
        </is>
      </c>
      <c r="F831" t="inlineStr">
        <is>
          <t>ATERPA</t>
        </is>
      </c>
      <c r="G831" t="inlineStr">
        <is>
          <t>CLP-012</t>
        </is>
      </c>
      <c r="H831" t="inlineStr">
        <is>
          <t>Protocolo</t>
        </is>
      </c>
      <c r="I831">
        <v>6</v>
      </c>
      <c r="J831" t="inlineStr">
        <is>
          <t>Drenagem Superficial</t>
        </is>
      </c>
      <c r="K831" t="inlineStr">
        <is>
          <t>6.10</t>
        </is>
      </c>
      <c r="L831" t="inlineStr">
        <is>
          <t>Dispositivo de drenagem</t>
        </is>
      </c>
      <c r="M831" t="inlineStr">
        <is>
          <t>Acúmulo de água</t>
        </is>
      </c>
      <c r="N831" t="inlineStr">
        <is>
          <t>Acumulo de água em valeta e ausencia do DSH</t>
        </is>
      </c>
      <c r="O831" t="inlineStr">
        <is>
          <t>Tipo A</t>
        </is>
      </c>
      <c r="P831" t="inlineStr">
        <is>
          <t>68+050</t>
        </is>
      </c>
      <c r="Q831" t="inlineStr">
        <is>
          <t>68+050</t>
        </is>
      </c>
      <c r="R831" t="inlineStr">
        <is>
          <t>Aberta</t>
        </is>
      </c>
      <c r="T831" t="inlineStr">
        <is>
          <t>Aline Batista</t>
        </is>
      </c>
      <c r="U831" t="inlineStr">
        <is>
          <t>24/04/2026</t>
        </is>
      </c>
      <c r="V831" t="inlineStr">
        <is>
          <t>01/05/2026</t>
        </is>
      </c>
      <c r="W831">
        <v>40</v>
      </c>
      <c r="AA831" t="inlineStr">
        <is>
          <t>Aberta 30-60 dias</t>
        </is>
      </c>
      <c r="AB831" t="inlineStr">
        <is>
          <t>GSA</t>
        </is>
      </c>
    </row>
    <row r="832">
      <c r="A832">
        <v>830</v>
      </c>
      <c r="B832">
        <v>2</v>
      </c>
      <c r="C832" t="inlineStr">
        <is>
          <t>1.6</t>
        </is>
      </c>
      <c r="D832" t="inlineStr">
        <is>
          <t>C10</t>
        </is>
      </c>
      <c r="E832" t="inlineStr">
        <is>
          <t>LE/LD</t>
        </is>
      </c>
      <c r="F832" t="inlineStr">
        <is>
          <t>ATERPA</t>
        </is>
      </c>
      <c r="G832" t="inlineStr">
        <is>
          <t>CLP-012</t>
        </is>
      </c>
      <c r="H832" t="inlineStr">
        <is>
          <t>Protocolo</t>
        </is>
      </c>
      <c r="I832">
        <v>6</v>
      </c>
      <c r="J832" t="inlineStr">
        <is>
          <t>Drenagem Superficial</t>
        </is>
      </c>
      <c r="K832" t="inlineStr">
        <is>
          <t>6.10</t>
        </is>
      </c>
      <c r="L832" t="inlineStr">
        <is>
          <t>Dispositivo de drenagem</t>
        </is>
      </c>
      <c r="M832" t="inlineStr">
        <is>
          <t>Acúmulo de água</t>
        </is>
      </c>
      <c r="N832" t="inlineStr">
        <is>
          <t>Acumulo de agua na lateral da canaleta</t>
        </is>
      </c>
      <c r="O832" t="inlineStr">
        <is>
          <t>Tipo A</t>
        </is>
      </c>
      <c r="P832" t="inlineStr">
        <is>
          <t>68+090</t>
        </is>
      </c>
      <c r="Q832" t="inlineStr">
        <is>
          <t>68+090</t>
        </is>
      </c>
      <c r="R832" t="inlineStr">
        <is>
          <t>Aberta</t>
        </is>
      </c>
      <c r="T832" t="inlineStr">
        <is>
          <t>Aline Batista</t>
        </is>
      </c>
      <c r="U832" t="inlineStr">
        <is>
          <t>24/04/2026</t>
        </is>
      </c>
      <c r="V832" t="inlineStr">
        <is>
          <t>01/05/2026</t>
        </is>
      </c>
      <c r="W832">
        <v>40</v>
      </c>
      <c r="AA832" t="inlineStr">
        <is>
          <t>Aberta 30-60 dias</t>
        </is>
      </c>
      <c r="AB832" t="inlineStr">
        <is>
          <t>GSA</t>
        </is>
      </c>
    </row>
    <row r="833">
      <c r="A833">
        <v>831</v>
      </c>
      <c r="B833">
        <v>2</v>
      </c>
      <c r="C833" t="inlineStr">
        <is>
          <t>1.6</t>
        </is>
      </c>
      <c r="D833" t="inlineStr">
        <is>
          <t>C10</t>
        </is>
      </c>
      <c r="E833" t="inlineStr">
        <is>
          <t>LE/LD</t>
        </is>
      </c>
      <c r="F833" t="inlineStr">
        <is>
          <t>ATERPA</t>
        </is>
      </c>
      <c r="G833" t="inlineStr">
        <is>
          <t>CLP-012</t>
        </is>
      </c>
      <c r="H833" t="inlineStr">
        <is>
          <t>Protocolo</t>
        </is>
      </c>
      <c r="I833">
        <v>6</v>
      </c>
      <c r="J833" t="inlineStr">
        <is>
          <t>Drenagem Superficial</t>
        </is>
      </c>
      <c r="K833" t="inlineStr">
        <is>
          <t>6.10</t>
        </is>
      </c>
      <c r="L833" t="inlineStr">
        <is>
          <t>Dispositivo de drenagem</t>
        </is>
      </c>
      <c r="M833" t="inlineStr">
        <is>
          <t>Acúmulo de água</t>
        </is>
      </c>
      <c r="N833" t="inlineStr">
        <is>
          <t>Acumulo de água e material em valeta.</t>
        </is>
      </c>
      <c r="O833" t="inlineStr">
        <is>
          <t>Tipo A</t>
        </is>
      </c>
      <c r="P833" t="inlineStr">
        <is>
          <t>68+110</t>
        </is>
      </c>
      <c r="Q833" t="inlineStr">
        <is>
          <t>68+110</t>
        </is>
      </c>
      <c r="R833" t="inlineStr">
        <is>
          <t>Aberta</t>
        </is>
      </c>
      <c r="T833" t="inlineStr">
        <is>
          <t>Aline Batista</t>
        </is>
      </c>
      <c r="U833" t="inlineStr">
        <is>
          <t>24/04/2026</t>
        </is>
      </c>
      <c r="V833" t="inlineStr">
        <is>
          <t>01/05/2026</t>
        </is>
      </c>
      <c r="W833">
        <v>40</v>
      </c>
      <c r="AA833" t="inlineStr">
        <is>
          <t>Aberta 30-60 dias</t>
        </is>
      </c>
      <c r="AB833" t="inlineStr">
        <is>
          <t>GSA</t>
        </is>
      </c>
    </row>
    <row r="834">
      <c r="A834">
        <v>832</v>
      </c>
      <c r="B834">
        <v>2</v>
      </c>
      <c r="C834" t="inlineStr">
        <is>
          <t>1.6</t>
        </is>
      </c>
      <c r="D834" t="inlineStr">
        <is>
          <t>C10</t>
        </is>
      </c>
      <c r="E834" t="inlineStr">
        <is>
          <t>LE/LD</t>
        </is>
      </c>
      <c r="F834" t="inlineStr">
        <is>
          <t>ATERPA</t>
        </is>
      </c>
      <c r="G834" t="inlineStr">
        <is>
          <t>CLP-012</t>
        </is>
      </c>
      <c r="H834" t="inlineStr">
        <is>
          <t>Protocolo</t>
        </is>
      </c>
      <c r="I834">
        <v>6</v>
      </c>
      <c r="J834" t="inlineStr">
        <is>
          <t>Drenagem Superficial</t>
        </is>
      </c>
      <c r="K834" t="inlineStr">
        <is>
          <t>6.10</t>
        </is>
      </c>
      <c r="L834" t="inlineStr">
        <is>
          <t>Dispositivo de drenagem</t>
        </is>
      </c>
      <c r="M834" t="inlineStr">
        <is>
          <t>Acúmulo de água</t>
        </is>
      </c>
      <c r="N834" t="inlineStr">
        <is>
          <t>Acumulo de água e material em valeta.</t>
        </is>
      </c>
      <c r="O834" t="inlineStr">
        <is>
          <t>Tipo A</t>
        </is>
      </c>
      <c r="P834" t="inlineStr">
        <is>
          <t>68+200</t>
        </is>
      </c>
      <c r="Q834" t="inlineStr">
        <is>
          <t>68+200</t>
        </is>
      </c>
      <c r="R834" t="inlineStr">
        <is>
          <t>Aberta</t>
        </is>
      </c>
      <c r="T834" t="inlineStr">
        <is>
          <t>Aline Batista</t>
        </is>
      </c>
      <c r="U834" t="inlineStr">
        <is>
          <t>24/04/2026</t>
        </is>
      </c>
      <c r="V834" t="inlineStr">
        <is>
          <t>01/05/2026</t>
        </is>
      </c>
      <c r="W834">
        <v>40</v>
      </c>
      <c r="AA834" t="inlineStr">
        <is>
          <t>Aberta 30-60 dias</t>
        </is>
      </c>
      <c r="AB834" t="inlineStr">
        <is>
          <t>GSA</t>
        </is>
      </c>
    </row>
    <row r="835">
      <c r="A835">
        <v>833</v>
      </c>
      <c r="B835">
        <v>2</v>
      </c>
      <c r="C835" t="inlineStr">
        <is>
          <t>1.6</t>
        </is>
      </c>
      <c r="D835" t="inlineStr">
        <is>
          <t>C10</t>
        </is>
      </c>
      <c r="E835" t="inlineStr">
        <is>
          <t>LE/LD</t>
        </is>
      </c>
      <c r="F835" t="inlineStr">
        <is>
          <t>ATERPA</t>
        </is>
      </c>
      <c r="G835" t="inlineStr">
        <is>
          <t>CLP-012</t>
        </is>
      </c>
      <c r="H835" t="inlineStr">
        <is>
          <t>Protocolo</t>
        </is>
      </c>
      <c r="I835">
        <v>6</v>
      </c>
      <c r="J835" t="inlineStr">
        <is>
          <t>Drenagem Superficial</t>
        </is>
      </c>
      <c r="K835" t="inlineStr">
        <is>
          <t>6.4</t>
        </is>
      </c>
      <c r="L835" t="inlineStr">
        <is>
          <t>Caixa de inspeção</t>
        </is>
      </c>
      <c r="M835" t="inlineStr">
        <is>
          <t>Drenagem danificadas</t>
        </is>
      </c>
      <c r="N835" t="inlineStr">
        <is>
          <t>Caixa de inspeção danificada</t>
        </is>
      </c>
      <c r="O835" t="inlineStr">
        <is>
          <t>Tipo A</t>
        </is>
      </c>
      <c r="P835" t="inlineStr">
        <is>
          <t>69+040</t>
        </is>
      </c>
      <c r="Q835" t="inlineStr">
        <is>
          <t>69+040</t>
        </is>
      </c>
      <c r="R835" t="inlineStr">
        <is>
          <t>Aberta</t>
        </is>
      </c>
      <c r="T835" t="inlineStr">
        <is>
          <t>Aline Batista</t>
        </is>
      </c>
      <c r="U835" t="inlineStr">
        <is>
          <t>24/04/2026</t>
        </is>
      </c>
      <c r="V835" t="inlineStr">
        <is>
          <t>01/05/2026</t>
        </is>
      </c>
      <c r="W835">
        <v>40</v>
      </c>
      <c r="AA835" t="inlineStr">
        <is>
          <t>Aberta 30-60 dias</t>
        </is>
      </c>
      <c r="AB835" t="inlineStr">
        <is>
          <t>GSA</t>
        </is>
      </c>
    </row>
    <row r="836">
      <c r="A836">
        <v>834</v>
      </c>
      <c r="B836">
        <v>2</v>
      </c>
      <c r="C836" t="inlineStr">
        <is>
          <t>1.6</t>
        </is>
      </c>
      <c r="D836" t="inlineStr">
        <is>
          <t>C10</t>
        </is>
      </c>
      <c r="E836" t="inlineStr">
        <is>
          <t>LE/LD</t>
        </is>
      </c>
      <c r="F836" t="inlineStr">
        <is>
          <t>ATERPA</t>
        </is>
      </c>
      <c r="G836" t="inlineStr">
        <is>
          <t>CLP-012</t>
        </is>
      </c>
      <c r="H836" t="inlineStr">
        <is>
          <t>Protocolo</t>
        </is>
      </c>
      <c r="I836">
        <v>6</v>
      </c>
      <c r="J836" t="inlineStr">
        <is>
          <t>Drenagem Superficial</t>
        </is>
      </c>
      <c r="K836" t="inlineStr">
        <is>
          <t>6.4</t>
        </is>
      </c>
      <c r="L836" t="inlineStr">
        <is>
          <t>Caixa de inspeção</t>
        </is>
      </c>
      <c r="M836" t="inlineStr">
        <is>
          <t>Drenagem danificadas</t>
        </is>
      </c>
      <c r="N836" t="inlineStr">
        <is>
          <t>Caixa de inspeção danificada</t>
        </is>
      </c>
      <c r="O836" t="inlineStr">
        <is>
          <t>Tipo A</t>
        </is>
      </c>
      <c r="P836" t="inlineStr">
        <is>
          <t>69+040</t>
        </is>
      </c>
      <c r="Q836" t="inlineStr">
        <is>
          <t>69+040</t>
        </is>
      </c>
      <c r="R836" t="inlineStr">
        <is>
          <t>Aberta</t>
        </is>
      </c>
      <c r="T836" t="inlineStr">
        <is>
          <t>Aline Batista</t>
        </is>
      </c>
      <c r="U836" t="inlineStr">
        <is>
          <t>24/04/2026</t>
        </is>
      </c>
      <c r="V836" t="inlineStr">
        <is>
          <t>01/05/2026</t>
        </is>
      </c>
      <c r="W836">
        <v>40</v>
      </c>
      <c r="AA836" t="inlineStr">
        <is>
          <t>Aberta 30-60 dias</t>
        </is>
      </c>
      <c r="AB836" t="inlineStr">
        <is>
          <t>GSA</t>
        </is>
      </c>
    </row>
    <row r="837">
      <c r="A837">
        <v>835</v>
      </c>
      <c r="B837">
        <v>2</v>
      </c>
      <c r="C837" t="inlineStr">
        <is>
          <t>1.6</t>
        </is>
      </c>
      <c r="D837" t="inlineStr">
        <is>
          <t>C10</t>
        </is>
      </c>
      <c r="E837" t="inlineStr">
        <is>
          <t>LE/LD</t>
        </is>
      </c>
      <c r="F837" t="inlineStr">
        <is>
          <t>ATERPA</t>
        </is>
      </c>
      <c r="G837" t="inlineStr">
        <is>
          <t>CLP-012</t>
        </is>
      </c>
      <c r="H837" t="inlineStr">
        <is>
          <t>Protocolo</t>
        </is>
      </c>
      <c r="I837">
        <v>6</v>
      </c>
      <c r="J837" t="inlineStr">
        <is>
          <t>Drenagem Superficial</t>
        </is>
      </c>
      <c r="K837" t="inlineStr">
        <is>
          <t>6.10</t>
        </is>
      </c>
      <c r="L837" t="inlineStr">
        <is>
          <t>Dispositivo de drenagem</t>
        </is>
      </c>
      <c r="M837" t="inlineStr">
        <is>
          <t>Drenagem danificadas</t>
        </is>
      </c>
      <c r="N837" t="inlineStr">
        <is>
          <t>Drenagem danificada com presença de material acumulado.</t>
        </is>
      </c>
      <c r="O837" t="inlineStr">
        <is>
          <t>Tipo A</t>
        </is>
      </c>
      <c r="P837" t="inlineStr">
        <is>
          <t>69+200</t>
        </is>
      </c>
      <c r="Q837" t="inlineStr">
        <is>
          <t>69+200</t>
        </is>
      </c>
      <c r="R837" t="inlineStr">
        <is>
          <t>Aberta</t>
        </is>
      </c>
      <c r="T837" t="inlineStr">
        <is>
          <t>Aline Batista</t>
        </is>
      </c>
      <c r="U837" t="inlineStr">
        <is>
          <t>24/04/2026</t>
        </is>
      </c>
      <c r="V837" t="inlineStr">
        <is>
          <t>01/05/2026</t>
        </is>
      </c>
      <c r="W837">
        <v>40</v>
      </c>
      <c r="AA837" t="inlineStr">
        <is>
          <t>Aberta 30-60 dias</t>
        </is>
      </c>
      <c r="AB837" t="inlineStr">
        <is>
          <t>GSA</t>
        </is>
      </c>
    </row>
    <row r="838">
      <c r="A838">
        <v>836</v>
      </c>
      <c r="B838">
        <v>2</v>
      </c>
      <c r="C838" t="inlineStr">
        <is>
          <t>1.6</t>
        </is>
      </c>
      <c r="D838" t="inlineStr">
        <is>
          <t>C10</t>
        </is>
      </c>
      <c r="E838" t="inlineStr">
        <is>
          <t>LE/LD</t>
        </is>
      </c>
      <c r="F838" t="inlineStr">
        <is>
          <t>ATERPA</t>
        </is>
      </c>
      <c r="G838" t="inlineStr">
        <is>
          <t>CLP-012</t>
        </is>
      </c>
      <c r="H838" t="inlineStr">
        <is>
          <t>Protocolo</t>
        </is>
      </c>
      <c r="I838">
        <v>6</v>
      </c>
      <c r="J838" t="inlineStr">
        <is>
          <t>Drenagem Superficial</t>
        </is>
      </c>
      <c r="K838" t="inlineStr">
        <is>
          <t>6.1</t>
        </is>
      </c>
      <c r="L838" t="inlineStr">
        <is>
          <t>Dispositivo de drenagem</t>
        </is>
      </c>
      <c r="M838" t="inlineStr">
        <is>
          <t>Dispositivo não executado</t>
        </is>
      </c>
      <c r="N838" t="inlineStr">
        <is>
          <t>Pendente execução da canaleta</t>
        </is>
      </c>
      <c r="O838" t="inlineStr">
        <is>
          <t>Tipo A</t>
        </is>
      </c>
      <c r="P838" t="inlineStr">
        <is>
          <t>69+200</t>
        </is>
      </c>
      <c r="Q838" t="inlineStr">
        <is>
          <t>69+200</t>
        </is>
      </c>
      <c r="R838" t="inlineStr">
        <is>
          <t>Aberta</t>
        </is>
      </c>
      <c r="T838" t="inlineStr">
        <is>
          <t>Aline Batista</t>
        </is>
      </c>
      <c r="U838" t="inlineStr">
        <is>
          <t>24/04/2026</t>
        </is>
      </c>
      <c r="V838" t="inlineStr">
        <is>
          <t>01/05/2026</t>
        </is>
      </c>
      <c r="W838">
        <v>40</v>
      </c>
      <c r="AA838" t="inlineStr">
        <is>
          <t>Aberta 30-60 dias</t>
        </is>
      </c>
      <c r="AB838" t="inlineStr">
        <is>
          <t>GSA</t>
        </is>
      </c>
    </row>
    <row r="839">
      <c r="A839">
        <v>837</v>
      </c>
      <c r="B839">
        <v>2</v>
      </c>
      <c r="C839" t="inlineStr">
        <is>
          <t>1.6</t>
        </is>
      </c>
      <c r="D839" t="inlineStr">
        <is>
          <t>C10</t>
        </is>
      </c>
      <c r="E839" t="inlineStr">
        <is>
          <t>LE/LD</t>
        </is>
      </c>
      <c r="F839" t="inlineStr">
        <is>
          <t>ATERPA</t>
        </is>
      </c>
      <c r="G839" t="inlineStr">
        <is>
          <t>CLP-012</t>
        </is>
      </c>
      <c r="H839" t="inlineStr">
        <is>
          <t>Protocolo</t>
        </is>
      </c>
      <c r="I839">
        <v>6</v>
      </c>
      <c r="J839" t="inlineStr">
        <is>
          <t>Drenagem Superficial</t>
        </is>
      </c>
      <c r="K839" t="inlineStr">
        <is>
          <t>6.10</t>
        </is>
      </c>
      <c r="L839" t="inlineStr">
        <is>
          <t>Dispositivo de drenagem</t>
        </is>
      </c>
      <c r="M839" t="inlineStr">
        <is>
          <t>Obstrução do dispositivo</t>
        </is>
      </c>
      <c r="N839" t="inlineStr">
        <is>
          <t>Drenagem obstruída por acúmulo de material</t>
        </is>
      </c>
      <c r="O839" t="inlineStr">
        <is>
          <t>Tipo A</t>
        </is>
      </c>
      <c r="P839" t="inlineStr">
        <is>
          <t>69+200</t>
        </is>
      </c>
      <c r="Q839" t="inlineStr">
        <is>
          <t>69+200</t>
        </is>
      </c>
      <c r="R839" t="inlineStr">
        <is>
          <t>Aberta</t>
        </is>
      </c>
      <c r="T839" t="inlineStr">
        <is>
          <t>Aline Batista</t>
        </is>
      </c>
      <c r="U839" t="inlineStr">
        <is>
          <t>24/04/2026</t>
        </is>
      </c>
      <c r="V839" t="inlineStr">
        <is>
          <t>01/05/2026</t>
        </is>
      </c>
      <c r="W839">
        <v>40</v>
      </c>
      <c r="AA839" t="inlineStr">
        <is>
          <t>Aberta 30-60 dias</t>
        </is>
      </c>
      <c r="AB839" t="inlineStr">
        <is>
          <t>GSA</t>
        </is>
      </c>
    </row>
    <row r="840">
      <c r="A840">
        <v>838</v>
      </c>
      <c r="B840">
        <v>2</v>
      </c>
      <c r="C840" t="inlineStr">
        <is>
          <t>1.6</t>
        </is>
      </c>
      <c r="D840" t="inlineStr">
        <is>
          <t>A10</t>
        </is>
      </c>
      <c r="E840" t="inlineStr">
        <is>
          <t>LE/LD</t>
        </is>
      </c>
      <c r="F840" t="inlineStr">
        <is>
          <t>ATERPA</t>
        </is>
      </c>
      <c r="G840" t="inlineStr">
        <is>
          <t>CLP-012</t>
        </is>
      </c>
      <c r="H840" t="inlineStr">
        <is>
          <t>Protocolo</t>
        </is>
      </c>
      <c r="I840">
        <v>6</v>
      </c>
      <c r="J840" t="inlineStr">
        <is>
          <t>Drenagem Superficial</t>
        </is>
      </c>
      <c r="K840" t="inlineStr">
        <is>
          <t>6.1</t>
        </is>
      </c>
      <c r="L840" t="inlineStr">
        <is>
          <t>Dispositivo de drenagem</t>
        </is>
      </c>
      <c r="M840" t="inlineStr">
        <is>
          <t>Dispositivo não executado</t>
        </is>
      </c>
      <c r="N840" t="inlineStr">
        <is>
          <t>Pendente execução da canaleta</t>
        </is>
      </c>
      <c r="O840" t="inlineStr">
        <is>
          <t>Tipo A</t>
        </is>
      </c>
      <c r="P840" t="inlineStr">
        <is>
          <t>69+300</t>
        </is>
      </c>
      <c r="Q840" t="inlineStr">
        <is>
          <t>69+300</t>
        </is>
      </c>
      <c r="R840" t="inlineStr">
        <is>
          <t>Aberta</t>
        </is>
      </c>
      <c r="T840" t="inlineStr">
        <is>
          <t>Aline Batista</t>
        </is>
      </c>
      <c r="U840" t="inlineStr">
        <is>
          <t>24/04/2026</t>
        </is>
      </c>
      <c r="V840" t="inlineStr">
        <is>
          <t>01/05/2026</t>
        </is>
      </c>
      <c r="W840">
        <v>40</v>
      </c>
      <c r="AA840" t="inlineStr">
        <is>
          <t>Aberta 30-60 dias</t>
        </is>
      </c>
      <c r="AB840" t="inlineStr">
        <is>
          <t>GSA</t>
        </is>
      </c>
    </row>
    <row r="841">
      <c r="A841">
        <v>839</v>
      </c>
      <c r="B841">
        <v>2</v>
      </c>
      <c r="C841" t="inlineStr">
        <is>
          <t>1.6</t>
        </is>
      </c>
      <c r="D841" t="inlineStr">
        <is>
          <t>A10</t>
        </is>
      </c>
      <c r="E841" t="inlineStr">
        <is>
          <t>LE/LD</t>
        </is>
      </c>
      <c r="F841" t="inlineStr">
        <is>
          <t>ATERPA</t>
        </is>
      </c>
      <c r="G841" t="inlineStr">
        <is>
          <t>CLP-012</t>
        </is>
      </c>
      <c r="H841" t="inlineStr">
        <is>
          <t>Protocolo</t>
        </is>
      </c>
      <c r="I841">
        <v>6</v>
      </c>
      <c r="J841" t="inlineStr">
        <is>
          <t>Drenagem Superficial</t>
        </is>
      </c>
      <c r="K841" t="inlineStr">
        <is>
          <t>6.1</t>
        </is>
      </c>
      <c r="L841" t="inlineStr">
        <is>
          <t>Dispositivo de drenagem</t>
        </is>
      </c>
      <c r="M841" t="inlineStr">
        <is>
          <t>Dispositivo não executado</t>
        </is>
      </c>
      <c r="N841" t="inlineStr">
        <is>
          <t>Pendente execução da canaleta</t>
        </is>
      </c>
      <c r="O841" t="inlineStr">
        <is>
          <t>Tipo A</t>
        </is>
      </c>
      <c r="P841" t="inlineStr">
        <is>
          <t>69+350</t>
        </is>
      </c>
      <c r="Q841" t="inlineStr">
        <is>
          <t>69+350</t>
        </is>
      </c>
      <c r="R841" t="inlineStr">
        <is>
          <t>Aberta</t>
        </is>
      </c>
      <c r="T841" t="inlineStr">
        <is>
          <t>Aline Batista</t>
        </is>
      </c>
      <c r="U841" t="inlineStr">
        <is>
          <t>24/04/2026</t>
        </is>
      </c>
      <c r="V841" t="inlineStr">
        <is>
          <t>01/05/2026</t>
        </is>
      </c>
      <c r="W841">
        <v>40</v>
      </c>
      <c r="AA841" t="inlineStr">
        <is>
          <t>Aberta 30-60 dias</t>
        </is>
      </c>
      <c r="AB841" t="inlineStr">
        <is>
          <t>GSA</t>
        </is>
      </c>
    </row>
    <row r="842">
      <c r="A842">
        <v>840</v>
      </c>
      <c r="B842">
        <v>2</v>
      </c>
      <c r="C842" t="inlineStr">
        <is>
          <t>1.6</t>
        </is>
      </c>
      <c r="D842" t="inlineStr">
        <is>
          <t>A10</t>
        </is>
      </c>
      <c r="E842" t="inlineStr">
        <is>
          <t>LE/LD</t>
        </is>
      </c>
      <c r="F842" t="inlineStr">
        <is>
          <t>ATERPA</t>
        </is>
      </c>
      <c r="G842" t="inlineStr">
        <is>
          <t>CLP-012</t>
        </is>
      </c>
      <c r="H842" t="inlineStr">
        <is>
          <t>Protocolo</t>
        </is>
      </c>
      <c r="I842">
        <v>6</v>
      </c>
      <c r="J842" t="inlineStr">
        <is>
          <t>Drenagem Superficial</t>
        </is>
      </c>
      <c r="K842" t="inlineStr">
        <is>
          <t>6.10</t>
        </is>
      </c>
      <c r="L842" t="inlineStr">
        <is>
          <t>Dispositivo de drenagem</t>
        </is>
      </c>
      <c r="M842" t="inlineStr">
        <is>
          <t>Obstrução do dispositivo</t>
        </is>
      </c>
      <c r="N842" t="inlineStr">
        <is>
          <t>Drenagem obstruída por acúmulo de material</t>
        </is>
      </c>
      <c r="O842" t="inlineStr">
        <is>
          <t>Tipo A</t>
        </is>
      </c>
      <c r="P842" t="inlineStr">
        <is>
          <t>69+350</t>
        </is>
      </c>
      <c r="Q842" t="inlineStr">
        <is>
          <t>69+350</t>
        </is>
      </c>
      <c r="R842" t="inlineStr">
        <is>
          <t>Aberta</t>
        </is>
      </c>
      <c r="T842" t="inlineStr">
        <is>
          <t>Aline Batista</t>
        </is>
      </c>
      <c r="U842" t="inlineStr">
        <is>
          <t>24/04/2026</t>
        </is>
      </c>
      <c r="V842" t="inlineStr">
        <is>
          <t>01/05/2026</t>
        </is>
      </c>
      <c r="W842">
        <v>40</v>
      </c>
      <c r="AA842" t="inlineStr">
        <is>
          <t>Aberta 30-60 dias</t>
        </is>
      </c>
      <c r="AB842" t="inlineStr">
        <is>
          <t>GSA</t>
        </is>
      </c>
    </row>
    <row r="843">
      <c r="A843">
        <v>841</v>
      </c>
      <c r="B843">
        <v>2</v>
      </c>
      <c r="C843" t="inlineStr">
        <is>
          <t>1.6</t>
        </is>
      </c>
      <c r="D843" t="inlineStr">
        <is>
          <t>A10</t>
        </is>
      </c>
      <c r="E843" t="inlineStr">
        <is>
          <t>LE/LD</t>
        </is>
      </c>
      <c r="F843" t="inlineStr">
        <is>
          <t>ATERPA</t>
        </is>
      </c>
      <c r="G843" t="inlineStr">
        <is>
          <t>CLP-012</t>
        </is>
      </c>
      <c r="H843" t="inlineStr">
        <is>
          <t>Protocolo</t>
        </is>
      </c>
      <c r="I843">
        <v>6</v>
      </c>
      <c r="J843" t="inlineStr">
        <is>
          <t>Drenagem Superficial</t>
        </is>
      </c>
      <c r="K843" t="inlineStr">
        <is>
          <t>6.1</t>
        </is>
      </c>
      <c r="L843" t="inlineStr">
        <is>
          <t>Dispositivo de drenagem</t>
        </is>
      </c>
      <c r="M843" t="inlineStr">
        <is>
          <t>Acabamento do concreto</t>
        </is>
      </c>
      <c r="N843" t="inlineStr">
        <is>
          <t>Remoção de pontos de içamento do pré moldado em TSS.</t>
        </is>
      </c>
      <c r="O843" t="inlineStr">
        <is>
          <t>Tipo A</t>
        </is>
      </c>
      <c r="P843" t="inlineStr">
        <is>
          <t>69+480</t>
        </is>
      </c>
      <c r="Q843" t="inlineStr">
        <is>
          <t>69+480</t>
        </is>
      </c>
      <c r="R843" t="inlineStr">
        <is>
          <t>Aberta</t>
        </is>
      </c>
      <c r="T843" t="inlineStr">
        <is>
          <t>Aline Batista</t>
        </is>
      </c>
      <c r="U843" t="inlineStr">
        <is>
          <t>24/04/2026</t>
        </is>
      </c>
      <c r="V843" t="inlineStr">
        <is>
          <t>01/05/2026</t>
        </is>
      </c>
      <c r="W843">
        <v>40</v>
      </c>
      <c r="AA843" t="inlineStr">
        <is>
          <t>Aberta 30-60 dias</t>
        </is>
      </c>
      <c r="AB843" t="inlineStr">
        <is>
          <t>GSA</t>
        </is>
      </c>
    </row>
    <row r="844">
      <c r="A844">
        <v>842</v>
      </c>
      <c r="B844">
        <v>2</v>
      </c>
      <c r="C844" t="inlineStr">
        <is>
          <t>1.6</t>
        </is>
      </c>
      <c r="D844" t="inlineStr">
        <is>
          <t>A10</t>
        </is>
      </c>
      <c r="E844" t="inlineStr">
        <is>
          <t>LE/LD</t>
        </is>
      </c>
      <c r="F844" t="inlineStr">
        <is>
          <t>ATERPA</t>
        </is>
      </c>
      <c r="G844" t="inlineStr">
        <is>
          <t>CLP-012</t>
        </is>
      </c>
      <c r="H844" t="inlineStr">
        <is>
          <t>Fiscalização</t>
        </is>
      </c>
      <c r="I844">
        <v>6</v>
      </c>
      <c r="J844" t="inlineStr">
        <is>
          <t>Drenagem Superficial</t>
        </is>
      </c>
      <c r="K844" t="inlineStr">
        <is>
          <t>6.10</t>
        </is>
      </c>
      <c r="L844" t="inlineStr">
        <is>
          <t>Dispositivo de drenagem</t>
        </is>
      </c>
      <c r="M844" t="inlineStr">
        <is>
          <t>Obstrução do dispositivo</t>
        </is>
      </c>
      <c r="N844" t="inlineStr">
        <is>
          <t>Drenagem obstruída por acúmulo de material</t>
        </is>
      </c>
      <c r="O844" t="inlineStr">
        <is>
          <t>Tipo A</t>
        </is>
      </c>
      <c r="P844" t="inlineStr">
        <is>
          <t>69+480</t>
        </is>
      </c>
      <c r="Q844" t="inlineStr">
        <is>
          <t>69+480</t>
        </is>
      </c>
      <c r="R844" t="inlineStr">
        <is>
          <t>Aberta</t>
        </is>
      </c>
      <c r="T844" t="inlineStr">
        <is>
          <t>Aline Batista</t>
        </is>
      </c>
      <c r="U844" t="inlineStr">
        <is>
          <t>24/04/2026</t>
        </is>
      </c>
      <c r="V844" t="inlineStr">
        <is>
          <t>01/05/2026</t>
        </is>
      </c>
      <c r="W844">
        <v>40</v>
      </c>
      <c r="AA844" t="inlineStr">
        <is>
          <t>Aberta 30-60 dias</t>
        </is>
      </c>
      <c r="AB844" t="inlineStr">
        <is>
          <t>GSA</t>
        </is>
      </c>
    </row>
    <row r="845">
      <c r="A845">
        <v>843</v>
      </c>
      <c r="B845">
        <v>2</v>
      </c>
      <c r="C845" t="inlineStr">
        <is>
          <t>1.6</t>
        </is>
      </c>
      <c r="D845" t="inlineStr">
        <is>
          <t>A10</t>
        </is>
      </c>
      <c r="E845" t="inlineStr">
        <is>
          <t>LE/LD</t>
        </is>
      </c>
      <c r="F845" t="inlineStr">
        <is>
          <t>ATERPA</t>
        </is>
      </c>
      <c r="G845" t="inlineStr">
        <is>
          <t>CLP-012</t>
        </is>
      </c>
      <c r="H845" t="inlineStr">
        <is>
          <t>Protocolo</t>
        </is>
      </c>
      <c r="I845">
        <v>6</v>
      </c>
      <c r="J845" t="inlineStr">
        <is>
          <t>Drenagem Superficial</t>
        </is>
      </c>
      <c r="K845" t="inlineStr">
        <is>
          <t>6.10</t>
        </is>
      </c>
      <c r="L845" t="inlineStr">
        <is>
          <t>Dispositivo de drenagem</t>
        </is>
      </c>
      <c r="M845" t="inlineStr">
        <is>
          <t>Patologias no Concreto</t>
        </is>
      </c>
      <c r="N845" t="inlineStr">
        <is>
          <t>Presença de trincas e fissuras em drenagem.</t>
        </is>
      </c>
      <c r="O845" t="inlineStr">
        <is>
          <t>Tipo A</t>
        </is>
      </c>
      <c r="P845" t="inlineStr">
        <is>
          <t>69+450</t>
        </is>
      </c>
      <c r="Q845" t="inlineStr">
        <is>
          <t>69+450</t>
        </is>
      </c>
      <c r="R845" t="inlineStr">
        <is>
          <t>Aberta</t>
        </is>
      </c>
      <c r="T845" t="inlineStr">
        <is>
          <t>Aline Batista</t>
        </is>
      </c>
      <c r="U845" t="inlineStr">
        <is>
          <t>24/04/2026</t>
        </is>
      </c>
      <c r="V845" t="inlineStr">
        <is>
          <t>01/05/2026</t>
        </is>
      </c>
      <c r="W845">
        <v>40</v>
      </c>
      <c r="AA845" t="inlineStr">
        <is>
          <t>Aberta 30-60 dias</t>
        </is>
      </c>
      <c r="AB845" t="inlineStr">
        <is>
          <t>GSA</t>
        </is>
      </c>
    </row>
    <row r="846">
      <c r="A846">
        <v>844</v>
      </c>
      <c r="B846">
        <v>2</v>
      </c>
      <c r="C846" t="inlineStr">
        <is>
          <t>1.6</t>
        </is>
      </c>
      <c r="D846" t="inlineStr">
        <is>
          <t>C08</t>
        </is>
      </c>
      <c r="E846" t="inlineStr">
        <is>
          <t>LE/LD</t>
        </is>
      </c>
      <c r="F846" t="inlineStr">
        <is>
          <t>ATERPA</t>
        </is>
      </c>
      <c r="G846" t="inlineStr">
        <is>
          <t>CLP-012</t>
        </is>
      </c>
      <c r="H846" t="inlineStr">
        <is>
          <t>Protocolo</t>
        </is>
      </c>
      <c r="I846">
        <v>6</v>
      </c>
      <c r="J846" t="inlineStr">
        <is>
          <t>Drenagem Superficial</t>
        </is>
      </c>
      <c r="K846" t="inlineStr">
        <is>
          <t>6.10</t>
        </is>
      </c>
      <c r="L846" t="inlineStr">
        <is>
          <t>Dispositivo de drenagem</t>
        </is>
      </c>
      <c r="M846" t="inlineStr">
        <is>
          <t>Obstrução do dispositivo</t>
        </is>
      </c>
      <c r="N846" t="inlineStr">
        <is>
          <t>Drenagem obstruída por acúmulo de material</t>
        </is>
      </c>
      <c r="O846" t="inlineStr">
        <is>
          <t>Tipo A</t>
        </is>
      </c>
      <c r="P846" t="inlineStr">
        <is>
          <t>63+780</t>
        </is>
      </c>
      <c r="Q846" t="inlineStr">
        <is>
          <t>63+780</t>
        </is>
      </c>
      <c r="R846" t="inlineStr">
        <is>
          <t>Aberta</t>
        </is>
      </c>
      <c r="T846" t="inlineStr">
        <is>
          <t>Aline Batista</t>
        </is>
      </c>
      <c r="U846" t="inlineStr">
        <is>
          <t>24/04/2026</t>
        </is>
      </c>
      <c r="V846" t="inlineStr">
        <is>
          <t>01/05/2026</t>
        </is>
      </c>
      <c r="W846">
        <v>40</v>
      </c>
      <c r="AA846" t="inlineStr">
        <is>
          <t>Aberta 30-60 dias</t>
        </is>
      </c>
      <c r="AB846" t="inlineStr">
        <is>
          <t>GSA</t>
        </is>
      </c>
    </row>
    <row r="847">
      <c r="A847">
        <v>845</v>
      </c>
      <c r="B847">
        <v>2</v>
      </c>
      <c r="C847" t="inlineStr">
        <is>
          <t>1.6</t>
        </is>
      </c>
      <c r="D847" t="inlineStr">
        <is>
          <t>C08</t>
        </is>
      </c>
      <c r="E847" t="inlineStr">
        <is>
          <t>LE/LD</t>
        </is>
      </c>
      <c r="F847" t="inlineStr">
        <is>
          <t>ATERPA</t>
        </is>
      </c>
      <c r="G847" t="inlineStr">
        <is>
          <t>CLP-012</t>
        </is>
      </c>
      <c r="H847" t="inlineStr">
        <is>
          <t>Protocolo</t>
        </is>
      </c>
      <c r="I847">
        <v>6</v>
      </c>
      <c r="J847" t="inlineStr">
        <is>
          <t>Drenagem Superficial</t>
        </is>
      </c>
      <c r="K847" t="inlineStr">
        <is>
          <t>6.10</t>
        </is>
      </c>
      <c r="L847" t="inlineStr">
        <is>
          <t>Dispositivo de drenagem</t>
        </is>
      </c>
      <c r="M847" t="inlineStr">
        <is>
          <t>Obstrução do dispositivo</t>
        </is>
      </c>
      <c r="N847" t="inlineStr">
        <is>
          <t>Drenagem obstruída por acúmulo de material</t>
        </is>
      </c>
      <c r="O847" t="inlineStr">
        <is>
          <t>Tipo A</t>
        </is>
      </c>
      <c r="P847" t="inlineStr">
        <is>
          <t>64+189</t>
        </is>
      </c>
      <c r="Q847" t="inlineStr">
        <is>
          <t>64+189</t>
        </is>
      </c>
      <c r="R847" t="inlineStr">
        <is>
          <t>Aberta</t>
        </is>
      </c>
      <c r="T847" t="inlineStr">
        <is>
          <t>Aline Batista</t>
        </is>
      </c>
      <c r="U847" t="inlineStr">
        <is>
          <t>24/04/2026</t>
        </is>
      </c>
      <c r="V847" t="inlineStr">
        <is>
          <t>01/05/2026</t>
        </is>
      </c>
      <c r="W847">
        <v>40</v>
      </c>
      <c r="AA847" t="inlineStr">
        <is>
          <t>Aberta 30-60 dias</t>
        </is>
      </c>
      <c r="AB847" t="inlineStr">
        <is>
          <t>GSA</t>
        </is>
      </c>
    </row>
    <row r="848">
      <c r="A848">
        <v>846</v>
      </c>
      <c r="B848">
        <v>2</v>
      </c>
      <c r="C848" t="inlineStr">
        <is>
          <t>1.6</t>
        </is>
      </c>
      <c r="D848" t="inlineStr">
        <is>
          <t>A07</t>
        </is>
      </c>
      <c r="E848" t="inlineStr">
        <is>
          <t>LE/LD</t>
        </is>
      </c>
      <c r="F848" t="inlineStr">
        <is>
          <t>ATERPA</t>
        </is>
      </c>
      <c r="G848" t="inlineStr">
        <is>
          <t>CLP-012</t>
        </is>
      </c>
      <c r="H848" t="inlineStr">
        <is>
          <t>Protocolo</t>
        </is>
      </c>
      <c r="I848">
        <v>6</v>
      </c>
      <c r="J848" t="inlineStr">
        <is>
          <t>Drenagem Superficial</t>
        </is>
      </c>
      <c r="K848" t="inlineStr">
        <is>
          <t>6.10</t>
        </is>
      </c>
      <c r="L848" t="inlineStr">
        <is>
          <t>Dispositivo de drenagem</t>
        </is>
      </c>
      <c r="M848" t="inlineStr">
        <is>
          <t>Obstrução do dispositivo</t>
        </is>
      </c>
      <c r="N848" t="inlineStr">
        <is>
          <t>Drenagem obstruída por acúmulo de material</t>
        </is>
      </c>
      <c r="O848" t="inlineStr">
        <is>
          <t>Tipo A</t>
        </is>
      </c>
      <c r="P848" t="inlineStr">
        <is>
          <t>63+500</t>
        </is>
      </c>
      <c r="Q848" t="inlineStr">
        <is>
          <t>63+500</t>
        </is>
      </c>
      <c r="R848" t="inlineStr">
        <is>
          <t>Aberta</t>
        </is>
      </c>
      <c r="T848" t="inlineStr">
        <is>
          <t>Aline Batista</t>
        </is>
      </c>
      <c r="U848" t="inlineStr">
        <is>
          <t>24/04/2026</t>
        </is>
      </c>
      <c r="V848" t="inlineStr">
        <is>
          <t>01/05/2026</t>
        </is>
      </c>
      <c r="W848">
        <v>40</v>
      </c>
      <c r="AA848" t="inlineStr">
        <is>
          <t>Aberta 30-60 dias</t>
        </is>
      </c>
      <c r="AB848" t="inlineStr">
        <is>
          <t>GSA</t>
        </is>
      </c>
    </row>
    <row r="849">
      <c r="A849">
        <v>847</v>
      </c>
      <c r="B849">
        <v>2</v>
      </c>
      <c r="C849" t="inlineStr">
        <is>
          <t>1.6</t>
        </is>
      </c>
      <c r="D849" t="inlineStr">
        <is>
          <t>A07</t>
        </is>
      </c>
      <c r="E849" t="inlineStr">
        <is>
          <t>LE/LD</t>
        </is>
      </c>
      <c r="F849" t="inlineStr">
        <is>
          <t>ATERPA</t>
        </is>
      </c>
      <c r="G849" t="inlineStr">
        <is>
          <t>CLP-012</t>
        </is>
      </c>
      <c r="H849" t="inlineStr">
        <is>
          <t>Protocolo</t>
        </is>
      </c>
      <c r="I849">
        <v>6</v>
      </c>
      <c r="J849" t="inlineStr">
        <is>
          <t>Drenagem Superficial</t>
        </is>
      </c>
      <c r="K849" t="inlineStr">
        <is>
          <t>6.7</t>
        </is>
      </c>
      <c r="L849" t="inlineStr">
        <is>
          <t>Dispositivo de drenagem</t>
        </is>
      </c>
      <c r="M849" t="inlineStr">
        <is>
          <t>Patologias no Concreto</t>
        </is>
      </c>
      <c r="N849" t="inlineStr">
        <is>
          <t>Trincas sobre reparo realizado</t>
        </is>
      </c>
      <c r="O849" t="inlineStr">
        <is>
          <t>Tipo A</t>
        </is>
      </c>
      <c r="P849" t="inlineStr">
        <is>
          <t>63+450</t>
        </is>
      </c>
      <c r="Q849" t="inlineStr">
        <is>
          <t>63+450</t>
        </is>
      </c>
      <c r="R849" t="inlineStr">
        <is>
          <t>Aberta</t>
        </is>
      </c>
      <c r="T849" t="inlineStr">
        <is>
          <t>Aline Batista</t>
        </is>
      </c>
      <c r="U849" t="inlineStr">
        <is>
          <t>24/04/2026</t>
        </is>
      </c>
      <c r="V849" t="inlineStr">
        <is>
          <t>01/05/2026</t>
        </is>
      </c>
      <c r="W849">
        <v>40</v>
      </c>
      <c r="AA849" t="inlineStr">
        <is>
          <t>Aberta 30-60 dias</t>
        </is>
      </c>
      <c r="AB849" t="inlineStr">
        <is>
          <t>GSA</t>
        </is>
      </c>
    </row>
    <row r="850">
      <c r="A850">
        <v>848</v>
      </c>
      <c r="B850">
        <v>2</v>
      </c>
      <c r="C850" t="inlineStr">
        <is>
          <t>1.6</t>
        </is>
      </c>
      <c r="D850" t="inlineStr">
        <is>
          <t>C08</t>
        </is>
      </c>
      <c r="E850" t="inlineStr">
        <is>
          <t>LE/LD</t>
        </is>
      </c>
      <c r="F850" t="inlineStr">
        <is>
          <t>ATERPA</t>
        </is>
      </c>
      <c r="G850" t="inlineStr">
        <is>
          <t>CLP-012</t>
        </is>
      </c>
      <c r="H850" t="inlineStr">
        <is>
          <t>Protocolo</t>
        </is>
      </c>
      <c r="I850">
        <v>6</v>
      </c>
      <c r="J850" t="inlineStr">
        <is>
          <t>Drenagem Superficial</t>
        </is>
      </c>
      <c r="K850" t="inlineStr">
        <is>
          <t>6.7</t>
        </is>
      </c>
      <c r="L850" t="inlineStr">
        <is>
          <t>Dispositivo de drenagem</t>
        </is>
      </c>
      <c r="M850" t="inlineStr">
        <is>
          <t>Patologias no Concreto</t>
        </is>
      </c>
      <c r="N850" t="inlineStr">
        <is>
          <t xml:space="preserve">Presença de fissuras no dispositivo de drenagem. </t>
        </is>
      </c>
      <c r="O850" t="inlineStr">
        <is>
          <t>Tipo A</t>
        </is>
      </c>
      <c r="P850" t="inlineStr">
        <is>
          <t>63+700</t>
        </is>
      </c>
      <c r="Q850" t="inlineStr">
        <is>
          <t>63+700</t>
        </is>
      </c>
      <c r="R850" t="inlineStr">
        <is>
          <t>Aberta</t>
        </is>
      </c>
      <c r="T850" t="inlineStr">
        <is>
          <t>Aline Batista</t>
        </is>
      </c>
      <c r="U850" t="inlineStr">
        <is>
          <t>24/04/2026</t>
        </is>
      </c>
      <c r="V850" t="inlineStr">
        <is>
          <t>01/05/2026</t>
        </is>
      </c>
      <c r="W850">
        <v>40</v>
      </c>
      <c r="AA850" t="inlineStr">
        <is>
          <t>Aberta 30-60 dias</t>
        </is>
      </c>
      <c r="AB850" t="inlineStr">
        <is>
          <t>GSA</t>
        </is>
      </c>
    </row>
    <row r="851">
      <c r="A851">
        <v>849</v>
      </c>
      <c r="B851">
        <v>2</v>
      </c>
      <c r="C851" t="inlineStr">
        <is>
          <t>1.6</t>
        </is>
      </c>
      <c r="D851" t="inlineStr">
        <is>
          <t>A07</t>
        </is>
      </c>
      <c r="E851" t="inlineStr">
        <is>
          <t>LE/LD</t>
        </is>
      </c>
      <c r="F851" t="inlineStr">
        <is>
          <t>ATERPA</t>
        </is>
      </c>
      <c r="G851" t="inlineStr">
        <is>
          <t>CLP-012</t>
        </is>
      </c>
      <c r="H851" t="inlineStr">
        <is>
          <t>Protocolo</t>
        </is>
      </c>
      <c r="I851">
        <v>6</v>
      </c>
      <c r="J851" t="inlineStr">
        <is>
          <t>Drenagem Superficial</t>
        </is>
      </c>
      <c r="K851" t="inlineStr">
        <is>
          <t>6.6</t>
        </is>
      </c>
      <c r="L851" t="inlineStr">
        <is>
          <t>Dispositivo de drenagem</t>
        </is>
      </c>
      <c r="M851" t="inlineStr">
        <is>
          <t>Conformação</t>
        </is>
      </c>
      <c r="N851" t="inlineStr">
        <is>
          <t>Conformação do terreno</t>
        </is>
      </c>
      <c r="O851" t="inlineStr">
        <is>
          <t>Tipo C</t>
        </is>
      </c>
      <c r="P851" t="inlineStr">
        <is>
          <t>63+450</t>
        </is>
      </c>
      <c r="Q851" t="inlineStr">
        <is>
          <t>63+450</t>
        </is>
      </c>
      <c r="R851" t="inlineStr">
        <is>
          <t>Aberta</t>
        </is>
      </c>
      <c r="T851" t="inlineStr">
        <is>
          <t>Aline Batista</t>
        </is>
      </c>
      <c r="U851" t="inlineStr">
        <is>
          <t>24/04/2026</t>
        </is>
      </c>
      <c r="V851" t="inlineStr">
        <is>
          <t>24/05/2026</t>
        </is>
      </c>
      <c r="W851">
        <v>17</v>
      </c>
      <c r="AA851" t="inlineStr">
        <is>
          <t>Aberta 30-60 dias</t>
        </is>
      </c>
      <c r="AB851" t="inlineStr">
        <is>
          <t>GSA</t>
        </is>
      </c>
    </row>
    <row r="852">
      <c r="A852">
        <v>850</v>
      </c>
      <c r="B852">
        <v>2</v>
      </c>
      <c r="C852" t="inlineStr">
        <is>
          <t>1.6</t>
        </is>
      </c>
      <c r="D852" t="inlineStr">
        <is>
          <t>A08</t>
        </is>
      </c>
      <c r="E852" t="inlineStr">
        <is>
          <t>LE/LD</t>
        </is>
      </c>
      <c r="F852" t="inlineStr">
        <is>
          <t>ATERPA</t>
        </is>
      </c>
      <c r="G852" t="inlineStr">
        <is>
          <t>CLP-012</t>
        </is>
      </c>
      <c r="H852" t="inlineStr">
        <is>
          <t>Protocolo</t>
        </is>
      </c>
      <c r="I852">
        <v>6</v>
      </c>
      <c r="J852" t="inlineStr">
        <is>
          <t>Drenagem Superficial</t>
        </is>
      </c>
      <c r="K852" t="inlineStr">
        <is>
          <t>6.10</t>
        </is>
      </c>
      <c r="L852" t="inlineStr">
        <is>
          <t>Dispositivo de drenagem</t>
        </is>
      </c>
      <c r="M852" t="inlineStr">
        <is>
          <t>Obstrução do dispositivo</t>
        </is>
      </c>
      <c r="N852" t="inlineStr">
        <is>
          <t>Drenagem obstruída por acúmulo de material</t>
        </is>
      </c>
      <c r="O852" t="inlineStr">
        <is>
          <t>Tipo A</t>
        </is>
      </c>
      <c r="P852" t="inlineStr">
        <is>
          <t>65+370</t>
        </is>
      </c>
      <c r="Q852" t="inlineStr">
        <is>
          <t>65+370</t>
        </is>
      </c>
      <c r="R852" t="inlineStr">
        <is>
          <t>Aberta</t>
        </is>
      </c>
      <c r="T852" t="inlineStr">
        <is>
          <t>Aline Batista</t>
        </is>
      </c>
      <c r="U852" t="inlineStr">
        <is>
          <t>24/04/2026</t>
        </is>
      </c>
      <c r="V852" t="inlineStr">
        <is>
          <t>01/05/2026</t>
        </is>
      </c>
      <c r="W852">
        <v>40</v>
      </c>
      <c r="AA852" t="inlineStr">
        <is>
          <t>Aberta 30-60 dias</t>
        </is>
      </c>
      <c r="AB852" t="inlineStr">
        <is>
          <t>GSA</t>
        </is>
      </c>
    </row>
    <row r="853">
      <c r="A853">
        <v>851</v>
      </c>
      <c r="B853">
        <v>2</v>
      </c>
      <c r="C853" t="inlineStr">
        <is>
          <t>1.6</t>
        </is>
      </c>
      <c r="D853" t="inlineStr">
        <is>
          <t>C08</t>
        </is>
      </c>
      <c r="E853" t="inlineStr">
        <is>
          <t>LE/LD</t>
        </is>
      </c>
      <c r="F853" t="inlineStr">
        <is>
          <t>ATERPA</t>
        </is>
      </c>
      <c r="G853" t="inlineStr">
        <is>
          <t>CLP-012</t>
        </is>
      </c>
      <c r="H853" t="inlineStr">
        <is>
          <t>Protocolo</t>
        </is>
      </c>
      <c r="I853">
        <v>6</v>
      </c>
      <c r="J853" t="inlineStr">
        <is>
          <t>Drenagem Superficial</t>
        </is>
      </c>
      <c r="K853" t="inlineStr">
        <is>
          <t>6.6</t>
        </is>
      </c>
      <c r="L853" t="inlineStr">
        <is>
          <t>Dispositivo de drenagem</t>
        </is>
      </c>
      <c r="M853" t="inlineStr">
        <is>
          <t>Conformação</t>
        </is>
      </c>
      <c r="N853" t="inlineStr">
        <is>
          <t>Conformação das extremidades com o solo</t>
        </is>
      </c>
      <c r="O853" t="inlineStr">
        <is>
          <t>Tipo A</t>
        </is>
      </c>
      <c r="P853" t="inlineStr">
        <is>
          <t>63+760</t>
        </is>
      </c>
      <c r="Q853" t="inlineStr">
        <is>
          <t>63+760</t>
        </is>
      </c>
      <c r="R853" t="inlineStr">
        <is>
          <t>Aberta</t>
        </is>
      </c>
      <c r="T853" t="inlineStr">
        <is>
          <t>Aline Batista</t>
        </is>
      </c>
      <c r="U853" t="inlineStr">
        <is>
          <t>24/04/2026</t>
        </is>
      </c>
      <c r="V853" t="inlineStr">
        <is>
          <t>01/05/2026</t>
        </is>
      </c>
      <c r="W853">
        <v>40</v>
      </c>
      <c r="AA853" t="inlineStr">
        <is>
          <t>Aberta 30-60 dias</t>
        </is>
      </c>
      <c r="AB853" t="inlineStr">
        <is>
          <t>GSA</t>
        </is>
      </c>
    </row>
    <row r="854">
      <c r="A854">
        <v>852</v>
      </c>
      <c r="B854">
        <v>2</v>
      </c>
      <c r="C854" t="inlineStr">
        <is>
          <t>1.6</t>
        </is>
      </c>
      <c r="D854" t="inlineStr">
        <is>
          <t>C07</t>
        </is>
      </c>
      <c r="E854" t="inlineStr">
        <is>
          <t>LE/LD</t>
        </is>
      </c>
      <c r="F854" t="inlineStr">
        <is>
          <t>ATERPA</t>
        </is>
      </c>
      <c r="G854" t="inlineStr">
        <is>
          <t>CLP-012</t>
        </is>
      </c>
      <c r="H854" t="inlineStr">
        <is>
          <t>Protocolo</t>
        </is>
      </c>
      <c r="I854">
        <v>6</v>
      </c>
      <c r="J854" t="inlineStr">
        <is>
          <t>Drenagem Superficial</t>
        </is>
      </c>
      <c r="K854" t="inlineStr">
        <is>
          <t>6.3</t>
        </is>
      </c>
      <c r="L854" t="inlineStr">
        <is>
          <t>Dispositivo de drenagem</t>
        </is>
      </c>
      <c r="M854" t="inlineStr">
        <is>
          <t>Conformação</t>
        </is>
      </c>
      <c r="N854" t="inlineStr">
        <is>
          <t>Ausencia do encaixe da descida de agua com o canaleta</t>
        </is>
      </c>
      <c r="O854" t="inlineStr">
        <is>
          <t>Tipo A</t>
        </is>
      </c>
      <c r="P854" t="inlineStr">
        <is>
          <t>63+200</t>
        </is>
      </c>
      <c r="Q854" t="inlineStr">
        <is>
          <t>63+200</t>
        </is>
      </c>
      <c r="R854" t="inlineStr">
        <is>
          <t>Aberta</t>
        </is>
      </c>
      <c r="T854" t="inlineStr">
        <is>
          <t>Aline Batista</t>
        </is>
      </c>
      <c r="U854" t="inlineStr">
        <is>
          <t>24/04/2026</t>
        </is>
      </c>
      <c r="V854" t="inlineStr">
        <is>
          <t>01/05/2026</t>
        </is>
      </c>
      <c r="W854">
        <v>40</v>
      </c>
      <c r="AA854" t="inlineStr">
        <is>
          <t>Aberta 30-60 dias</t>
        </is>
      </c>
      <c r="AB854" t="inlineStr">
        <is>
          <t>GSA</t>
        </is>
      </c>
    </row>
    <row r="855">
      <c r="A855">
        <v>853</v>
      </c>
      <c r="B855">
        <v>2</v>
      </c>
      <c r="C855" t="inlineStr">
        <is>
          <t>1.6</t>
        </is>
      </c>
      <c r="D855" t="inlineStr">
        <is>
          <t>A08</t>
        </is>
      </c>
      <c r="E855" t="inlineStr">
        <is>
          <t>LE/LD</t>
        </is>
      </c>
      <c r="F855" t="inlineStr">
        <is>
          <t>ATERPA</t>
        </is>
      </c>
      <c r="G855" t="inlineStr">
        <is>
          <t>CLP-012</t>
        </is>
      </c>
      <c r="H855" t="inlineStr">
        <is>
          <t>Protocolo</t>
        </is>
      </c>
      <c r="I855">
        <v>6</v>
      </c>
      <c r="J855" t="inlineStr">
        <is>
          <t>Drenagem Superficial</t>
        </is>
      </c>
      <c r="K855" t="inlineStr">
        <is>
          <t>6.10</t>
        </is>
      </c>
      <c r="L855" t="inlineStr">
        <is>
          <t>Dispositivo de drenagem</t>
        </is>
      </c>
      <c r="M855" t="inlineStr">
        <is>
          <t>Obstrução do dispositivo</t>
        </is>
      </c>
      <c r="N855" t="inlineStr">
        <is>
          <t>Drenagem obstruída por acúmulo de material</t>
        </is>
      </c>
      <c r="O855" t="inlineStr">
        <is>
          <t>Tipo A</t>
        </is>
      </c>
      <c r="P855" t="inlineStr">
        <is>
          <t>65+380</t>
        </is>
      </c>
      <c r="Q855" t="inlineStr">
        <is>
          <t>65+380</t>
        </is>
      </c>
      <c r="R855" t="inlineStr">
        <is>
          <t>Aberta</t>
        </is>
      </c>
      <c r="T855" t="inlineStr">
        <is>
          <t>Aline Batista</t>
        </is>
      </c>
      <c r="U855" t="inlineStr">
        <is>
          <t>24/04/2026</t>
        </is>
      </c>
      <c r="V855" t="inlineStr">
        <is>
          <t>01/05/2026</t>
        </is>
      </c>
      <c r="W855">
        <v>40</v>
      </c>
      <c r="AA855" t="inlineStr">
        <is>
          <t>Aberta 30-60 dias</t>
        </is>
      </c>
      <c r="AB855" t="inlineStr">
        <is>
          <t>GSA</t>
        </is>
      </c>
    </row>
    <row r="856">
      <c r="A856">
        <v>854</v>
      </c>
      <c r="B856">
        <v>2</v>
      </c>
      <c r="C856" t="inlineStr">
        <is>
          <t>1.6</t>
        </is>
      </c>
      <c r="D856" t="inlineStr">
        <is>
          <t>C07</t>
        </is>
      </c>
      <c r="E856" t="inlineStr">
        <is>
          <t>LE/LD</t>
        </is>
      </c>
      <c r="F856" t="inlineStr">
        <is>
          <t>ATERPA</t>
        </is>
      </c>
      <c r="G856" t="inlineStr">
        <is>
          <t>CLP-012</t>
        </is>
      </c>
      <c r="H856" t="inlineStr">
        <is>
          <t>Protocolo</t>
        </is>
      </c>
      <c r="I856">
        <v>6</v>
      </c>
      <c r="J856" t="inlineStr">
        <is>
          <t>Drenagem Superficial</t>
        </is>
      </c>
      <c r="K856" t="inlineStr">
        <is>
          <t>6.1</t>
        </is>
      </c>
      <c r="L856" t="inlineStr">
        <is>
          <t>Dispositivo de drenagem</t>
        </is>
      </c>
      <c r="M856" t="inlineStr">
        <is>
          <t>Dispositivo não executado</t>
        </is>
      </c>
      <c r="N856" t="inlineStr">
        <is>
          <t>Ausencia de conclusão e acabamento da laje de fundo da canaleta</t>
        </is>
      </c>
      <c r="O856" t="inlineStr">
        <is>
          <t>Tipo A</t>
        </is>
      </c>
      <c r="P856" t="inlineStr">
        <is>
          <t>63+640</t>
        </is>
      </c>
      <c r="Q856" t="inlineStr">
        <is>
          <t>63+640</t>
        </is>
      </c>
      <c r="R856" t="inlineStr">
        <is>
          <t>Aberta</t>
        </is>
      </c>
      <c r="T856" t="inlineStr">
        <is>
          <t>Aline Batista</t>
        </is>
      </c>
      <c r="U856" t="inlineStr">
        <is>
          <t>24/04/2026</t>
        </is>
      </c>
      <c r="V856" t="inlineStr">
        <is>
          <t>01/05/2026</t>
        </is>
      </c>
      <c r="W856">
        <v>40</v>
      </c>
      <c r="AA856" t="inlineStr">
        <is>
          <t>Aberta 30-60 dias</t>
        </is>
      </c>
      <c r="AB856" t="inlineStr">
        <is>
          <t>GSA</t>
        </is>
      </c>
    </row>
    <row r="857">
      <c r="A857">
        <v>855</v>
      </c>
      <c r="B857">
        <v>2</v>
      </c>
      <c r="C857" t="inlineStr">
        <is>
          <t>1.6</t>
        </is>
      </c>
      <c r="D857" t="inlineStr">
        <is>
          <t>A07</t>
        </is>
      </c>
      <c r="E857" t="inlineStr">
        <is>
          <t>LE/LD</t>
        </is>
      </c>
      <c r="F857" t="inlineStr">
        <is>
          <t>ATERPA</t>
        </is>
      </c>
      <c r="G857" t="inlineStr">
        <is>
          <t>CLP-012</t>
        </is>
      </c>
      <c r="H857" t="inlineStr">
        <is>
          <t>Protocolo</t>
        </is>
      </c>
      <c r="I857">
        <v>6</v>
      </c>
      <c r="J857" t="inlineStr">
        <is>
          <t>Drenagem Superficial</t>
        </is>
      </c>
      <c r="K857" t="inlineStr">
        <is>
          <t>6.6</t>
        </is>
      </c>
      <c r="L857" t="inlineStr">
        <is>
          <t>Dispositivo de drenagem</t>
        </is>
      </c>
      <c r="M857" t="inlineStr">
        <is>
          <t>Dispositivo descalçado</t>
        </is>
      </c>
      <c r="N857" t="inlineStr">
        <is>
          <t>Sargeta descalçada proximo a TSS</t>
        </is>
      </c>
      <c r="O857" t="inlineStr">
        <is>
          <t>Tipo A</t>
        </is>
      </c>
      <c r="P857" t="inlineStr">
        <is>
          <t>63+450</t>
        </is>
      </c>
      <c r="Q857" t="inlineStr">
        <is>
          <t>63+450</t>
        </is>
      </c>
      <c r="R857" t="inlineStr">
        <is>
          <t>Aberta</t>
        </is>
      </c>
      <c r="T857" t="inlineStr">
        <is>
          <t>Aline Batista</t>
        </is>
      </c>
      <c r="U857" t="inlineStr">
        <is>
          <t>24/04/2026</t>
        </is>
      </c>
      <c r="V857" t="inlineStr">
        <is>
          <t>01/05/2026</t>
        </is>
      </c>
      <c r="W857">
        <v>40</v>
      </c>
      <c r="AA857" t="inlineStr">
        <is>
          <t>Aberta 30-60 dias</t>
        </is>
      </c>
      <c r="AB857" t="inlineStr">
        <is>
          <t>GSA</t>
        </is>
      </c>
    </row>
    <row r="858">
      <c r="A858">
        <v>856</v>
      </c>
      <c r="B858">
        <v>2</v>
      </c>
      <c r="C858" t="inlineStr">
        <is>
          <t>1.6</t>
        </is>
      </c>
      <c r="D858" t="inlineStr">
        <is>
          <t>A08</t>
        </is>
      </c>
      <c r="E858" t="inlineStr">
        <is>
          <t>LE/LD</t>
        </is>
      </c>
      <c r="F858" t="inlineStr">
        <is>
          <t>ATERPA</t>
        </is>
      </c>
      <c r="G858" t="inlineStr">
        <is>
          <t>CLP-012</t>
        </is>
      </c>
      <c r="H858" t="inlineStr">
        <is>
          <t>Protocolo</t>
        </is>
      </c>
      <c r="I858">
        <v>6</v>
      </c>
      <c r="J858" t="inlineStr">
        <is>
          <t>Drenagem Superficial</t>
        </is>
      </c>
      <c r="K858" t="inlineStr">
        <is>
          <t>6.6</t>
        </is>
      </c>
      <c r="L858" t="inlineStr">
        <is>
          <t>Dispositivo de drenagem</t>
        </is>
      </c>
      <c r="M858" t="inlineStr">
        <is>
          <t>Conformação</t>
        </is>
      </c>
      <c r="N858" t="inlineStr">
        <is>
          <t>Conformação do encontro da TSS com o sublastro</t>
        </is>
      </c>
      <c r="O858" t="inlineStr">
        <is>
          <t>Tipo A</t>
        </is>
      </c>
      <c r="P858" t="inlineStr">
        <is>
          <t>65+370</t>
        </is>
      </c>
      <c r="Q858" t="inlineStr">
        <is>
          <t>65+370</t>
        </is>
      </c>
      <c r="R858" t="inlineStr">
        <is>
          <t>Aberta</t>
        </is>
      </c>
      <c r="T858" t="inlineStr">
        <is>
          <t>Aline Batista</t>
        </is>
      </c>
      <c r="U858" t="inlineStr">
        <is>
          <t>24/04/2026</t>
        </is>
      </c>
      <c r="V858" t="inlineStr">
        <is>
          <t>01/05/2026</t>
        </is>
      </c>
      <c r="W858">
        <v>40</v>
      </c>
      <c r="AA858" t="inlineStr">
        <is>
          <t>Aberta 30-60 dias</t>
        </is>
      </c>
      <c r="AB858" t="inlineStr">
        <is>
          <t>GSA</t>
        </is>
      </c>
    </row>
    <row r="859">
      <c r="A859">
        <v>857</v>
      </c>
      <c r="B859">
        <v>2</v>
      </c>
      <c r="C859" t="inlineStr">
        <is>
          <t>1.6</t>
        </is>
      </c>
      <c r="D859" t="inlineStr">
        <is>
          <t>C09</t>
        </is>
      </c>
      <c r="E859" t="inlineStr">
        <is>
          <t>LE/LD</t>
        </is>
      </c>
      <c r="F859" t="inlineStr">
        <is>
          <t>ATERPA</t>
        </is>
      </c>
      <c r="G859" t="inlineStr">
        <is>
          <t>CLP-012</t>
        </is>
      </c>
      <c r="H859" t="inlineStr">
        <is>
          <t>Protocolo</t>
        </is>
      </c>
      <c r="I859">
        <v>6</v>
      </c>
      <c r="J859" t="inlineStr">
        <is>
          <t>Drenagem Superficial</t>
        </is>
      </c>
      <c r="K859" t="inlineStr">
        <is>
          <t>6.10</t>
        </is>
      </c>
      <c r="L859" t="inlineStr">
        <is>
          <t>Dispositivo de drenagem</t>
        </is>
      </c>
      <c r="M859" t="inlineStr">
        <is>
          <t>Obstrução do dispositivo</t>
        </is>
      </c>
      <c r="N859" t="inlineStr">
        <is>
          <t>Drenagem obstruída por acúmulo de material</t>
        </is>
      </c>
      <c r="O859" t="inlineStr">
        <is>
          <t>Tipo A</t>
        </is>
      </c>
      <c r="P859" t="inlineStr">
        <is>
          <t>66+460</t>
        </is>
      </c>
      <c r="Q859" t="inlineStr">
        <is>
          <t>66+460</t>
        </is>
      </c>
      <c r="R859" t="inlineStr">
        <is>
          <t>Aberta</t>
        </is>
      </c>
      <c r="T859" t="inlineStr">
        <is>
          <t>Aline Batista</t>
        </is>
      </c>
      <c r="U859" t="inlineStr">
        <is>
          <t>24/04/2026</t>
        </is>
      </c>
      <c r="V859" t="inlineStr">
        <is>
          <t>01/05/2026</t>
        </is>
      </c>
      <c r="W859">
        <v>40</v>
      </c>
      <c r="AA859" t="inlineStr">
        <is>
          <t>Aberta 30-60 dias</t>
        </is>
      </c>
      <c r="AB859" t="inlineStr">
        <is>
          <t>GSA</t>
        </is>
      </c>
    </row>
    <row r="860">
      <c r="A860">
        <v>858</v>
      </c>
      <c r="B860">
        <v>2</v>
      </c>
      <c r="C860" t="inlineStr">
        <is>
          <t>1.6</t>
        </is>
      </c>
      <c r="D860" t="inlineStr">
        <is>
          <t>C12</t>
        </is>
      </c>
      <c r="E860" t="inlineStr">
        <is>
          <t>LE/LD</t>
        </is>
      </c>
      <c r="F860" t="inlineStr">
        <is>
          <t>ATERPA</t>
        </is>
      </c>
      <c r="G860" t="inlineStr">
        <is>
          <t>CLP-012</t>
        </is>
      </c>
      <c r="H860" t="inlineStr">
        <is>
          <t>Fiscalização</t>
        </is>
      </c>
      <c r="I860">
        <v>6</v>
      </c>
      <c r="J860" t="inlineStr">
        <is>
          <t>Drenagem Superficial</t>
        </is>
      </c>
      <c r="K860" t="inlineStr">
        <is>
          <t>6.10</t>
        </is>
      </c>
      <c r="L860" t="inlineStr">
        <is>
          <t>Dispositivo de drenagem</t>
        </is>
      </c>
      <c r="M860" t="inlineStr">
        <is>
          <t>Obstrução do dispositivo</t>
        </is>
      </c>
      <c r="N860" t="inlineStr">
        <is>
          <t>Drenagem obstruída por acúmulo de material</t>
        </is>
      </c>
      <c r="O860" t="inlineStr">
        <is>
          <t>Tipo A</t>
        </is>
      </c>
      <c r="P860" t="inlineStr">
        <is>
          <t>70+100</t>
        </is>
      </c>
      <c r="Q860" t="inlineStr">
        <is>
          <t>70+100</t>
        </is>
      </c>
      <c r="R860" t="inlineStr">
        <is>
          <t>Aberta</t>
        </is>
      </c>
      <c r="T860" t="inlineStr">
        <is>
          <t>Aline Batista</t>
        </is>
      </c>
      <c r="U860" t="inlineStr">
        <is>
          <t>24/04/2026</t>
        </is>
      </c>
      <c r="V860" t="inlineStr">
        <is>
          <t>01/05/2026</t>
        </is>
      </c>
      <c r="W860">
        <v>40</v>
      </c>
      <c r="AA860" t="inlineStr">
        <is>
          <t>Aberta 30-60 dias</t>
        </is>
      </c>
      <c r="AB860" t="inlineStr">
        <is>
          <t>GSA</t>
        </is>
      </c>
    </row>
    <row r="861">
      <c r="A861">
        <v>859</v>
      </c>
      <c r="B861">
        <v>2</v>
      </c>
      <c r="C861" t="inlineStr">
        <is>
          <t>1.6</t>
        </is>
      </c>
      <c r="D861" t="inlineStr">
        <is>
          <t>C09</t>
        </is>
      </c>
      <c r="E861" t="inlineStr">
        <is>
          <t>LE/LD</t>
        </is>
      </c>
      <c r="F861" t="inlineStr">
        <is>
          <t>ATERPA</t>
        </is>
      </c>
      <c r="G861" t="inlineStr">
        <is>
          <t>CLP-012</t>
        </is>
      </c>
      <c r="H861" t="inlineStr">
        <is>
          <t>Protocolo</t>
        </is>
      </c>
      <c r="I861">
        <v>6</v>
      </c>
      <c r="J861" t="inlineStr">
        <is>
          <t>Drenagem Superficial</t>
        </is>
      </c>
      <c r="K861" t="inlineStr">
        <is>
          <t>6.10</t>
        </is>
      </c>
      <c r="L861" t="inlineStr">
        <is>
          <t>Dispositivo de drenagem</t>
        </is>
      </c>
      <c r="M861" t="inlineStr">
        <is>
          <t>Obstrução do dispositivo</t>
        </is>
      </c>
      <c r="N861" t="inlineStr">
        <is>
          <t>Drenagem obstruída por acúmulo de material e tricas</t>
        </is>
      </c>
      <c r="O861" t="inlineStr">
        <is>
          <t>Tipo A</t>
        </is>
      </c>
      <c r="P861" t="inlineStr">
        <is>
          <t>65+520</t>
        </is>
      </c>
      <c r="Q861" t="inlineStr">
        <is>
          <t>65+520</t>
        </is>
      </c>
      <c r="R861" t="inlineStr">
        <is>
          <t>Aberta</t>
        </is>
      </c>
      <c r="T861" t="inlineStr">
        <is>
          <t>Aline Batista</t>
        </is>
      </c>
      <c r="U861" t="inlineStr">
        <is>
          <t>24/04/2026</t>
        </is>
      </c>
      <c r="V861" t="inlineStr">
        <is>
          <t>01/05/2026</t>
        </is>
      </c>
      <c r="W861">
        <v>40</v>
      </c>
      <c r="AA861" t="inlineStr">
        <is>
          <t>Aberta 30-60 dias</t>
        </is>
      </c>
      <c r="AB861" t="inlineStr">
        <is>
          <t>GSA</t>
        </is>
      </c>
    </row>
    <row r="862">
      <c r="A862">
        <v>860</v>
      </c>
      <c r="B862">
        <v>2</v>
      </c>
      <c r="C862" t="inlineStr">
        <is>
          <t>1.6</t>
        </is>
      </c>
      <c r="D862" t="inlineStr">
        <is>
          <t>A08</t>
        </is>
      </c>
      <c r="E862" t="inlineStr">
        <is>
          <t>LE/LD</t>
        </is>
      </c>
      <c r="F862" t="inlineStr">
        <is>
          <t>ATERPA</t>
        </is>
      </c>
      <c r="G862" t="inlineStr">
        <is>
          <t>CLP-012</t>
        </is>
      </c>
      <c r="H862" t="inlineStr">
        <is>
          <t>Protocolo</t>
        </is>
      </c>
      <c r="I862">
        <v>6</v>
      </c>
      <c r="J862" t="inlineStr">
        <is>
          <t>Drenagem Superficial</t>
        </is>
      </c>
      <c r="K862" t="inlineStr">
        <is>
          <t>6.10</t>
        </is>
      </c>
      <c r="L862" t="inlineStr">
        <is>
          <t>Dispositivo de drenagem</t>
        </is>
      </c>
      <c r="M862" t="inlineStr">
        <is>
          <t>Obstrução do dispositivo</t>
        </is>
      </c>
      <c r="N862" t="inlineStr">
        <is>
          <t>Drenagem obstruída por acúmulo de material</t>
        </is>
      </c>
      <c r="O862" t="inlineStr">
        <is>
          <t>Tipo A</t>
        </is>
      </c>
      <c r="P862" t="inlineStr">
        <is>
          <t>65+620</t>
        </is>
      </c>
      <c r="Q862" t="inlineStr">
        <is>
          <t>65+620</t>
        </is>
      </c>
      <c r="R862" t="inlineStr">
        <is>
          <t>Aberta</t>
        </is>
      </c>
      <c r="T862" t="inlineStr">
        <is>
          <t>Aline Batista</t>
        </is>
      </c>
      <c r="U862" t="inlineStr">
        <is>
          <t>24/04/2026</t>
        </is>
      </c>
      <c r="V862" t="inlineStr">
        <is>
          <t>01/05/2026</t>
        </is>
      </c>
      <c r="W862">
        <v>40</v>
      </c>
      <c r="AA862" t="inlineStr">
        <is>
          <t>Aberta 30-60 dias</t>
        </is>
      </c>
      <c r="AB862" t="inlineStr">
        <is>
          <t>GSA</t>
        </is>
      </c>
    </row>
    <row r="863">
      <c r="A863">
        <v>861</v>
      </c>
      <c r="B863">
        <v>2</v>
      </c>
      <c r="C863" t="inlineStr">
        <is>
          <t>1.6</t>
        </is>
      </c>
      <c r="D863" t="inlineStr">
        <is>
          <t>C12</t>
        </is>
      </c>
      <c r="E863" t="inlineStr">
        <is>
          <t>LE/LD</t>
        </is>
      </c>
      <c r="F863" t="inlineStr">
        <is>
          <t>ATERPA</t>
        </is>
      </c>
      <c r="G863" t="inlineStr">
        <is>
          <t>CLP-012</t>
        </is>
      </c>
      <c r="H863" t="inlineStr">
        <is>
          <t>Fiscalização</t>
        </is>
      </c>
      <c r="I863">
        <v>6</v>
      </c>
      <c r="J863" t="inlineStr">
        <is>
          <t>Drenagem Superficial</t>
        </is>
      </c>
      <c r="K863" t="inlineStr">
        <is>
          <t>6.10</t>
        </is>
      </c>
      <c r="L863" t="inlineStr">
        <is>
          <t>Dispositivo de drenagem</t>
        </is>
      </c>
      <c r="M863" t="inlineStr">
        <is>
          <t>Obstrução do dispositivo</t>
        </is>
      </c>
      <c r="N863" t="inlineStr">
        <is>
          <t>Drenagem obstruída por acúmulo de material</t>
        </is>
      </c>
      <c r="O863" t="inlineStr">
        <is>
          <t>Tipo A</t>
        </is>
      </c>
      <c r="P863" t="inlineStr">
        <is>
          <t>70+040</t>
        </is>
      </c>
      <c r="Q863" t="inlineStr">
        <is>
          <t>70+040</t>
        </is>
      </c>
      <c r="R863" t="inlineStr">
        <is>
          <t>Aberta</t>
        </is>
      </c>
      <c r="T863" t="inlineStr">
        <is>
          <t>Aline Batista</t>
        </is>
      </c>
      <c r="U863" t="inlineStr">
        <is>
          <t>24/04/2026</t>
        </is>
      </c>
      <c r="V863" t="inlineStr">
        <is>
          <t>01/05/2026</t>
        </is>
      </c>
      <c r="W863">
        <v>40</v>
      </c>
      <c r="AA863" t="inlineStr">
        <is>
          <t>Aberta 30-60 dias</t>
        </is>
      </c>
      <c r="AB863" t="inlineStr">
        <is>
          <t>GSA</t>
        </is>
      </c>
    </row>
    <row r="864">
      <c r="A864">
        <v>862</v>
      </c>
      <c r="B864">
        <v>2</v>
      </c>
      <c r="C864" t="inlineStr">
        <is>
          <t>1.6</t>
        </is>
      </c>
      <c r="D864" t="inlineStr">
        <is>
          <t>C12</t>
        </is>
      </c>
      <c r="E864" t="inlineStr">
        <is>
          <t>LE/LD</t>
        </is>
      </c>
      <c r="F864" t="inlineStr">
        <is>
          <t>ATERPA</t>
        </is>
      </c>
      <c r="G864" t="inlineStr">
        <is>
          <t>CLP-012</t>
        </is>
      </c>
      <c r="H864" t="inlineStr">
        <is>
          <t>Fiscalização</t>
        </is>
      </c>
      <c r="I864">
        <v>6</v>
      </c>
      <c r="J864" t="inlineStr">
        <is>
          <t>Drenagem Superficial</t>
        </is>
      </c>
      <c r="K864" t="inlineStr">
        <is>
          <t>6.9</t>
        </is>
      </c>
      <c r="L864" t="inlineStr">
        <is>
          <t>Dispositivo de drenagem</t>
        </is>
      </c>
      <c r="M864" t="inlineStr">
        <is>
          <t>Acabamento do concreto</t>
        </is>
      </c>
      <c r="N864" t="inlineStr">
        <is>
          <t>Acabamento de bolhas e limpeza do dissipador</t>
        </is>
      </c>
      <c r="O864" t="inlineStr">
        <is>
          <t>Tipo A</t>
        </is>
      </c>
      <c r="P864" t="inlineStr">
        <is>
          <t>69+720</t>
        </is>
      </c>
      <c r="Q864" t="inlineStr">
        <is>
          <t>69+720</t>
        </is>
      </c>
      <c r="R864" t="inlineStr">
        <is>
          <t>Aberta</t>
        </is>
      </c>
      <c r="T864" t="inlineStr">
        <is>
          <t>Aline Batista</t>
        </is>
      </c>
      <c r="U864" t="inlineStr">
        <is>
          <t>24/04/2026</t>
        </is>
      </c>
      <c r="V864" t="inlineStr">
        <is>
          <t>01/05/2026</t>
        </is>
      </c>
      <c r="W864">
        <v>40</v>
      </c>
      <c r="AA864" t="inlineStr">
        <is>
          <t>Aberta 30-60 dias</t>
        </is>
      </c>
      <c r="AB864" t="inlineStr">
        <is>
          <t>GSA</t>
        </is>
      </c>
    </row>
    <row r="865">
      <c r="A865">
        <v>863</v>
      </c>
      <c r="B865">
        <v>2</v>
      </c>
      <c r="C865" t="inlineStr">
        <is>
          <t>1.6</t>
        </is>
      </c>
      <c r="D865" t="inlineStr">
        <is>
          <t>A10</t>
        </is>
      </c>
      <c r="E865" t="inlineStr">
        <is>
          <t>LE/LD</t>
        </is>
      </c>
      <c r="F865" t="inlineStr">
        <is>
          <t>ATERPA</t>
        </is>
      </c>
      <c r="G865" t="inlineStr">
        <is>
          <t>CLP-012</t>
        </is>
      </c>
      <c r="H865" t="inlineStr">
        <is>
          <t>Protocolo</t>
        </is>
      </c>
      <c r="I865">
        <v>6</v>
      </c>
      <c r="J865" t="inlineStr">
        <is>
          <t>Drenagem Superficial</t>
        </is>
      </c>
      <c r="K865" t="inlineStr">
        <is>
          <t>6.3</t>
        </is>
      </c>
      <c r="L865" t="inlineStr">
        <is>
          <t>Dispositivo de drenagem</t>
        </is>
      </c>
      <c r="M865" t="inlineStr">
        <is>
          <t>Dispositivo descalçado</t>
        </is>
      </c>
      <c r="N865" t="inlineStr">
        <is>
          <t>Valeta descalçada</t>
        </is>
      </c>
      <c r="O865" t="inlineStr">
        <is>
          <t>Tipo A</t>
        </is>
      </c>
      <c r="P865" t="inlineStr">
        <is>
          <t>69+300</t>
        </is>
      </c>
      <c r="Q865" t="inlineStr">
        <is>
          <t>69+300</t>
        </is>
      </c>
      <c r="R865" t="inlineStr">
        <is>
          <t>Aberta</t>
        </is>
      </c>
      <c r="T865" t="inlineStr">
        <is>
          <t>Aline Batista</t>
        </is>
      </c>
      <c r="U865" t="inlineStr">
        <is>
          <t>24/04/2026</t>
        </is>
      </c>
      <c r="V865" t="inlineStr">
        <is>
          <t>01/05/2026</t>
        </is>
      </c>
      <c r="W865">
        <v>40</v>
      </c>
      <c r="AA865" t="inlineStr">
        <is>
          <t>Aberta 30-60 dias</t>
        </is>
      </c>
      <c r="AB865" t="inlineStr">
        <is>
          <t>GSA</t>
        </is>
      </c>
    </row>
    <row r="866">
      <c r="A866">
        <v>864</v>
      </c>
      <c r="B866">
        <v>2</v>
      </c>
      <c r="C866" t="inlineStr">
        <is>
          <t>1.6</t>
        </is>
      </c>
      <c r="D866" t="inlineStr">
        <is>
          <t>C09</t>
        </is>
      </c>
      <c r="E866" t="inlineStr">
        <is>
          <t>LE/LD</t>
        </is>
      </c>
      <c r="F866" t="inlineStr">
        <is>
          <t>ATERPA</t>
        </is>
      </c>
      <c r="G866" t="inlineStr">
        <is>
          <t>CLP-012</t>
        </is>
      </c>
      <c r="H866" t="inlineStr">
        <is>
          <t>Protocolo</t>
        </is>
      </c>
      <c r="I866">
        <v>6</v>
      </c>
      <c r="J866" t="inlineStr">
        <is>
          <t>Drenagem Superficial</t>
        </is>
      </c>
      <c r="K866" t="inlineStr">
        <is>
          <t>6.10</t>
        </is>
      </c>
      <c r="L866" t="inlineStr">
        <is>
          <t>Dispositivo de drenagem</t>
        </is>
      </c>
      <c r="M866" t="inlineStr">
        <is>
          <t>Obstrução do dispositivo</t>
        </is>
      </c>
      <c r="N866" t="inlineStr">
        <is>
          <t>Drenagem obstruída por acúmulo de material</t>
        </is>
      </c>
      <c r="O866" t="inlineStr">
        <is>
          <t>Tipo A</t>
        </is>
      </c>
      <c r="P866" t="inlineStr">
        <is>
          <t>65+620</t>
        </is>
      </c>
      <c r="Q866" t="inlineStr">
        <is>
          <t>65+620</t>
        </is>
      </c>
      <c r="R866" t="inlineStr">
        <is>
          <t>Aberta</t>
        </is>
      </c>
      <c r="T866" t="inlineStr">
        <is>
          <t>Aline Batista</t>
        </is>
      </c>
      <c r="U866" t="inlineStr">
        <is>
          <t>24/04/2026</t>
        </is>
      </c>
      <c r="V866" t="inlineStr">
        <is>
          <t>01/05/2026</t>
        </is>
      </c>
      <c r="W866">
        <v>40</v>
      </c>
      <c r="AA866" t="inlineStr">
        <is>
          <t>Aberta 30-60 dias</t>
        </is>
      </c>
      <c r="AB866" t="inlineStr">
        <is>
          <t>GSA</t>
        </is>
      </c>
    </row>
    <row r="867">
      <c r="A867">
        <v>865</v>
      </c>
      <c r="B867">
        <v>2</v>
      </c>
      <c r="C867" t="inlineStr">
        <is>
          <t>1.6</t>
        </is>
      </c>
      <c r="D867" t="inlineStr">
        <is>
          <t>C10</t>
        </is>
      </c>
      <c r="E867" t="inlineStr">
        <is>
          <t>LE/LD</t>
        </is>
      </c>
      <c r="F867" t="inlineStr">
        <is>
          <t>ATERPA</t>
        </is>
      </c>
      <c r="G867" t="inlineStr">
        <is>
          <t>CLP-012</t>
        </is>
      </c>
      <c r="H867" t="inlineStr">
        <is>
          <t>Protocolo</t>
        </is>
      </c>
      <c r="I867">
        <v>6</v>
      </c>
      <c r="J867" t="inlineStr">
        <is>
          <t>Drenagem Superficial</t>
        </is>
      </c>
      <c r="K867" t="inlineStr">
        <is>
          <t>6.10</t>
        </is>
      </c>
      <c r="L867" t="inlineStr">
        <is>
          <t>Dispositivo de drenagem</t>
        </is>
      </c>
      <c r="M867" t="inlineStr">
        <is>
          <t>Obstrução do dispositivo</t>
        </is>
      </c>
      <c r="N867" t="inlineStr">
        <is>
          <t>Drenagem obstruída por acúmulo de material</t>
        </is>
      </c>
      <c r="O867" t="inlineStr">
        <is>
          <t>Tipo A</t>
        </is>
      </c>
      <c r="P867" t="inlineStr">
        <is>
          <t>68+880</t>
        </is>
      </c>
      <c r="Q867" t="inlineStr">
        <is>
          <t>68+880</t>
        </is>
      </c>
      <c r="R867" t="inlineStr">
        <is>
          <t>Aberta</t>
        </is>
      </c>
      <c r="T867" t="inlineStr">
        <is>
          <t>Aline Batista</t>
        </is>
      </c>
      <c r="U867" t="inlineStr">
        <is>
          <t>24/04/2026</t>
        </is>
      </c>
      <c r="V867" t="inlineStr">
        <is>
          <t>01/05/2026</t>
        </is>
      </c>
      <c r="W867">
        <v>40</v>
      </c>
      <c r="AA867" t="inlineStr">
        <is>
          <t>Aberta 30-60 dias</t>
        </is>
      </c>
      <c r="AB867" t="inlineStr">
        <is>
          <t>GSA</t>
        </is>
      </c>
    </row>
    <row r="868">
      <c r="A868">
        <v>866</v>
      </c>
      <c r="B868">
        <v>2</v>
      </c>
      <c r="C868" t="inlineStr">
        <is>
          <t>1.6</t>
        </is>
      </c>
      <c r="D868" t="inlineStr">
        <is>
          <t>A12</t>
        </is>
      </c>
      <c r="E868" t="inlineStr">
        <is>
          <t>LE/LD</t>
        </is>
      </c>
      <c r="F868" t="inlineStr">
        <is>
          <t>ATERPA</t>
        </is>
      </c>
      <c r="G868" t="inlineStr">
        <is>
          <t>CLP-012</t>
        </is>
      </c>
      <c r="H868" t="inlineStr">
        <is>
          <t>Protocolo</t>
        </is>
      </c>
      <c r="I868">
        <v>6</v>
      </c>
      <c r="J868" t="inlineStr">
        <is>
          <t>Drenagem Superficial</t>
        </is>
      </c>
      <c r="K868" t="inlineStr">
        <is>
          <t>6.7</t>
        </is>
      </c>
      <c r="L868" t="inlineStr">
        <is>
          <t>Dispositivo de drenagem</t>
        </is>
      </c>
      <c r="M868" t="inlineStr">
        <is>
          <t>Patologias no Concreto</t>
        </is>
      </c>
      <c r="N868" t="inlineStr">
        <is>
          <t>Encontro entre canaletas ineficiente e com trincas</t>
        </is>
      </c>
      <c r="O868" t="inlineStr">
        <is>
          <t>Tipo A</t>
        </is>
      </c>
      <c r="P868" t="inlineStr">
        <is>
          <t>70+540</t>
        </is>
      </c>
      <c r="Q868" t="inlineStr">
        <is>
          <t>70+540</t>
        </is>
      </c>
      <c r="R868" t="inlineStr">
        <is>
          <t>Aberta</t>
        </is>
      </c>
      <c r="T868" t="inlineStr">
        <is>
          <t>Aline Batista</t>
        </is>
      </c>
      <c r="U868" t="inlineStr">
        <is>
          <t>24/04/2026</t>
        </is>
      </c>
      <c r="V868" t="inlineStr">
        <is>
          <t>01/05/2026</t>
        </is>
      </c>
      <c r="W868">
        <v>40</v>
      </c>
      <c r="AA868" t="inlineStr">
        <is>
          <t>Aberta 30-60 dias</t>
        </is>
      </c>
      <c r="AB868" t="inlineStr">
        <is>
          <t>GSA</t>
        </is>
      </c>
    </row>
    <row r="869">
      <c r="A869">
        <v>867</v>
      </c>
      <c r="B869">
        <v>2</v>
      </c>
      <c r="C869" t="inlineStr">
        <is>
          <t>1.6</t>
        </is>
      </c>
      <c r="D869" t="inlineStr">
        <is>
          <t>A10</t>
        </is>
      </c>
      <c r="E869" t="inlineStr">
        <is>
          <t>LE/LD</t>
        </is>
      </c>
      <c r="F869" t="inlineStr">
        <is>
          <t>ATERPA</t>
        </is>
      </c>
      <c r="G869" t="inlineStr">
        <is>
          <t>CLP-012</t>
        </is>
      </c>
      <c r="H869" t="inlineStr">
        <is>
          <t>Protocolo</t>
        </is>
      </c>
      <c r="I869">
        <v>6</v>
      </c>
      <c r="J869" t="inlineStr">
        <is>
          <t>Drenagem Superficial</t>
        </is>
      </c>
      <c r="K869" t="inlineStr">
        <is>
          <t>6.10</t>
        </is>
      </c>
      <c r="L869" t="inlineStr">
        <is>
          <t>Dispositivo de drenagem</t>
        </is>
      </c>
      <c r="M869" t="inlineStr">
        <is>
          <t>Obstrução do dispositivo</t>
        </is>
      </c>
      <c r="N869" t="inlineStr">
        <is>
          <t>Drenagem obstruída por acúmulo de material</t>
        </is>
      </c>
      <c r="O869" t="inlineStr">
        <is>
          <t>Tipo A</t>
        </is>
      </c>
      <c r="P869" t="inlineStr">
        <is>
          <t>69+480</t>
        </is>
      </c>
      <c r="Q869" t="inlineStr">
        <is>
          <t>69+480</t>
        </is>
      </c>
      <c r="R869" t="inlineStr">
        <is>
          <t>Aberta</t>
        </is>
      </c>
      <c r="T869" t="inlineStr">
        <is>
          <t>Aline Batista</t>
        </is>
      </c>
      <c r="U869" t="inlineStr">
        <is>
          <t>24/04/2026</t>
        </is>
      </c>
      <c r="V869" t="inlineStr">
        <is>
          <t>01/05/2026</t>
        </is>
      </c>
      <c r="W869">
        <v>40</v>
      </c>
      <c r="AA869" t="inlineStr">
        <is>
          <t>Aberta 30-60 dias</t>
        </is>
      </c>
      <c r="AB869" t="inlineStr">
        <is>
          <t>GSA</t>
        </is>
      </c>
    </row>
    <row r="870">
      <c r="A870">
        <v>868</v>
      </c>
      <c r="B870">
        <v>2</v>
      </c>
      <c r="C870" t="inlineStr">
        <is>
          <t>1.6</t>
        </is>
      </c>
      <c r="D870" t="inlineStr">
        <is>
          <t>C09</t>
        </is>
      </c>
      <c r="E870" t="inlineStr">
        <is>
          <t>LE/LD</t>
        </is>
      </c>
      <c r="F870" t="inlineStr">
        <is>
          <t>ATERPA</t>
        </is>
      </c>
      <c r="G870" t="inlineStr">
        <is>
          <t>CLP-012</t>
        </is>
      </c>
      <c r="H870" t="inlineStr">
        <is>
          <t>Protocolo</t>
        </is>
      </c>
      <c r="I870">
        <v>6</v>
      </c>
      <c r="J870" t="inlineStr">
        <is>
          <t>Drenagem Superficial</t>
        </is>
      </c>
      <c r="K870" t="inlineStr">
        <is>
          <t>6.10</t>
        </is>
      </c>
      <c r="L870" t="inlineStr">
        <is>
          <t>Dispositivo de drenagem</t>
        </is>
      </c>
      <c r="M870" t="inlineStr">
        <is>
          <t>Obstrução do dispositivo</t>
        </is>
      </c>
      <c r="N870" t="inlineStr">
        <is>
          <t>Drenagem obstruída por acúmulo de material</t>
        </is>
      </c>
      <c r="O870" t="inlineStr">
        <is>
          <t>Tipo A</t>
        </is>
      </c>
      <c r="P870" t="inlineStr">
        <is>
          <t>66+460</t>
        </is>
      </c>
      <c r="Q870" t="inlineStr">
        <is>
          <t>66+460</t>
        </is>
      </c>
      <c r="R870" t="inlineStr">
        <is>
          <t>Aberta</t>
        </is>
      </c>
      <c r="T870" t="inlineStr">
        <is>
          <t>Aline Batista</t>
        </is>
      </c>
      <c r="U870" t="inlineStr">
        <is>
          <t>24/04/2026</t>
        </is>
      </c>
      <c r="V870" t="inlineStr">
        <is>
          <t>01/05/2026</t>
        </is>
      </c>
      <c r="W870">
        <v>40</v>
      </c>
      <c r="AA870" t="inlineStr">
        <is>
          <t>Aberta 30-60 dias</t>
        </is>
      </c>
      <c r="AB870" t="inlineStr">
        <is>
          <t>GSA</t>
        </is>
      </c>
    </row>
    <row r="871">
      <c r="A871">
        <v>869</v>
      </c>
      <c r="B871">
        <v>2</v>
      </c>
      <c r="C871" t="inlineStr">
        <is>
          <t>1.6</t>
        </is>
      </c>
      <c r="D871" t="inlineStr">
        <is>
          <t>C09</t>
        </is>
      </c>
      <c r="E871" t="inlineStr">
        <is>
          <t>LE/LD</t>
        </is>
      </c>
      <c r="F871" t="inlineStr">
        <is>
          <t>ATERPA</t>
        </is>
      </c>
      <c r="G871" t="inlineStr">
        <is>
          <t>CLP-012</t>
        </is>
      </c>
      <c r="H871" t="inlineStr">
        <is>
          <t>Protocolo</t>
        </is>
      </c>
      <c r="I871">
        <v>6</v>
      </c>
      <c r="J871" t="inlineStr">
        <is>
          <t>Drenagem Superficial</t>
        </is>
      </c>
      <c r="K871" t="inlineStr">
        <is>
          <t>6.10</t>
        </is>
      </c>
      <c r="L871" t="inlineStr">
        <is>
          <t>Dispositivo de drenagem</t>
        </is>
      </c>
      <c r="M871" t="inlineStr">
        <is>
          <t>Obstrução do dispositivo</t>
        </is>
      </c>
      <c r="N871" t="inlineStr">
        <is>
          <t>Drenagem obstruída por acúmulo de material</t>
        </is>
      </c>
      <c r="O871" t="inlineStr">
        <is>
          <t>Tipo A</t>
        </is>
      </c>
      <c r="P871" t="inlineStr">
        <is>
          <t>66+460</t>
        </is>
      </c>
      <c r="Q871" t="inlineStr">
        <is>
          <t>66+460</t>
        </is>
      </c>
      <c r="R871" t="inlineStr">
        <is>
          <t>Aberta</t>
        </is>
      </c>
      <c r="T871" t="inlineStr">
        <is>
          <t>Aline Batista</t>
        </is>
      </c>
      <c r="U871" t="inlineStr">
        <is>
          <t>24/04/2026</t>
        </is>
      </c>
      <c r="V871" t="inlineStr">
        <is>
          <t>01/05/2026</t>
        </is>
      </c>
      <c r="W871">
        <v>40</v>
      </c>
      <c r="AA871" t="inlineStr">
        <is>
          <t>Aberta 30-60 dias</t>
        </is>
      </c>
      <c r="AB871" t="inlineStr">
        <is>
          <t>GSA</t>
        </is>
      </c>
    </row>
    <row r="872">
      <c r="A872">
        <v>870</v>
      </c>
      <c r="B872">
        <v>2</v>
      </c>
      <c r="C872" t="inlineStr">
        <is>
          <t>1.6</t>
        </is>
      </c>
      <c r="D872" t="inlineStr">
        <is>
          <t>C09</t>
        </is>
      </c>
      <c r="E872" t="inlineStr">
        <is>
          <t>LE/LD</t>
        </is>
      </c>
      <c r="F872" t="inlineStr">
        <is>
          <t>ATERPA</t>
        </is>
      </c>
      <c r="G872" t="inlineStr">
        <is>
          <t>CLP-012</t>
        </is>
      </c>
      <c r="H872" t="inlineStr">
        <is>
          <t>Protocolo</t>
        </is>
      </c>
      <c r="I872">
        <v>6</v>
      </c>
      <c r="J872" t="inlineStr">
        <is>
          <t>Drenagem Superficial</t>
        </is>
      </c>
      <c r="K872" t="inlineStr">
        <is>
          <t>6.10</t>
        </is>
      </c>
      <c r="L872" t="inlineStr">
        <is>
          <t>Dispositivo de drenagem</t>
        </is>
      </c>
      <c r="M872" t="inlineStr">
        <is>
          <t>Obstrução do dispositivo</t>
        </is>
      </c>
      <c r="N872" t="inlineStr">
        <is>
          <t>Drenagem obstruída por acúmulo de material</t>
        </is>
      </c>
      <c r="O872" t="inlineStr">
        <is>
          <t>Tipo A</t>
        </is>
      </c>
      <c r="P872" t="inlineStr">
        <is>
          <t>66+440</t>
        </is>
      </c>
      <c r="Q872" t="inlineStr">
        <is>
          <t>66+440</t>
        </is>
      </c>
      <c r="R872" t="inlineStr">
        <is>
          <t>Aberta</t>
        </is>
      </c>
      <c r="T872" t="inlineStr">
        <is>
          <t>Aline Batista</t>
        </is>
      </c>
      <c r="U872" t="inlineStr">
        <is>
          <t>24/04/2026</t>
        </is>
      </c>
      <c r="V872" t="inlineStr">
        <is>
          <t>01/05/2026</t>
        </is>
      </c>
      <c r="W872">
        <v>40</v>
      </c>
      <c r="AA872" t="inlineStr">
        <is>
          <t>Aberta 30-60 dias</t>
        </is>
      </c>
      <c r="AB872" t="inlineStr">
        <is>
          <t>GSA</t>
        </is>
      </c>
    </row>
    <row r="873">
      <c r="A873">
        <v>871</v>
      </c>
      <c r="B873">
        <v>2</v>
      </c>
      <c r="C873" t="inlineStr">
        <is>
          <t>1.6</t>
        </is>
      </c>
      <c r="D873" t="inlineStr">
        <is>
          <t>C09</t>
        </is>
      </c>
      <c r="E873" t="inlineStr">
        <is>
          <t>LE/LD</t>
        </is>
      </c>
      <c r="F873" t="inlineStr">
        <is>
          <t>ATERPA</t>
        </is>
      </c>
      <c r="G873" t="inlineStr">
        <is>
          <t>CLP-012</t>
        </is>
      </c>
      <c r="H873" t="inlineStr">
        <is>
          <t>Protocolo</t>
        </is>
      </c>
      <c r="I873">
        <v>6</v>
      </c>
      <c r="J873" t="inlineStr">
        <is>
          <t>Drenagem Superficial</t>
        </is>
      </c>
      <c r="K873" t="inlineStr">
        <is>
          <t>6.10</t>
        </is>
      </c>
      <c r="L873" t="inlineStr">
        <is>
          <t>Dispositivo de drenagem</t>
        </is>
      </c>
      <c r="M873" t="inlineStr">
        <is>
          <t>Obstrução do dispositivo</t>
        </is>
      </c>
      <c r="N873" t="inlineStr">
        <is>
          <t>Drenagem obstruída por acúmulo de material</t>
        </is>
      </c>
      <c r="O873" t="inlineStr">
        <is>
          <t>Tipo A</t>
        </is>
      </c>
      <c r="P873" t="inlineStr">
        <is>
          <t>66+460</t>
        </is>
      </c>
      <c r="Q873" t="inlineStr">
        <is>
          <t>66+460</t>
        </is>
      </c>
      <c r="R873" t="inlineStr">
        <is>
          <t>Aberta</t>
        </is>
      </c>
      <c r="T873" t="inlineStr">
        <is>
          <t>Aline Batista</t>
        </is>
      </c>
      <c r="U873" t="inlineStr">
        <is>
          <t>24/04/2026</t>
        </is>
      </c>
      <c r="V873" t="inlineStr">
        <is>
          <t>01/05/2026</t>
        </is>
      </c>
      <c r="W873">
        <v>40</v>
      </c>
      <c r="AA873" t="inlineStr">
        <is>
          <t>Aberta 30-60 dias</t>
        </is>
      </c>
      <c r="AB873" t="inlineStr">
        <is>
          <t>GSA</t>
        </is>
      </c>
    </row>
    <row r="874">
      <c r="A874">
        <v>872</v>
      </c>
      <c r="B874">
        <v>2</v>
      </c>
      <c r="C874" t="inlineStr">
        <is>
          <t>1.6</t>
        </is>
      </c>
      <c r="D874" t="inlineStr">
        <is>
          <t>A10</t>
        </is>
      </c>
      <c r="E874" t="inlineStr">
        <is>
          <t>LE/LD</t>
        </is>
      </c>
      <c r="F874" t="inlineStr">
        <is>
          <t>ATERPA</t>
        </is>
      </c>
      <c r="G874" t="inlineStr">
        <is>
          <t>CLP-012</t>
        </is>
      </c>
      <c r="H874" t="inlineStr">
        <is>
          <t>Protocolo</t>
        </is>
      </c>
      <c r="I874">
        <v>6</v>
      </c>
      <c r="J874" t="inlineStr">
        <is>
          <t>Drenagem Superficial</t>
        </is>
      </c>
      <c r="K874" t="inlineStr">
        <is>
          <t>6.10</t>
        </is>
      </c>
      <c r="L874" t="inlineStr">
        <is>
          <t>Dispositivo de drenagem</t>
        </is>
      </c>
      <c r="M874" t="inlineStr">
        <is>
          <t>Obstrução do dispositivo</t>
        </is>
      </c>
      <c r="N874" t="inlineStr">
        <is>
          <t>Drenagem obstruída por acúmulo de material</t>
        </is>
      </c>
      <c r="O874" t="inlineStr">
        <is>
          <t>Tipo A</t>
        </is>
      </c>
      <c r="P874" t="inlineStr">
        <is>
          <t>69+300</t>
        </is>
      </c>
      <c r="Q874" t="inlineStr">
        <is>
          <t>69+300</t>
        </is>
      </c>
      <c r="R874" t="inlineStr">
        <is>
          <t>Aberta</t>
        </is>
      </c>
      <c r="T874" t="inlineStr">
        <is>
          <t>Aline Batista</t>
        </is>
      </c>
      <c r="U874" t="inlineStr">
        <is>
          <t>24/04/2026</t>
        </is>
      </c>
      <c r="V874" t="inlineStr">
        <is>
          <t>01/05/2026</t>
        </is>
      </c>
      <c r="W874">
        <v>40</v>
      </c>
      <c r="AA874" t="inlineStr">
        <is>
          <t>Aberta 30-60 dias</t>
        </is>
      </c>
      <c r="AB874" t="inlineStr">
        <is>
          <t>GSA</t>
        </is>
      </c>
    </row>
    <row r="875">
      <c r="A875">
        <v>873</v>
      </c>
      <c r="B875">
        <v>2</v>
      </c>
      <c r="C875" t="inlineStr">
        <is>
          <t>1.6</t>
        </is>
      </c>
      <c r="D875" t="inlineStr">
        <is>
          <t>C12</t>
        </is>
      </c>
      <c r="E875" t="inlineStr">
        <is>
          <t>LE/LD</t>
        </is>
      </c>
      <c r="F875" t="inlineStr">
        <is>
          <t>ATERPA</t>
        </is>
      </c>
      <c r="G875" t="inlineStr">
        <is>
          <t>CLP-012</t>
        </is>
      </c>
      <c r="H875" t="inlineStr">
        <is>
          <t>Protocolo</t>
        </is>
      </c>
      <c r="I875">
        <v>6</v>
      </c>
      <c r="J875" t="inlineStr">
        <is>
          <t>Drenagem Superficial</t>
        </is>
      </c>
      <c r="K875" t="inlineStr">
        <is>
          <t>6.10</t>
        </is>
      </c>
      <c r="L875" t="inlineStr">
        <is>
          <t>Dispositivo de drenagem</t>
        </is>
      </c>
      <c r="M875" t="inlineStr">
        <is>
          <t>Obstrução do dispositivo</t>
        </is>
      </c>
      <c r="N875" t="inlineStr">
        <is>
          <t>Drenagem obstruída por acúmulo de material</t>
        </is>
      </c>
      <c r="O875" t="inlineStr">
        <is>
          <t>Tipo A</t>
        </is>
      </c>
      <c r="P875" t="inlineStr">
        <is>
          <t>70+100</t>
        </is>
      </c>
      <c r="Q875" t="inlineStr">
        <is>
          <t>70+100</t>
        </is>
      </c>
      <c r="R875" t="inlineStr">
        <is>
          <t>Aberta</t>
        </is>
      </c>
      <c r="T875" t="inlineStr">
        <is>
          <t>Aline Batista</t>
        </is>
      </c>
      <c r="U875" t="inlineStr">
        <is>
          <t>24/04/2026</t>
        </is>
      </c>
      <c r="V875" t="inlineStr">
        <is>
          <t>01/05/2026</t>
        </is>
      </c>
      <c r="W875">
        <v>40</v>
      </c>
      <c r="AA875" t="inlineStr">
        <is>
          <t>Aberta 30-60 dias</t>
        </is>
      </c>
      <c r="AB875" t="inlineStr">
        <is>
          <t>GSA</t>
        </is>
      </c>
    </row>
    <row r="876">
      <c r="A876">
        <v>874</v>
      </c>
      <c r="B876">
        <v>2</v>
      </c>
      <c r="C876" t="inlineStr">
        <is>
          <t>1.6</t>
        </is>
      </c>
      <c r="D876" t="inlineStr">
        <is>
          <t>C10</t>
        </is>
      </c>
      <c r="E876" t="inlineStr">
        <is>
          <t>LE/LD</t>
        </is>
      </c>
      <c r="F876" t="inlineStr">
        <is>
          <t>ATERPA</t>
        </is>
      </c>
      <c r="G876" t="inlineStr">
        <is>
          <t>CLP-012</t>
        </is>
      </c>
      <c r="H876" t="inlineStr">
        <is>
          <t>Protocolo</t>
        </is>
      </c>
      <c r="I876">
        <v>6</v>
      </c>
      <c r="J876" t="inlineStr">
        <is>
          <t>Drenagem Superficial</t>
        </is>
      </c>
      <c r="K876" t="inlineStr">
        <is>
          <t>6.10</t>
        </is>
      </c>
      <c r="L876" t="inlineStr">
        <is>
          <t>Dispositivo de drenagem</t>
        </is>
      </c>
      <c r="M876" t="inlineStr">
        <is>
          <t>Obstrução do dispositivo</t>
        </is>
      </c>
      <c r="N876" t="inlineStr">
        <is>
          <t>Drenagem obstruída por acúmulo de material</t>
        </is>
      </c>
      <c r="O876" t="inlineStr">
        <is>
          <t>Tipo A</t>
        </is>
      </c>
      <c r="P876" t="inlineStr">
        <is>
          <t>69+080</t>
        </is>
      </c>
      <c r="Q876" t="inlineStr">
        <is>
          <t>69+080</t>
        </is>
      </c>
      <c r="R876" t="inlineStr">
        <is>
          <t>Aberta</t>
        </is>
      </c>
      <c r="T876" t="inlineStr">
        <is>
          <t>Aline Batista</t>
        </is>
      </c>
      <c r="U876" t="inlineStr">
        <is>
          <t>24/04/2026</t>
        </is>
      </c>
      <c r="V876" t="inlineStr">
        <is>
          <t>01/05/2026</t>
        </is>
      </c>
      <c r="W876">
        <v>40</v>
      </c>
      <c r="AA876" t="inlineStr">
        <is>
          <t>Aberta 30-60 dias</t>
        </is>
      </c>
      <c r="AB876" t="inlineStr">
        <is>
          <t>GSA</t>
        </is>
      </c>
    </row>
    <row r="877">
      <c r="A877">
        <v>875</v>
      </c>
      <c r="B877">
        <v>2</v>
      </c>
      <c r="C877" t="inlineStr">
        <is>
          <t>1.6</t>
        </is>
      </c>
      <c r="D877" t="inlineStr">
        <is>
          <t>C09</t>
        </is>
      </c>
      <c r="E877" t="inlineStr">
        <is>
          <t>LE/LD</t>
        </is>
      </c>
      <c r="F877" t="inlineStr">
        <is>
          <t>ATERPA</t>
        </is>
      </c>
      <c r="G877" t="inlineStr">
        <is>
          <t>CLP-012</t>
        </is>
      </c>
      <c r="H877" t="inlineStr">
        <is>
          <t>Protocolo</t>
        </is>
      </c>
      <c r="I877">
        <v>6</v>
      </c>
      <c r="J877" t="inlineStr">
        <is>
          <t>Drenagem Superficial</t>
        </is>
      </c>
      <c r="K877" t="inlineStr">
        <is>
          <t>6.10</t>
        </is>
      </c>
      <c r="L877" t="inlineStr">
        <is>
          <t>Dispositivo de drenagem</t>
        </is>
      </c>
      <c r="M877" t="inlineStr">
        <is>
          <t>Obstrução do dispositivo</t>
        </is>
      </c>
      <c r="N877" t="inlineStr">
        <is>
          <t>Drenagem obstruída por acúmulo de material</t>
        </is>
      </c>
      <c r="O877" t="inlineStr">
        <is>
          <t>Tipo A</t>
        </is>
      </c>
      <c r="P877" t="inlineStr">
        <is>
          <t>66+460</t>
        </is>
      </c>
      <c r="Q877" t="inlineStr">
        <is>
          <t>66+460</t>
        </is>
      </c>
      <c r="R877" t="inlineStr">
        <is>
          <t>Aberta</t>
        </is>
      </c>
      <c r="T877" t="inlineStr">
        <is>
          <t>Aline Batista</t>
        </is>
      </c>
      <c r="U877" t="inlineStr">
        <is>
          <t>24/04/2026</t>
        </is>
      </c>
      <c r="V877" t="inlineStr">
        <is>
          <t>01/05/2026</t>
        </is>
      </c>
      <c r="W877">
        <v>40</v>
      </c>
      <c r="AA877" t="inlineStr">
        <is>
          <t>Aberta 30-60 dias</t>
        </is>
      </c>
      <c r="AB877" t="inlineStr">
        <is>
          <t>GSA</t>
        </is>
      </c>
    </row>
    <row r="878">
      <c r="A878">
        <v>876</v>
      </c>
      <c r="B878">
        <v>2</v>
      </c>
      <c r="C878" t="inlineStr">
        <is>
          <t>1.6</t>
        </is>
      </c>
      <c r="D878" t="inlineStr">
        <is>
          <t>A10</t>
        </is>
      </c>
      <c r="E878" t="inlineStr">
        <is>
          <t>LE/LD</t>
        </is>
      </c>
      <c r="F878" t="inlineStr">
        <is>
          <t>ATERPA</t>
        </is>
      </c>
      <c r="G878" t="inlineStr">
        <is>
          <t>CLP-012</t>
        </is>
      </c>
      <c r="H878" t="inlineStr">
        <is>
          <t>Protocolo</t>
        </is>
      </c>
      <c r="I878">
        <v>6</v>
      </c>
      <c r="J878" t="inlineStr">
        <is>
          <t>Drenagem Superficial</t>
        </is>
      </c>
      <c r="K878" t="inlineStr">
        <is>
          <t>6.10</t>
        </is>
      </c>
      <c r="L878" t="inlineStr">
        <is>
          <t>Dispositivo de drenagem</t>
        </is>
      </c>
      <c r="M878" t="inlineStr">
        <is>
          <t>Obstrução do dispositivo</t>
        </is>
      </c>
      <c r="N878" t="inlineStr">
        <is>
          <t>Drenagem obstruída por acúmulo de material</t>
        </is>
      </c>
      <c r="O878" t="inlineStr">
        <is>
          <t>Tipo A</t>
        </is>
      </c>
      <c r="P878" t="inlineStr">
        <is>
          <t>69+300</t>
        </is>
      </c>
      <c r="Q878" t="inlineStr">
        <is>
          <t>69+300</t>
        </is>
      </c>
      <c r="R878" t="inlineStr">
        <is>
          <t>Aberta</t>
        </is>
      </c>
      <c r="T878" t="inlineStr">
        <is>
          <t>Aline Batista</t>
        </is>
      </c>
      <c r="U878" t="inlineStr">
        <is>
          <t>24/04/2026</t>
        </is>
      </c>
      <c r="V878" t="inlineStr">
        <is>
          <t>01/05/2026</t>
        </is>
      </c>
      <c r="W878">
        <v>40</v>
      </c>
      <c r="AA878" t="inlineStr">
        <is>
          <t>Aberta 30-60 dias</t>
        </is>
      </c>
    </row>
    <row r="879">
      <c r="A879">
        <v>877</v>
      </c>
      <c r="B879">
        <v>2</v>
      </c>
      <c r="C879" t="inlineStr">
        <is>
          <t>1.6</t>
        </is>
      </c>
      <c r="D879" t="inlineStr">
        <is>
          <t>C12</t>
        </is>
      </c>
      <c r="E879" t="inlineStr">
        <is>
          <t>LE/LD</t>
        </is>
      </c>
      <c r="F879" t="inlineStr">
        <is>
          <t>ATERPA</t>
        </is>
      </c>
      <c r="G879" t="inlineStr">
        <is>
          <t>CLP-012</t>
        </is>
      </c>
      <c r="H879" t="inlineStr">
        <is>
          <t>Protocolo</t>
        </is>
      </c>
      <c r="I879">
        <v>6</v>
      </c>
      <c r="J879" t="inlineStr">
        <is>
          <t>Drenagem Superficial</t>
        </is>
      </c>
      <c r="K879" t="inlineStr">
        <is>
          <t>6.10</t>
        </is>
      </c>
      <c r="L879" t="inlineStr">
        <is>
          <t>Dispositivo de drenagem</t>
        </is>
      </c>
      <c r="M879" t="inlineStr">
        <is>
          <t>Obstrução do dispositivo</t>
        </is>
      </c>
      <c r="N879" t="inlineStr">
        <is>
          <t>Drenagem obstruída por acúmulo de material</t>
        </is>
      </c>
      <c r="O879" t="inlineStr">
        <is>
          <t>Tipo A</t>
        </is>
      </c>
      <c r="P879" t="inlineStr">
        <is>
          <t>70+100</t>
        </is>
      </c>
      <c r="Q879" t="inlineStr">
        <is>
          <t>70+100</t>
        </is>
      </c>
      <c r="R879" t="inlineStr">
        <is>
          <t>Aberta</t>
        </is>
      </c>
      <c r="T879" t="inlineStr">
        <is>
          <t>Aline Batista</t>
        </is>
      </c>
      <c r="U879" t="inlineStr">
        <is>
          <t>24/04/2026</t>
        </is>
      </c>
      <c r="V879" t="inlineStr">
        <is>
          <t>01/05/2026</t>
        </is>
      </c>
      <c r="W879">
        <v>40</v>
      </c>
      <c r="AA879" t="inlineStr">
        <is>
          <t>Aberta 30-60 dias</t>
        </is>
      </c>
      <c r="AB879" t="inlineStr">
        <is>
          <t>GSA</t>
        </is>
      </c>
    </row>
    <row r="880">
      <c r="A880">
        <v>878</v>
      </c>
      <c r="B880">
        <v>2</v>
      </c>
      <c r="C880" t="inlineStr">
        <is>
          <t>1.6</t>
        </is>
      </c>
      <c r="D880" t="inlineStr">
        <is>
          <t>C10</t>
        </is>
      </c>
      <c r="E880" t="inlineStr">
        <is>
          <t>LE/LD</t>
        </is>
      </c>
      <c r="F880" t="inlineStr">
        <is>
          <t>ATERPA</t>
        </is>
      </c>
      <c r="G880" t="inlineStr">
        <is>
          <t>CLP-012</t>
        </is>
      </c>
      <c r="H880" t="inlineStr">
        <is>
          <t>Protocolo</t>
        </is>
      </c>
      <c r="I880">
        <v>6</v>
      </c>
      <c r="J880" t="inlineStr">
        <is>
          <t>Drenagem Superficial</t>
        </is>
      </c>
      <c r="K880" t="inlineStr">
        <is>
          <t>6.10</t>
        </is>
      </c>
      <c r="L880" t="inlineStr">
        <is>
          <t>Dispositivo de drenagem</t>
        </is>
      </c>
      <c r="M880" t="inlineStr">
        <is>
          <t>Obstrução do dispositivo</t>
        </is>
      </c>
      <c r="N880" t="inlineStr">
        <is>
          <t>Drenagem obstruída por acúmulo de material e acabamento no talude</t>
        </is>
      </c>
      <c r="O880" t="inlineStr">
        <is>
          <t>Tipo A</t>
        </is>
      </c>
      <c r="P880" t="inlineStr">
        <is>
          <t>69+080</t>
        </is>
      </c>
      <c r="Q880" t="inlineStr">
        <is>
          <t>69+080</t>
        </is>
      </c>
      <c r="R880" t="inlineStr">
        <is>
          <t>Aberta</t>
        </is>
      </c>
      <c r="T880" t="inlineStr">
        <is>
          <t>Aline Batista</t>
        </is>
      </c>
      <c r="U880" t="inlineStr">
        <is>
          <t>24/04/2026</t>
        </is>
      </c>
      <c r="V880" t="inlineStr">
        <is>
          <t>01/05/2026</t>
        </is>
      </c>
      <c r="W880">
        <v>40</v>
      </c>
      <c r="AA880" t="inlineStr">
        <is>
          <t>Aberta 30-60 dias</t>
        </is>
      </c>
      <c r="AB880" t="inlineStr">
        <is>
          <t>GSA</t>
        </is>
      </c>
    </row>
    <row r="881">
      <c r="A881">
        <v>879</v>
      </c>
      <c r="B881">
        <v>2</v>
      </c>
      <c r="C881" t="inlineStr">
        <is>
          <t>1.6</t>
        </is>
      </c>
      <c r="D881" t="inlineStr">
        <is>
          <t>C07</t>
        </is>
      </c>
      <c r="E881" t="inlineStr">
        <is>
          <t>LE/LD</t>
        </is>
      </c>
      <c r="F881" t="inlineStr">
        <is>
          <t>ATERPA</t>
        </is>
      </c>
      <c r="G881" t="inlineStr">
        <is>
          <t>CLP-012</t>
        </is>
      </c>
      <c r="H881" t="inlineStr">
        <is>
          <t>Protocolo</t>
        </is>
      </c>
      <c r="I881">
        <v>6</v>
      </c>
      <c r="J881" t="inlineStr">
        <is>
          <t>Drenagem Superficial</t>
        </is>
      </c>
      <c r="K881" t="inlineStr">
        <is>
          <t>6.10</t>
        </is>
      </c>
      <c r="L881" t="inlineStr">
        <is>
          <t>Dispositivo de drenagem</t>
        </is>
      </c>
      <c r="M881" t="inlineStr">
        <is>
          <t>Obstrução do dispositivo</t>
        </is>
      </c>
      <c r="N881" t="inlineStr">
        <is>
          <t>Canaletas obstruídas, resíduos de concreto</t>
        </is>
      </c>
      <c r="O881" t="inlineStr">
        <is>
          <t>Tipo A</t>
        </is>
      </c>
      <c r="P881" t="inlineStr">
        <is>
          <t>63+020</t>
        </is>
      </c>
      <c r="Q881" t="inlineStr">
        <is>
          <t>63+020</t>
        </is>
      </c>
      <c r="R881" t="inlineStr">
        <is>
          <t>Aberta</t>
        </is>
      </c>
      <c r="T881" t="inlineStr">
        <is>
          <t>Aline Batista</t>
        </is>
      </c>
      <c r="U881" t="inlineStr">
        <is>
          <t>24/04/2026</t>
        </is>
      </c>
      <c r="V881" t="inlineStr">
        <is>
          <t>01/05/2026</t>
        </is>
      </c>
      <c r="W881">
        <v>40</v>
      </c>
      <c r="AA881" t="inlineStr">
        <is>
          <t>Aberta 30-60 dias</t>
        </is>
      </c>
      <c r="AB881" t="inlineStr">
        <is>
          <t>GSA</t>
        </is>
      </c>
    </row>
    <row r="882">
      <c r="A882">
        <v>880</v>
      </c>
      <c r="B882">
        <v>2</v>
      </c>
      <c r="C882" t="inlineStr">
        <is>
          <t>1.6</t>
        </is>
      </c>
      <c r="D882" t="inlineStr">
        <is>
          <t>C07</t>
        </is>
      </c>
      <c r="E882" t="inlineStr">
        <is>
          <t>LE/LD</t>
        </is>
      </c>
      <c r="F882" t="inlineStr">
        <is>
          <t>ATERPA</t>
        </is>
      </c>
      <c r="G882" t="inlineStr">
        <is>
          <t>CLP-012</t>
        </is>
      </c>
      <c r="H882" t="inlineStr">
        <is>
          <t>Protocolo</t>
        </is>
      </c>
      <c r="I882">
        <v>6</v>
      </c>
      <c r="J882" t="inlineStr">
        <is>
          <t>Drenagem Superficial</t>
        </is>
      </c>
      <c r="K882" t="inlineStr">
        <is>
          <t>6.6</t>
        </is>
      </c>
      <c r="L882" t="inlineStr">
        <is>
          <t>Dispositivo de drenagem</t>
        </is>
      </c>
      <c r="M882" t="inlineStr">
        <is>
          <t>Erosões</t>
        </is>
      </c>
      <c r="N882" t="inlineStr">
        <is>
          <t>Descida d’água com erosão e encaixe com a canaleta</t>
        </is>
      </c>
      <c r="O882" t="inlineStr">
        <is>
          <t>Tipo A</t>
        </is>
      </c>
      <c r="P882" t="inlineStr">
        <is>
          <t>63+190</t>
        </is>
      </c>
      <c r="Q882" t="inlineStr">
        <is>
          <t>63+190</t>
        </is>
      </c>
      <c r="R882" t="inlineStr">
        <is>
          <t>Aberta</t>
        </is>
      </c>
      <c r="T882" t="inlineStr">
        <is>
          <t>Aline Batista</t>
        </is>
      </c>
      <c r="U882" t="inlineStr">
        <is>
          <t>24/04/2026</t>
        </is>
      </c>
      <c r="V882" t="inlineStr">
        <is>
          <t>01/05/2026</t>
        </is>
      </c>
      <c r="W882">
        <v>40</v>
      </c>
      <c r="AA882" t="inlineStr">
        <is>
          <t>Aberta 30-60 dias</t>
        </is>
      </c>
      <c r="AB882" t="inlineStr">
        <is>
          <t>GSA</t>
        </is>
      </c>
    </row>
    <row r="883">
      <c r="A883">
        <v>881</v>
      </c>
      <c r="B883">
        <v>2</v>
      </c>
      <c r="C883" t="inlineStr">
        <is>
          <t>1.6</t>
        </is>
      </c>
      <c r="D883" t="inlineStr">
        <is>
          <t>A07</t>
        </is>
      </c>
      <c r="E883" t="inlineStr">
        <is>
          <t>LE/LD</t>
        </is>
      </c>
      <c r="F883" t="inlineStr">
        <is>
          <t>ATERPA</t>
        </is>
      </c>
      <c r="G883" t="inlineStr">
        <is>
          <t>CLP-012</t>
        </is>
      </c>
      <c r="H883" t="inlineStr">
        <is>
          <t>Protocolo</t>
        </is>
      </c>
      <c r="I883">
        <v>6</v>
      </c>
      <c r="J883" t="inlineStr">
        <is>
          <t>Drenagem Superficial</t>
        </is>
      </c>
      <c r="K883" t="inlineStr">
        <is>
          <t>6.5</t>
        </is>
      </c>
      <c r="L883" t="inlineStr">
        <is>
          <t>Dispositivo de drenagem</t>
        </is>
      </c>
      <c r="M883" t="inlineStr">
        <is>
          <t>Obstrução do dispositivo</t>
        </is>
      </c>
      <c r="N883" t="inlineStr">
        <is>
          <t>Dissipador obstruído e encaixe com a canaleta</t>
        </is>
      </c>
      <c r="O883" t="inlineStr">
        <is>
          <t>Tipo A</t>
        </is>
      </c>
      <c r="P883" t="inlineStr">
        <is>
          <t>63+550</t>
        </is>
      </c>
      <c r="Q883" t="inlineStr">
        <is>
          <t>63+550</t>
        </is>
      </c>
      <c r="R883" t="inlineStr">
        <is>
          <t>Aberta</t>
        </is>
      </c>
      <c r="T883" t="inlineStr">
        <is>
          <t>Aline Batista</t>
        </is>
      </c>
      <c r="U883" t="inlineStr">
        <is>
          <t>24/04/2026</t>
        </is>
      </c>
      <c r="V883" t="inlineStr">
        <is>
          <t>01/05/2026</t>
        </is>
      </c>
      <c r="W883">
        <v>40</v>
      </c>
      <c r="AA883" t="inlineStr">
        <is>
          <t>Aberta 30-60 dias</t>
        </is>
      </c>
      <c r="AB883" t="inlineStr">
        <is>
          <t>GSA</t>
        </is>
      </c>
    </row>
    <row r="884">
      <c r="A884">
        <v>882</v>
      </c>
      <c r="B884">
        <v>2</v>
      </c>
      <c r="C884" t="inlineStr">
        <is>
          <t>1.6</t>
        </is>
      </c>
      <c r="D884" t="inlineStr">
        <is>
          <t>A08</t>
        </is>
      </c>
      <c r="E884" t="inlineStr">
        <is>
          <t>LE/LD</t>
        </is>
      </c>
      <c r="F884" t="inlineStr">
        <is>
          <t>ATERPA</t>
        </is>
      </c>
      <c r="G884" t="inlineStr">
        <is>
          <t>CLP-012</t>
        </is>
      </c>
      <c r="H884" t="inlineStr">
        <is>
          <t>Protocolo</t>
        </is>
      </c>
      <c r="I884">
        <v>6</v>
      </c>
      <c r="J884" t="inlineStr">
        <is>
          <t>Drenagem Superficial</t>
        </is>
      </c>
      <c r="K884" t="inlineStr">
        <is>
          <t>6.10</t>
        </is>
      </c>
      <c r="L884" t="inlineStr">
        <is>
          <t>Dispositivo de drenagem</t>
        </is>
      </c>
      <c r="M884" t="inlineStr">
        <is>
          <t>Erosões</t>
        </is>
      </c>
      <c r="N884" t="inlineStr">
        <is>
          <t>Erosão e resíduos; cerca danificada</t>
        </is>
      </c>
      <c r="O884" t="inlineStr">
        <is>
          <t>Tipo A</t>
        </is>
      </c>
      <c r="P884" t="inlineStr">
        <is>
          <t>64+600</t>
        </is>
      </c>
      <c r="Q884" t="inlineStr">
        <is>
          <t>64+600</t>
        </is>
      </c>
      <c r="R884" t="inlineStr">
        <is>
          <t>Aberta</t>
        </is>
      </c>
      <c r="T884" t="inlineStr">
        <is>
          <t>Aline Batista</t>
        </is>
      </c>
      <c r="U884" t="inlineStr">
        <is>
          <t>24/04/2026</t>
        </is>
      </c>
      <c r="V884" t="inlineStr">
        <is>
          <t>01/05/2026</t>
        </is>
      </c>
      <c r="W884">
        <v>40</v>
      </c>
      <c r="AA884" t="inlineStr">
        <is>
          <t>Aberta 30-60 dias</t>
        </is>
      </c>
      <c r="AB884" t="inlineStr">
        <is>
          <t>GSA</t>
        </is>
      </c>
    </row>
    <row r="885">
      <c r="A885">
        <v>883</v>
      </c>
      <c r="B885">
        <v>2</v>
      </c>
      <c r="C885" t="inlineStr">
        <is>
          <t>1.6</t>
        </is>
      </c>
      <c r="D885" t="inlineStr">
        <is>
          <t>A08</t>
        </is>
      </c>
      <c r="E885" t="inlineStr">
        <is>
          <t>LE/LD</t>
        </is>
      </c>
      <c r="F885" t="inlineStr">
        <is>
          <t>ATERPA</t>
        </is>
      </c>
      <c r="G885" t="inlineStr">
        <is>
          <t>CLP-012</t>
        </is>
      </c>
      <c r="H885" t="inlineStr">
        <is>
          <t>Protocolo</t>
        </is>
      </c>
      <c r="I885">
        <v>6</v>
      </c>
      <c r="J885" t="inlineStr">
        <is>
          <t>Drenagem Superficial</t>
        </is>
      </c>
      <c r="K885" t="inlineStr">
        <is>
          <t>1.3</t>
        </is>
      </c>
      <c r="L885" t="inlineStr">
        <is>
          <t>Dispositivo de drenagem</t>
        </is>
      </c>
      <c r="M885" t="inlineStr">
        <is>
          <t>Material Solto</t>
        </is>
      </c>
      <c r="N885" t="inlineStr">
        <is>
          <t>Aterro com solo exposto necessário repasse de hidrossemeadura. Cerca danificada. Carreamento de sedimentos para fora da faixa</t>
        </is>
      </c>
      <c r="O885" t="inlineStr">
        <is>
          <t>Tipo A</t>
        </is>
      </c>
      <c r="P885" t="inlineStr">
        <is>
          <t>64+780</t>
        </is>
      </c>
      <c r="Q885" t="inlineStr">
        <is>
          <t>64+780</t>
        </is>
      </c>
      <c r="R885" t="inlineStr">
        <is>
          <t>Aberta</t>
        </is>
      </c>
      <c r="T885" t="inlineStr">
        <is>
          <t>Aline Batista</t>
        </is>
      </c>
      <c r="U885" t="inlineStr">
        <is>
          <t>24/04/2026</t>
        </is>
      </c>
      <c r="V885" t="inlineStr">
        <is>
          <t>01/05/2026</t>
        </is>
      </c>
      <c r="W885">
        <v>40</v>
      </c>
      <c r="AA885" t="inlineStr">
        <is>
          <t>Aberta 30-60 dias</t>
        </is>
      </c>
      <c r="AB885" t="inlineStr">
        <is>
          <t>GSA</t>
        </is>
      </c>
    </row>
    <row r="886">
      <c r="A886">
        <v>884</v>
      </c>
      <c r="B886">
        <v>2</v>
      </c>
      <c r="C886" t="inlineStr">
        <is>
          <t>1.6</t>
        </is>
      </c>
      <c r="D886" t="inlineStr">
        <is>
          <t>A08</t>
        </is>
      </c>
      <c r="E886" t="inlineStr">
        <is>
          <t>LE/LD</t>
        </is>
      </c>
      <c r="F886" t="inlineStr">
        <is>
          <t>ATERPA</t>
        </is>
      </c>
      <c r="G886" t="inlineStr">
        <is>
          <t>CLP-012</t>
        </is>
      </c>
      <c r="H886" t="inlineStr">
        <is>
          <t>Protocolo</t>
        </is>
      </c>
      <c r="I886">
        <v>6</v>
      </c>
      <c r="J886" t="inlineStr">
        <is>
          <t>Drenagem Superficial</t>
        </is>
      </c>
      <c r="K886" t="inlineStr">
        <is>
          <t>4.23</t>
        </is>
      </c>
      <c r="L886" t="inlineStr">
        <is>
          <t>Dispositivo de drenagem</t>
        </is>
      </c>
      <c r="M886" t="inlineStr">
        <is>
          <t>Erosões</t>
        </is>
      </c>
      <c r="N886" t="inlineStr">
        <is>
          <t>Erosão com carreamento. Acumulo de resíduos de concreto</t>
        </is>
      </c>
      <c r="O886" t="inlineStr">
        <is>
          <t>Tipo A</t>
        </is>
      </c>
      <c r="P886" t="inlineStr">
        <is>
          <t>64+800</t>
        </is>
      </c>
      <c r="Q886" t="inlineStr">
        <is>
          <t>64+800</t>
        </is>
      </c>
      <c r="R886" t="inlineStr">
        <is>
          <t>Aberta</t>
        </is>
      </c>
      <c r="T886" t="inlineStr">
        <is>
          <t>Aline Batista</t>
        </is>
      </c>
      <c r="U886" t="inlineStr">
        <is>
          <t>24/04/2026</t>
        </is>
      </c>
      <c r="V886" t="inlineStr">
        <is>
          <t>01/05/2026</t>
        </is>
      </c>
      <c r="W886">
        <v>40</v>
      </c>
      <c r="AA886" t="inlineStr">
        <is>
          <t>Aberta 30-60 dias</t>
        </is>
      </c>
      <c r="AB886" t="inlineStr">
        <is>
          <t>GSA</t>
        </is>
      </c>
    </row>
    <row r="887">
      <c r="A887">
        <v>885</v>
      </c>
      <c r="B887">
        <v>2</v>
      </c>
      <c r="C887" t="inlineStr">
        <is>
          <t>1.6</t>
        </is>
      </c>
      <c r="D887" t="inlineStr">
        <is>
          <t>C08</t>
        </is>
      </c>
      <c r="E887" t="inlineStr">
        <is>
          <t>LE/LD</t>
        </is>
      </c>
      <c r="F887" t="inlineStr">
        <is>
          <t>ATERPA</t>
        </is>
      </c>
      <c r="G887" t="inlineStr">
        <is>
          <t>CLP-012</t>
        </is>
      </c>
      <c r="H887" t="inlineStr">
        <is>
          <t>Protocolo</t>
        </is>
      </c>
      <c r="I887">
        <v>6</v>
      </c>
      <c r="J887" t="inlineStr">
        <is>
          <t>Drenagem Superficial</t>
        </is>
      </c>
      <c r="K887" t="inlineStr">
        <is>
          <t>6.5</t>
        </is>
      </c>
      <c r="L887" t="inlineStr">
        <is>
          <t>Dispositivo de drenagem</t>
        </is>
      </c>
      <c r="M887" t="inlineStr">
        <is>
          <t>Erosões</t>
        </is>
      </c>
      <c r="N887" t="inlineStr">
        <is>
          <t>Erosão com carreamento de solo. Acumulo de material em área de APP. Dissipador com processo erosivo e obstruida</t>
        </is>
      </c>
      <c r="O887" t="inlineStr">
        <is>
          <t>Tipo A</t>
        </is>
      </c>
      <c r="P887" t="inlineStr">
        <is>
          <t>64+200</t>
        </is>
      </c>
      <c r="Q887" t="inlineStr">
        <is>
          <t>64+200</t>
        </is>
      </c>
      <c r="R887" t="inlineStr">
        <is>
          <t>Aberta</t>
        </is>
      </c>
      <c r="T887" t="inlineStr">
        <is>
          <t>Aline Batista</t>
        </is>
      </c>
      <c r="U887" t="inlineStr">
        <is>
          <t>24/04/2026</t>
        </is>
      </c>
      <c r="V887" t="inlineStr">
        <is>
          <t>01/05/2026</t>
        </is>
      </c>
      <c r="W887">
        <v>40</v>
      </c>
      <c r="AA887" t="inlineStr">
        <is>
          <t>Aberta 30-60 dias</t>
        </is>
      </c>
      <c r="AB887" t="inlineStr">
        <is>
          <t>GSA</t>
        </is>
      </c>
    </row>
    <row r="888">
      <c r="A888">
        <v>886</v>
      </c>
      <c r="B888">
        <v>2</v>
      </c>
      <c r="C888" t="inlineStr">
        <is>
          <t>1.6</t>
        </is>
      </c>
      <c r="D888" t="inlineStr">
        <is>
          <t>C10</t>
        </is>
      </c>
      <c r="E888" t="inlineStr">
        <is>
          <t>LE/LD</t>
        </is>
      </c>
      <c r="F888" t="inlineStr">
        <is>
          <t>ATERPA</t>
        </is>
      </c>
      <c r="G888" t="inlineStr">
        <is>
          <t>CLP-012</t>
        </is>
      </c>
      <c r="H888" t="inlineStr">
        <is>
          <t>Protocolo</t>
        </is>
      </c>
      <c r="I888">
        <v>6</v>
      </c>
      <c r="J888" t="inlineStr">
        <is>
          <t>Drenagem Superficial</t>
        </is>
      </c>
      <c r="K888" t="inlineStr">
        <is>
          <t>6.7</t>
        </is>
      </c>
      <c r="L888" t="inlineStr">
        <is>
          <t>Dispositivo de drenagem</t>
        </is>
      </c>
      <c r="M888" t="inlineStr">
        <is>
          <t>Drenagem danificadas</t>
        </is>
      </c>
      <c r="N888" t="inlineStr">
        <is>
          <t>Canaletas danificadas. Acumulo de resíduos de concreto. Processo erosivo próximo as canaletas</t>
        </is>
      </c>
      <c r="O888" t="inlineStr">
        <is>
          <t>Tipo A</t>
        </is>
      </c>
      <c r="P888" t="inlineStr">
        <is>
          <t>67+210</t>
        </is>
      </c>
      <c r="Q888" t="inlineStr">
        <is>
          <t>67+210</t>
        </is>
      </c>
      <c r="R888" t="inlineStr">
        <is>
          <t>Aberta</t>
        </is>
      </c>
      <c r="T888" t="inlineStr">
        <is>
          <t>Aline Batista</t>
        </is>
      </c>
      <c r="U888" t="inlineStr">
        <is>
          <t>24/04/2026</t>
        </is>
      </c>
      <c r="V888" t="inlineStr">
        <is>
          <t>01/05/2026</t>
        </is>
      </c>
      <c r="W888">
        <v>40</v>
      </c>
      <c r="AA888" t="inlineStr">
        <is>
          <t>Aberta 30-60 dias</t>
        </is>
      </c>
      <c r="AB888" t="inlineStr">
        <is>
          <t>GSA</t>
        </is>
      </c>
    </row>
    <row r="889">
      <c r="A889">
        <v>887</v>
      </c>
      <c r="B889">
        <v>2</v>
      </c>
      <c r="C889" t="inlineStr">
        <is>
          <t>1.6</t>
        </is>
      </c>
      <c r="D889" t="inlineStr">
        <is>
          <t>A10</t>
        </is>
      </c>
      <c r="E889" t="inlineStr">
        <is>
          <t>LE/LD</t>
        </is>
      </c>
      <c r="F889" t="inlineStr">
        <is>
          <t>ATERPA</t>
        </is>
      </c>
      <c r="G889" t="inlineStr">
        <is>
          <t>CLP-012</t>
        </is>
      </c>
      <c r="H889" t="inlineStr">
        <is>
          <t>Fiscalização</t>
        </is>
      </c>
      <c r="I889">
        <v>6</v>
      </c>
      <c r="J889" t="inlineStr">
        <is>
          <t>Drenagem Superficial</t>
        </is>
      </c>
      <c r="K889" t="inlineStr">
        <is>
          <t>6.10</t>
        </is>
      </c>
      <c r="L889" t="inlineStr">
        <is>
          <t>Dispositivo de drenagem</t>
        </is>
      </c>
      <c r="M889" t="inlineStr">
        <is>
          <t>Erosões</t>
        </is>
      </c>
      <c r="N889" t="inlineStr">
        <is>
          <t>Erosão e canaletas obstruídas</t>
        </is>
      </c>
      <c r="O889" t="inlineStr">
        <is>
          <t>Tipo A</t>
        </is>
      </c>
      <c r="P889" t="inlineStr">
        <is>
          <t>69+300</t>
        </is>
      </c>
      <c r="Q889" t="inlineStr">
        <is>
          <t>69+300</t>
        </is>
      </c>
      <c r="R889" t="inlineStr">
        <is>
          <t>Aberta</t>
        </is>
      </c>
      <c r="T889" t="inlineStr">
        <is>
          <t>Aline Batista</t>
        </is>
      </c>
      <c r="U889" t="inlineStr">
        <is>
          <t>24/04/2026</t>
        </is>
      </c>
      <c r="V889" t="inlineStr">
        <is>
          <t>01/05/2026</t>
        </is>
      </c>
      <c r="W889">
        <v>40</v>
      </c>
      <c r="AA889" t="inlineStr">
        <is>
          <t>Aberta 30-60 dias</t>
        </is>
      </c>
      <c r="AB889" t="inlineStr">
        <is>
          <t>GSA</t>
        </is>
      </c>
    </row>
    <row r="890">
      <c r="A890">
        <v>888</v>
      </c>
      <c r="B890">
        <v>2</v>
      </c>
      <c r="C890" t="inlineStr">
        <is>
          <t>1.6</t>
        </is>
      </c>
      <c r="D890" t="inlineStr">
        <is>
          <t>A10</t>
        </is>
      </c>
      <c r="E890" t="inlineStr">
        <is>
          <t>LE/LD</t>
        </is>
      </c>
      <c r="F890" t="inlineStr">
        <is>
          <t>ATERPA</t>
        </is>
      </c>
      <c r="G890" t="inlineStr">
        <is>
          <t>CLP-012</t>
        </is>
      </c>
      <c r="H890" t="inlineStr">
        <is>
          <t>Fiscalização</t>
        </is>
      </c>
      <c r="I890">
        <v>6</v>
      </c>
      <c r="J890" t="inlineStr">
        <is>
          <t>Obras Complementares</t>
        </is>
      </c>
      <c r="K890" t="inlineStr">
        <is>
          <t>1.3</t>
        </is>
      </c>
      <c r="L890" t="inlineStr">
        <is>
          <t>Dispositivo de drenagem</t>
        </is>
      </c>
      <c r="M890" t="inlineStr">
        <is>
          <t>Erosões</t>
        </is>
      </c>
      <c r="N890" t="inlineStr">
        <is>
          <t>Erosão; ausência de cerca</t>
        </is>
      </c>
      <c r="O890" t="inlineStr">
        <is>
          <t>Tipo A</t>
        </is>
      </c>
      <c r="P890" t="inlineStr">
        <is>
          <t>69+500</t>
        </is>
      </c>
      <c r="Q890" t="inlineStr">
        <is>
          <t>69+500</t>
        </is>
      </c>
      <c r="R890" t="inlineStr">
        <is>
          <t>Aberta</t>
        </is>
      </c>
      <c r="T890" t="inlineStr">
        <is>
          <t>Aline Batista</t>
        </is>
      </c>
      <c r="U890" t="inlineStr">
        <is>
          <t>24/04/2026</t>
        </is>
      </c>
      <c r="V890" t="inlineStr">
        <is>
          <t>01/05/2026</t>
        </is>
      </c>
      <c r="W890">
        <v>40</v>
      </c>
      <c r="AA890" t="inlineStr">
        <is>
          <t>Aberta 30-60 dias</t>
        </is>
      </c>
      <c r="AB890" t="inlineStr">
        <is>
          <t>GSA</t>
        </is>
      </c>
    </row>
    <row r="891">
      <c r="A891">
        <v>889</v>
      </c>
      <c r="B891">
        <v>2</v>
      </c>
      <c r="C891" t="inlineStr">
        <is>
          <t>1.6</t>
        </is>
      </c>
      <c r="D891" t="inlineStr">
        <is>
          <t>A10</t>
        </is>
      </c>
      <c r="E891" t="inlineStr">
        <is>
          <t>LE/LD</t>
        </is>
      </c>
      <c r="F891" t="inlineStr">
        <is>
          <t>ATERPA</t>
        </is>
      </c>
      <c r="G891" t="inlineStr">
        <is>
          <t>CLP-012</t>
        </is>
      </c>
      <c r="H891" t="inlineStr">
        <is>
          <t>Fiscalização</t>
        </is>
      </c>
      <c r="I891">
        <v>6</v>
      </c>
      <c r="J891" t="inlineStr">
        <is>
          <t>Bueiros</t>
        </is>
      </c>
      <c r="K891" t="inlineStr">
        <is>
          <t>2.7</t>
        </is>
      </c>
      <c r="L891" t="inlineStr">
        <is>
          <t>Dispositivo de drenagem</t>
        </is>
      </c>
      <c r="M891" t="inlineStr">
        <is>
          <t>Erosões</t>
        </is>
      </c>
      <c r="N891" t="inlineStr">
        <is>
          <t>Processo erosivo em PG, ausência de cerca direcionadora</t>
        </is>
      </c>
      <c r="O891" t="inlineStr">
        <is>
          <t>Tipo A</t>
        </is>
      </c>
      <c r="P891" t="inlineStr">
        <is>
          <t>69+600</t>
        </is>
      </c>
      <c r="Q891" t="inlineStr">
        <is>
          <t>69+600</t>
        </is>
      </c>
      <c r="R891" t="inlineStr">
        <is>
          <t>Aberta</t>
        </is>
      </c>
      <c r="T891" t="inlineStr">
        <is>
          <t>Aline Batista</t>
        </is>
      </c>
      <c r="U891" t="inlineStr">
        <is>
          <t>24/04/2026</t>
        </is>
      </c>
      <c r="V891" t="inlineStr">
        <is>
          <t>01/05/2026</t>
        </is>
      </c>
      <c r="W891">
        <v>40</v>
      </c>
      <c r="AA891" t="inlineStr">
        <is>
          <t>Aberta 30-60 dias</t>
        </is>
      </c>
      <c r="AB891" t="inlineStr">
        <is>
          <t>GSA</t>
        </is>
      </c>
    </row>
    <row r="892">
      <c r="A892">
        <v>890</v>
      </c>
      <c r="B892">
        <v>2</v>
      </c>
      <c r="C892" t="inlineStr">
        <is>
          <t>1.6</t>
        </is>
      </c>
      <c r="D892" t="inlineStr">
        <is>
          <t>C01/A01/C02/A02/C03/A03/C04/A04/C05/A05/C06/A06/C07/A07/C08/A08/C09/A09/C10/A10/C12/A12/A13</t>
        </is>
      </c>
      <c r="F892" t="inlineStr">
        <is>
          <t>ATERPA</t>
        </is>
      </c>
      <c r="G892" t="inlineStr">
        <is>
          <t>CLP-012</t>
        </is>
      </c>
      <c r="H892" t="inlineStr">
        <is>
          <t>Protocolo</t>
        </is>
      </c>
      <c r="I892">
        <v>6</v>
      </c>
      <c r="J892" t="inlineStr">
        <is>
          <t>Drenagem Superficial</t>
        </is>
      </c>
      <c r="K892" t="inlineStr">
        <is>
          <t>6.16</t>
        </is>
      </c>
      <c r="L892" t="inlineStr">
        <is>
          <t>RNCs</t>
        </is>
      </c>
      <c r="M892" t="inlineStr">
        <is>
          <t>Documental</t>
        </is>
      </c>
      <c r="N892" t="inlineStr">
        <is>
          <t>RNC-01409/26; RNC-01410/26; RNC-01546/26;RNC-01818/26; RNC-01891/26;RNC-02120/26;  RNC-02296/26;RNC-02299/26; RNC-02321/26;RNC-02324/26</t>
        </is>
      </c>
      <c r="O892" t="inlineStr">
        <is>
          <t>Tipo B</t>
        </is>
      </c>
      <c r="P892" t="inlineStr">
        <is>
          <t>55+050</t>
        </is>
      </c>
      <c r="Q892" t="inlineStr">
        <is>
          <t>71+150</t>
        </is>
      </c>
      <c r="R892" t="inlineStr">
        <is>
          <t>Aberta</t>
        </is>
      </c>
      <c r="T892" t="inlineStr">
        <is>
          <t>Aline Batista</t>
        </is>
      </c>
      <c r="U892" t="inlineStr">
        <is>
          <t>24/04/2026</t>
        </is>
      </c>
      <c r="V892" t="inlineStr">
        <is>
          <t>09/05/2026</t>
        </is>
      </c>
      <c r="W892">
        <v>32</v>
      </c>
      <c r="AA892" t="inlineStr">
        <is>
          <t>Aberta 30-60 dias</t>
        </is>
      </c>
    </row>
    <row r="893">
      <c r="A893">
        <v>891</v>
      </c>
      <c r="B893">
        <v>2</v>
      </c>
      <c r="C893" t="inlineStr">
        <is>
          <t>1.6</t>
        </is>
      </c>
      <c r="D893" t="inlineStr">
        <is>
          <t>C12</t>
        </is>
      </c>
      <c r="E893" t="inlineStr">
        <is>
          <t>LE/LD</t>
        </is>
      </c>
      <c r="F893" t="inlineStr">
        <is>
          <t>ATERPA</t>
        </is>
      </c>
      <c r="G893" t="inlineStr">
        <is>
          <t>CLP-012</t>
        </is>
      </c>
      <c r="H893" t="inlineStr">
        <is>
          <t>Fiscalização</t>
        </is>
      </c>
      <c r="I893">
        <v>6</v>
      </c>
      <c r="J893" t="inlineStr">
        <is>
          <t>Terraplenagem</t>
        </is>
      </c>
      <c r="K893" t="inlineStr">
        <is>
          <t>4.25</t>
        </is>
      </c>
      <c r="L893" t="inlineStr">
        <is>
          <t>Acesso</t>
        </is>
      </c>
      <c r="M893" t="inlineStr">
        <is>
          <t>Erosões</t>
        </is>
      </c>
      <c r="N893" t="inlineStr">
        <is>
          <t>Erosão com carreamento para fora da faixa; dissipador obstruído</t>
        </is>
      </c>
      <c r="O893" t="inlineStr">
        <is>
          <t>Tipo A</t>
        </is>
      </c>
      <c r="P893" t="inlineStr">
        <is>
          <t>70+080</t>
        </is>
      </c>
      <c r="Q893" t="inlineStr">
        <is>
          <t>70+080</t>
        </is>
      </c>
      <c r="R893" t="inlineStr">
        <is>
          <t>Aberta</t>
        </is>
      </c>
      <c r="T893" t="inlineStr">
        <is>
          <t>Aline Batista</t>
        </is>
      </c>
      <c r="U893" t="inlineStr">
        <is>
          <t>24/04/2026</t>
        </is>
      </c>
      <c r="V893" t="inlineStr">
        <is>
          <t>01/05/2026</t>
        </is>
      </c>
      <c r="W893">
        <v>40</v>
      </c>
      <c r="AA893" t="inlineStr">
        <is>
          <t>Aberta 30-60 dias</t>
        </is>
      </c>
    </row>
    <row r="894">
      <c r="A894">
        <v>892</v>
      </c>
      <c r="B894">
        <v>2</v>
      </c>
      <c r="C894" t="inlineStr">
        <is>
          <t>1.6</t>
        </is>
      </c>
      <c r="D894" t="inlineStr">
        <is>
          <t>C01/A01/C02/A02/C03/A03/C04/A04/C05/A05/C06/A06/C07/A07/C08/A08/C09/A09/C10/A10/C12/A12/A13</t>
        </is>
      </c>
      <c r="F894" t="inlineStr">
        <is>
          <t>ATERPA</t>
        </is>
      </c>
      <c r="G894" t="inlineStr">
        <is>
          <t>CLP-012</t>
        </is>
      </c>
      <c r="H894" t="inlineStr">
        <is>
          <t>Protocolo</t>
        </is>
      </c>
      <c r="I894">
        <v>6</v>
      </c>
      <c r="J894" t="inlineStr">
        <is>
          <t>Drenagem Superficial</t>
        </is>
      </c>
      <c r="K894" t="inlineStr">
        <is>
          <t>6.15</t>
        </is>
      </c>
      <c r="L894" t="inlineStr">
        <is>
          <t>As built</t>
        </is>
      </c>
      <c r="M894" t="inlineStr">
        <is>
          <t>Documental</t>
        </is>
      </c>
      <c r="N894" t="inlineStr">
        <is>
          <t>As built não entregue</t>
        </is>
      </c>
      <c r="O894" t="inlineStr">
        <is>
          <t>Tipo B</t>
        </is>
      </c>
      <c r="P894" t="inlineStr">
        <is>
          <t>55+050</t>
        </is>
      </c>
      <c r="Q894" t="inlineStr">
        <is>
          <t>71+150</t>
        </is>
      </c>
      <c r="R894" t="inlineStr">
        <is>
          <t>Aberta</t>
        </is>
      </c>
      <c r="T894" t="inlineStr">
        <is>
          <t>Aline Batista</t>
        </is>
      </c>
      <c r="U894" t="inlineStr">
        <is>
          <t>24/04/2026</t>
        </is>
      </c>
      <c r="V894" t="inlineStr">
        <is>
          <t>09/05/2026</t>
        </is>
      </c>
      <c r="W894">
        <v>32</v>
      </c>
      <c r="AA894" t="inlineStr">
        <is>
          <t>Aberta 30-60 dias</t>
        </is>
      </c>
    </row>
    <row r="895">
      <c r="A895">
        <v>893</v>
      </c>
      <c r="B895">
        <v>1</v>
      </c>
      <c r="C895" t="inlineStr">
        <is>
          <t>1.2</t>
        </is>
      </c>
      <c r="D895" t="inlineStr">
        <is>
          <t>C40</t>
        </is>
      </c>
      <c r="E895" t="inlineStr">
        <is>
          <t>LE/LD</t>
        </is>
      </c>
      <c r="F895" t="inlineStr">
        <is>
          <t>EMPA</t>
        </is>
      </c>
      <c r="G895" t="inlineStr">
        <is>
          <t>CLP-013</t>
        </is>
      </c>
      <c r="H895" t="inlineStr">
        <is>
          <t>Protocolo</t>
        </is>
      </c>
      <c r="I895">
        <v>2</v>
      </c>
      <c r="J895" t="inlineStr">
        <is>
          <t>Bueiros</t>
        </is>
      </c>
      <c r="K895" t="inlineStr">
        <is>
          <t>2.8</t>
        </is>
      </c>
      <c r="L895" t="inlineStr">
        <is>
          <t>Bueiro</t>
        </is>
      </c>
      <c r="M895" t="inlineStr">
        <is>
          <t>Erosões</t>
        </is>
      </c>
      <c r="N895" t="inlineStr">
        <is>
          <t>Presença de erosão na lateral da ala</t>
        </is>
      </c>
      <c r="O895" t="inlineStr">
        <is>
          <t>Tipo A</t>
        </is>
      </c>
      <c r="P895" t="inlineStr">
        <is>
          <t>19+580</t>
        </is>
      </c>
      <c r="Q895" t="inlineStr">
        <is>
          <t>19+580</t>
        </is>
      </c>
      <c r="R895" t="inlineStr">
        <is>
          <t>Aberta</t>
        </is>
      </c>
      <c r="T895" t="inlineStr">
        <is>
          <t>Aline Batista</t>
        </is>
      </c>
      <c r="U895" t="inlineStr">
        <is>
          <t>24/04/2026</t>
        </is>
      </c>
      <c r="V895" t="inlineStr">
        <is>
          <t>01/05/2026</t>
        </is>
      </c>
      <c r="W895">
        <v>40</v>
      </c>
      <c r="AA895" t="inlineStr">
        <is>
          <t>Aberta 30-60 dias</t>
        </is>
      </c>
      <c r="AB895" t="inlineStr">
        <is>
          <t>EMPA</t>
        </is>
      </c>
      <c r="AC895" t="inlineStr">
        <is>
          <t>Aline</t>
        </is>
      </c>
      <c r="AD895" t="inlineStr">
        <is>
          <t>01/07/2026</t>
        </is>
      </c>
      <c r="AE895" t="inlineStr">
        <is>
          <t>05/07/2026</t>
        </is>
      </c>
      <c r="AF895" t="inlineStr">
        <is>
          <t>Cronograma de Pendências EMPA</t>
        </is>
      </c>
    </row>
    <row r="896">
      <c r="A896">
        <v>894</v>
      </c>
      <c r="B896">
        <v>1</v>
      </c>
      <c r="C896" t="inlineStr">
        <is>
          <t>1.2</t>
        </is>
      </c>
      <c r="D896" t="inlineStr">
        <is>
          <t>A44</t>
        </is>
      </c>
      <c r="E896" t="inlineStr">
        <is>
          <t>LE/LD</t>
        </is>
      </c>
      <c r="F896" t="inlineStr">
        <is>
          <t>EMPA</t>
        </is>
      </c>
      <c r="G896" t="inlineStr">
        <is>
          <t>CLP-013</t>
        </is>
      </c>
      <c r="H896" t="inlineStr">
        <is>
          <t>Protocolo</t>
        </is>
      </c>
      <c r="I896">
        <v>2</v>
      </c>
      <c r="J896" t="inlineStr">
        <is>
          <t>Bueiros</t>
        </is>
      </c>
      <c r="K896" t="inlineStr">
        <is>
          <t>2.8</t>
        </is>
      </c>
      <c r="L896" t="inlineStr">
        <is>
          <t>Bueiro</t>
        </is>
      </c>
      <c r="M896" t="inlineStr">
        <is>
          <t>Erosões</t>
        </is>
      </c>
      <c r="N896" t="inlineStr">
        <is>
          <t>Presença de erosão na lateral da ala e aplicação de hidrossemeadura</t>
        </is>
      </c>
      <c r="O896" t="inlineStr">
        <is>
          <t>Tipo A</t>
        </is>
      </c>
      <c r="P896" t="inlineStr">
        <is>
          <t>20+760</t>
        </is>
      </c>
      <c r="Q896" t="inlineStr">
        <is>
          <t>20+760</t>
        </is>
      </c>
      <c r="R896" t="inlineStr">
        <is>
          <t>Aberta</t>
        </is>
      </c>
      <c r="T896" t="inlineStr">
        <is>
          <t>Aline Batista</t>
        </is>
      </c>
      <c r="U896" t="inlineStr">
        <is>
          <t>24/04/2026</t>
        </is>
      </c>
      <c r="V896" t="inlineStr">
        <is>
          <t>01/05/2026</t>
        </is>
      </c>
      <c r="W896">
        <v>40</v>
      </c>
      <c r="AA896" t="inlineStr">
        <is>
          <t>Aberta 30-60 dias</t>
        </is>
      </c>
      <c r="AB896" t="inlineStr">
        <is>
          <t>EMPA</t>
        </is>
      </c>
      <c r="AC896" t="inlineStr">
        <is>
          <t>Aline</t>
        </is>
      </c>
      <c r="AD896" t="inlineStr">
        <is>
          <t>01/07/2026</t>
        </is>
      </c>
      <c r="AE896" t="inlineStr">
        <is>
          <t>05/07/2026</t>
        </is>
      </c>
      <c r="AF896" t="inlineStr">
        <is>
          <t>Cronograma de Pendências EMPA</t>
        </is>
      </c>
    </row>
    <row r="897">
      <c r="A897">
        <v>895</v>
      </c>
      <c r="B897">
        <v>1</v>
      </c>
      <c r="C897" t="inlineStr">
        <is>
          <t>1.2</t>
        </is>
      </c>
      <c r="D897" t="inlineStr">
        <is>
          <t>A44</t>
        </is>
      </c>
      <c r="E897" t="inlineStr">
        <is>
          <t>LE/LD</t>
        </is>
      </c>
      <c r="F897" t="inlineStr">
        <is>
          <t>EMPA</t>
        </is>
      </c>
      <c r="G897" t="inlineStr">
        <is>
          <t>CLP-013</t>
        </is>
      </c>
      <c r="H897" t="inlineStr">
        <is>
          <t>Protocolo</t>
        </is>
      </c>
      <c r="I897">
        <v>2</v>
      </c>
      <c r="J897" t="inlineStr">
        <is>
          <t>Bueiros</t>
        </is>
      </c>
      <c r="K897" t="inlineStr">
        <is>
          <t>2.10</t>
        </is>
      </c>
      <c r="L897" t="inlineStr">
        <is>
          <t>Bueiro</t>
        </is>
      </c>
      <c r="M897" t="inlineStr">
        <is>
          <t>Drenagem danificadas</t>
        </is>
      </c>
      <c r="N897" t="inlineStr">
        <is>
          <t>Proteção de saída do bueiro com avarias</t>
        </is>
      </c>
      <c r="O897" t="inlineStr">
        <is>
          <t>Tipo A</t>
        </is>
      </c>
      <c r="P897" t="inlineStr">
        <is>
          <t>20+900</t>
        </is>
      </c>
      <c r="Q897" t="inlineStr">
        <is>
          <t>20+900</t>
        </is>
      </c>
      <c r="R897" t="inlineStr">
        <is>
          <t>Aberta</t>
        </is>
      </c>
      <c r="T897" t="inlineStr">
        <is>
          <t>Aline Batista</t>
        </is>
      </c>
      <c r="U897" t="inlineStr">
        <is>
          <t>24/04/2026</t>
        </is>
      </c>
      <c r="V897" t="inlineStr">
        <is>
          <t>01/05/2026</t>
        </is>
      </c>
      <c r="W897">
        <v>40</v>
      </c>
      <c r="AA897" t="inlineStr">
        <is>
          <t>Aberta 30-60 dias</t>
        </is>
      </c>
      <c r="AB897" t="inlineStr">
        <is>
          <t>EMPA</t>
        </is>
      </c>
      <c r="AC897" t="inlineStr">
        <is>
          <t>Aline</t>
        </is>
      </c>
      <c r="AD897" t="inlineStr">
        <is>
          <t>07/07/2026</t>
        </is>
      </c>
      <c r="AE897" t="inlineStr">
        <is>
          <t>12/07/2026</t>
        </is>
      </c>
      <c r="AF897" t="inlineStr">
        <is>
          <t>Cronograma de Pendências EMPA</t>
        </is>
      </c>
    </row>
    <row r="898">
      <c r="A898">
        <v>896</v>
      </c>
      <c r="B898">
        <v>1</v>
      </c>
      <c r="C898" t="inlineStr">
        <is>
          <t>1.2</t>
        </is>
      </c>
      <c r="D898" t="inlineStr">
        <is>
          <t>C40</t>
        </is>
      </c>
      <c r="E898" t="inlineStr">
        <is>
          <t>LE/LD</t>
        </is>
      </c>
      <c r="F898" t="inlineStr">
        <is>
          <t>EMPA</t>
        </is>
      </c>
      <c r="G898" t="inlineStr">
        <is>
          <t>CLP-013</t>
        </is>
      </c>
      <c r="H898" t="inlineStr">
        <is>
          <t>Protocolo</t>
        </is>
      </c>
      <c r="I898">
        <v>2</v>
      </c>
      <c r="J898" t="inlineStr">
        <is>
          <t>Bueiros</t>
        </is>
      </c>
      <c r="K898" t="inlineStr">
        <is>
          <t>2.11</t>
        </is>
      </c>
      <c r="L898" t="inlineStr">
        <is>
          <t>Bueiro</t>
        </is>
      </c>
      <c r="M898" t="inlineStr">
        <is>
          <t>Erosões</t>
        </is>
      </c>
      <c r="N898" t="inlineStr">
        <is>
          <t>Bueiro de acesso com erosão na lateral da ala</t>
        </is>
      </c>
      <c r="O898" t="inlineStr">
        <is>
          <t>Tipo A</t>
        </is>
      </c>
      <c r="P898" t="inlineStr">
        <is>
          <t>19+980</t>
        </is>
      </c>
      <c r="Q898" t="inlineStr">
        <is>
          <t>19+980</t>
        </is>
      </c>
      <c r="R898" t="inlineStr">
        <is>
          <t>Aberta</t>
        </is>
      </c>
      <c r="T898" t="inlineStr">
        <is>
          <t>Aline Batista</t>
        </is>
      </c>
      <c r="U898" t="inlineStr">
        <is>
          <t>24/04/2026</t>
        </is>
      </c>
      <c r="V898" t="inlineStr">
        <is>
          <t>01/05/2026</t>
        </is>
      </c>
      <c r="W898">
        <v>40</v>
      </c>
      <c r="AA898" t="inlineStr">
        <is>
          <t>Aberta 30-60 dias</t>
        </is>
      </c>
      <c r="AB898" t="inlineStr">
        <is>
          <t>EMPA</t>
        </is>
      </c>
      <c r="AC898" t="inlineStr">
        <is>
          <t>Aline</t>
        </is>
      </c>
      <c r="AD898" t="inlineStr">
        <is>
          <t>01/07/2026</t>
        </is>
      </c>
      <c r="AE898" t="inlineStr">
        <is>
          <t>05/07/2026</t>
        </is>
      </c>
      <c r="AF898" t="inlineStr">
        <is>
          <t>Cronograma de Pendências EMPA</t>
        </is>
      </c>
    </row>
    <row r="899">
      <c r="A899">
        <v>897</v>
      </c>
      <c r="B899">
        <v>1</v>
      </c>
      <c r="C899" t="inlineStr">
        <is>
          <t>1.2</t>
        </is>
      </c>
      <c r="D899" t="inlineStr">
        <is>
          <t>C40</t>
        </is>
      </c>
      <c r="E899" t="inlineStr">
        <is>
          <t>LE/LD</t>
        </is>
      </c>
      <c r="F899" t="inlineStr">
        <is>
          <t>EMPA</t>
        </is>
      </c>
      <c r="G899" t="inlineStr">
        <is>
          <t>CLP-013</t>
        </is>
      </c>
      <c r="H899" t="inlineStr">
        <is>
          <t>Protocolo</t>
        </is>
      </c>
      <c r="I899">
        <v>2</v>
      </c>
      <c r="J899" t="inlineStr">
        <is>
          <t>Bueiros</t>
        </is>
      </c>
      <c r="K899" t="inlineStr">
        <is>
          <t>2.11</t>
        </is>
      </c>
      <c r="L899" t="inlineStr">
        <is>
          <t>Bueiro/ Bacia</t>
        </is>
      </c>
      <c r="M899" t="inlineStr">
        <is>
          <t>Obstrução do dispositivo</t>
        </is>
      </c>
      <c r="N899" t="inlineStr">
        <is>
          <t>Obstrução de bueiro</t>
        </is>
      </c>
      <c r="O899" t="inlineStr">
        <is>
          <t>Tipo A</t>
        </is>
      </c>
      <c r="P899" t="inlineStr">
        <is>
          <t>19+650</t>
        </is>
      </c>
      <c r="Q899" t="inlineStr">
        <is>
          <t>19+650</t>
        </is>
      </c>
      <c r="R899" t="inlineStr">
        <is>
          <t>Aberta</t>
        </is>
      </c>
      <c r="T899" t="inlineStr">
        <is>
          <t>Aline Batista</t>
        </is>
      </c>
      <c r="U899" t="inlineStr">
        <is>
          <t>24/04/2026</t>
        </is>
      </c>
      <c r="V899" t="inlineStr">
        <is>
          <t>01/05/2026</t>
        </is>
      </c>
      <c r="W899">
        <v>40</v>
      </c>
      <c r="AA899" t="inlineStr">
        <is>
          <t>Aberta 30-60 dias</t>
        </is>
      </c>
      <c r="AB899" t="inlineStr">
        <is>
          <t>EMPA</t>
        </is>
      </c>
      <c r="AC899" t="inlineStr">
        <is>
          <t>Aline</t>
        </is>
      </c>
      <c r="AD899" t="inlineStr">
        <is>
          <t>07/07/2026</t>
        </is>
      </c>
      <c r="AE899" t="inlineStr">
        <is>
          <t>12/07/2026</t>
        </is>
      </c>
      <c r="AF899" t="inlineStr">
        <is>
          <t>Cronograma de Pendências EMPA</t>
        </is>
      </c>
    </row>
    <row r="900">
      <c r="A900">
        <v>898</v>
      </c>
      <c r="B900">
        <v>1</v>
      </c>
      <c r="C900" t="inlineStr">
        <is>
          <t>1.2</t>
        </is>
      </c>
      <c r="D900" t="inlineStr">
        <is>
          <t>A44</t>
        </is>
      </c>
      <c r="E900" t="inlineStr">
        <is>
          <t>LD</t>
        </is>
      </c>
      <c r="F900" t="inlineStr">
        <is>
          <t>EMPA</t>
        </is>
      </c>
      <c r="G900" t="inlineStr">
        <is>
          <t>CLP-013</t>
        </is>
      </c>
      <c r="H900" t="inlineStr">
        <is>
          <t>Protocolo</t>
        </is>
      </c>
      <c r="I900">
        <v>2</v>
      </c>
      <c r="J900" t="inlineStr">
        <is>
          <t>Bueiros</t>
        </is>
      </c>
      <c r="K900" t="inlineStr">
        <is>
          <t>2.11</t>
        </is>
      </c>
      <c r="L900" t="inlineStr">
        <is>
          <t>Bueiro/ Bacia</t>
        </is>
      </c>
      <c r="M900" t="inlineStr">
        <is>
          <t>Obstrução do dispositivo</t>
        </is>
      </c>
      <c r="N900" t="inlineStr">
        <is>
          <t>Obstrução de bueiro</t>
        </is>
      </c>
      <c r="O900" t="inlineStr">
        <is>
          <t>Tipo A</t>
        </is>
      </c>
      <c r="P900" t="inlineStr">
        <is>
          <t>20+750</t>
        </is>
      </c>
      <c r="Q900" t="inlineStr">
        <is>
          <t>20+750</t>
        </is>
      </c>
      <c r="R900" t="inlineStr">
        <is>
          <t>Aberta</t>
        </is>
      </c>
      <c r="T900" t="inlineStr">
        <is>
          <t>Aline Batista</t>
        </is>
      </c>
      <c r="U900" t="inlineStr">
        <is>
          <t>24/04/2026</t>
        </is>
      </c>
      <c r="V900" t="inlineStr">
        <is>
          <t>01/05/2026</t>
        </is>
      </c>
      <c r="W900">
        <v>40</v>
      </c>
      <c r="AA900" t="inlineStr">
        <is>
          <t>Aberta 30-60 dias</t>
        </is>
      </c>
      <c r="AB900" t="inlineStr">
        <is>
          <t>EMPA</t>
        </is>
      </c>
      <c r="AC900" t="inlineStr">
        <is>
          <t>Aline</t>
        </is>
      </c>
      <c r="AD900" t="inlineStr">
        <is>
          <t>07/07/2026</t>
        </is>
      </c>
      <c r="AE900" t="inlineStr">
        <is>
          <t>12/07/2026</t>
        </is>
      </c>
      <c r="AF900" t="inlineStr">
        <is>
          <t>Cronograma de Pendências EMPA</t>
        </is>
      </c>
    </row>
    <row r="901">
      <c r="A901">
        <v>899</v>
      </c>
      <c r="B901">
        <v>1</v>
      </c>
      <c r="C901" t="inlineStr">
        <is>
          <t>1.2</t>
        </is>
      </c>
      <c r="D901" t="inlineStr">
        <is>
          <t>C40</t>
        </is>
      </c>
      <c r="E901" t="inlineStr">
        <is>
          <t>LE/LD</t>
        </is>
      </c>
      <c r="F901" t="inlineStr">
        <is>
          <t>EMPA</t>
        </is>
      </c>
      <c r="G901" t="inlineStr">
        <is>
          <t>CLP-013</t>
        </is>
      </c>
      <c r="H901" t="inlineStr">
        <is>
          <t>Manifestação</t>
        </is>
      </c>
      <c r="I901">
        <v>2</v>
      </c>
      <c r="J901" t="inlineStr">
        <is>
          <t>Bueiros</t>
        </is>
      </c>
      <c r="K901" t="inlineStr">
        <is>
          <t>2.11</t>
        </is>
      </c>
      <c r="L901" t="inlineStr">
        <is>
          <t>Bueiro</t>
        </is>
      </c>
      <c r="M901" t="inlineStr">
        <is>
          <t>Obstrução do dispositivo</t>
        </is>
      </c>
      <c r="N901" t="inlineStr">
        <is>
          <t>Obstrução de bueiro</t>
        </is>
      </c>
      <c r="O901" t="inlineStr">
        <is>
          <t>Tipo A</t>
        </is>
      </c>
      <c r="P901" t="inlineStr">
        <is>
          <t>20+200</t>
        </is>
      </c>
      <c r="Q901" t="inlineStr">
        <is>
          <t>20+200</t>
        </is>
      </c>
      <c r="R901" t="inlineStr">
        <is>
          <t>Aberta</t>
        </is>
      </c>
      <c r="T901" t="inlineStr">
        <is>
          <t>Aline Batista</t>
        </is>
      </c>
      <c r="U901" t="inlineStr">
        <is>
          <t>24/04/2026</t>
        </is>
      </c>
      <c r="V901" t="inlineStr">
        <is>
          <t>01/05/2026</t>
        </is>
      </c>
      <c r="W901">
        <v>40</v>
      </c>
      <c r="AA901" t="inlineStr">
        <is>
          <t>Aberta 30-60 dias</t>
        </is>
      </c>
      <c r="AB901" t="inlineStr">
        <is>
          <t>EMPA</t>
        </is>
      </c>
      <c r="AC901" t="inlineStr">
        <is>
          <t>Aline</t>
        </is>
      </c>
      <c r="AD901" t="inlineStr">
        <is>
          <t>07/07/2026</t>
        </is>
      </c>
      <c r="AE901" t="inlineStr">
        <is>
          <t>12/07/2026</t>
        </is>
      </c>
      <c r="AF901" t="inlineStr">
        <is>
          <t>Cronograma de Pendências EMPA</t>
        </is>
      </c>
    </row>
    <row r="902">
      <c r="A902">
        <v>900</v>
      </c>
      <c r="B902">
        <v>1</v>
      </c>
      <c r="C902" t="inlineStr">
        <is>
          <t>1.2</t>
        </is>
      </c>
      <c r="D902" t="inlineStr">
        <is>
          <t>A44</t>
        </is>
      </c>
      <c r="E902" t="inlineStr">
        <is>
          <t>LE/LD</t>
        </is>
      </c>
      <c r="F902" t="inlineStr">
        <is>
          <t>EMPA</t>
        </is>
      </c>
      <c r="G902" t="inlineStr">
        <is>
          <t>CLP-013</t>
        </is>
      </c>
      <c r="H902" t="inlineStr">
        <is>
          <t>Fiscalização</t>
        </is>
      </c>
      <c r="I902">
        <v>2</v>
      </c>
      <c r="J902" t="inlineStr">
        <is>
          <t>Bueiros</t>
        </is>
      </c>
      <c r="K902" t="inlineStr">
        <is>
          <t>2.11</t>
        </is>
      </c>
      <c r="L902" t="inlineStr">
        <is>
          <t>Bueiro</t>
        </is>
      </c>
      <c r="M902" t="inlineStr">
        <is>
          <t>Obstrução do dispositivo</t>
        </is>
      </c>
      <c r="N902" t="inlineStr">
        <is>
          <t>OACs obstruídas.</t>
        </is>
      </c>
      <c r="O902" t="inlineStr">
        <is>
          <t>Tipo A</t>
        </is>
      </c>
      <c r="P902" t="inlineStr">
        <is>
          <t>20+590</t>
        </is>
      </c>
      <c r="Q902" t="inlineStr">
        <is>
          <t>21+040</t>
        </is>
      </c>
      <c r="R902" t="inlineStr">
        <is>
          <t>Aberta</t>
        </is>
      </c>
      <c r="T902" t="inlineStr">
        <is>
          <t>Aline Batista</t>
        </is>
      </c>
      <c r="U902" t="inlineStr">
        <is>
          <t>24/04/2026</t>
        </is>
      </c>
      <c r="V902" t="inlineStr">
        <is>
          <t>01/05/2026</t>
        </is>
      </c>
      <c r="W902">
        <v>40</v>
      </c>
      <c r="AA902" t="inlineStr">
        <is>
          <t>Aberta 30-60 dias</t>
        </is>
      </c>
      <c r="AB902" t="inlineStr">
        <is>
          <t>EMPA</t>
        </is>
      </c>
      <c r="AC902" t="inlineStr">
        <is>
          <t>Aline</t>
        </is>
      </c>
      <c r="AD902" t="inlineStr">
        <is>
          <t>14/07/2026</t>
        </is>
      </c>
      <c r="AE902" t="inlineStr">
        <is>
          <t>16/07/2026</t>
        </is>
      </c>
      <c r="AF902" t="inlineStr">
        <is>
          <t>Cronograma de Pendências EMPA</t>
        </is>
      </c>
    </row>
    <row r="903">
      <c r="A903">
        <v>901</v>
      </c>
      <c r="B903">
        <v>1</v>
      </c>
      <c r="C903" t="inlineStr">
        <is>
          <t>1.2</t>
        </is>
      </c>
      <c r="D903" t="inlineStr">
        <is>
          <t>A45</t>
        </is>
      </c>
      <c r="E903" t="inlineStr">
        <is>
          <t>LE/LD</t>
        </is>
      </c>
      <c r="F903" t="inlineStr">
        <is>
          <t>EMPA</t>
        </is>
      </c>
      <c r="G903" t="inlineStr">
        <is>
          <t>CLP-013</t>
        </is>
      </c>
      <c r="H903" t="inlineStr">
        <is>
          <t>Fiscalização</t>
        </is>
      </c>
      <c r="I903">
        <v>2</v>
      </c>
      <c r="J903" t="inlineStr">
        <is>
          <t>Bueiros</t>
        </is>
      </c>
      <c r="K903" t="inlineStr">
        <is>
          <t>2.11</t>
        </is>
      </c>
      <c r="L903" t="inlineStr">
        <is>
          <t>Bueiro</t>
        </is>
      </c>
      <c r="M903" t="inlineStr">
        <is>
          <t>Obstrução do dispositivo</t>
        </is>
      </c>
      <c r="N903" t="inlineStr">
        <is>
          <t>OACs obstruídas.</t>
        </is>
      </c>
      <c r="O903" t="inlineStr">
        <is>
          <t>Tipo A</t>
        </is>
      </c>
      <c r="P903" t="inlineStr">
        <is>
          <t>21+460</t>
        </is>
      </c>
      <c r="Q903" t="inlineStr">
        <is>
          <t>21+560</t>
        </is>
      </c>
      <c r="R903" t="inlineStr">
        <is>
          <t>Aberta</t>
        </is>
      </c>
      <c r="T903" t="inlineStr">
        <is>
          <t>Aline Batista</t>
        </is>
      </c>
      <c r="U903" t="inlineStr">
        <is>
          <t>24/04/2026</t>
        </is>
      </c>
      <c r="V903" t="inlineStr">
        <is>
          <t>01/05/2026</t>
        </is>
      </c>
      <c r="W903">
        <v>40</v>
      </c>
      <c r="AA903" t="inlineStr">
        <is>
          <t>Aberta 30-60 dias</t>
        </is>
      </c>
      <c r="AB903" t="inlineStr">
        <is>
          <t>EMPA</t>
        </is>
      </c>
      <c r="AC903" t="inlineStr">
        <is>
          <t>Aline</t>
        </is>
      </c>
      <c r="AD903" t="inlineStr">
        <is>
          <t>14/07/2026</t>
        </is>
      </c>
      <c r="AE903" t="inlineStr">
        <is>
          <t>16/07/2026</t>
        </is>
      </c>
      <c r="AF903" t="inlineStr">
        <is>
          <t>Cronograma de Pendências EMPA</t>
        </is>
      </c>
    </row>
    <row r="904">
      <c r="A904">
        <v>902</v>
      </c>
      <c r="B904">
        <v>1</v>
      </c>
      <c r="C904" t="inlineStr">
        <is>
          <t>1.2</t>
        </is>
      </c>
      <c r="D904" t="inlineStr">
        <is>
          <t>C40</t>
        </is>
      </c>
      <c r="F904" t="inlineStr">
        <is>
          <t>EMPA</t>
        </is>
      </c>
      <c r="G904" t="inlineStr">
        <is>
          <t>CLP-013</t>
        </is>
      </c>
      <c r="H904" t="inlineStr">
        <is>
          <t>Protocolo</t>
        </is>
      </c>
      <c r="I904">
        <v>2</v>
      </c>
      <c r="J904" t="inlineStr">
        <is>
          <t>Bueiros</t>
        </is>
      </c>
      <c r="K904" t="inlineStr">
        <is>
          <t>2.12</t>
        </is>
      </c>
      <c r="L904" t="inlineStr">
        <is>
          <t>Bacia de Captação</t>
        </is>
      </c>
      <c r="M904" t="inlineStr">
        <is>
          <t>Dispositivo não executado</t>
        </is>
      </c>
      <c r="N904" t="inlineStr">
        <is>
          <t>Pendência de execução da bacia de captação.</t>
        </is>
      </c>
      <c r="O904" t="inlineStr">
        <is>
          <t>Tipo A</t>
        </is>
      </c>
      <c r="P904" t="inlineStr">
        <is>
          <t>19+650</t>
        </is>
      </c>
      <c r="Q904" t="inlineStr">
        <is>
          <t>19+650</t>
        </is>
      </c>
      <c r="R904" t="inlineStr">
        <is>
          <t>Aberta</t>
        </is>
      </c>
      <c r="T904" t="inlineStr">
        <is>
          <t>Aline Batista</t>
        </is>
      </c>
      <c r="U904" t="inlineStr">
        <is>
          <t>24/04/2026</t>
        </is>
      </c>
      <c r="V904" t="inlineStr">
        <is>
          <t>01/05/2026</t>
        </is>
      </c>
      <c r="W904">
        <v>40</v>
      </c>
      <c r="AA904" t="inlineStr">
        <is>
          <t>Aberta 30-60 dias</t>
        </is>
      </c>
      <c r="AB904" t="inlineStr">
        <is>
          <t>EMPA</t>
        </is>
      </c>
      <c r="AC904" t="inlineStr">
        <is>
          <t>Aline</t>
        </is>
      </c>
      <c r="AD904" t="inlineStr">
        <is>
          <t>07/07/2026</t>
        </is>
      </c>
      <c r="AE904" t="inlineStr">
        <is>
          <t>12/07/2026</t>
        </is>
      </c>
      <c r="AF904" t="inlineStr">
        <is>
          <t>Prazo Premissa VALE</t>
        </is>
      </c>
    </row>
    <row r="905">
      <c r="A905">
        <v>903</v>
      </c>
      <c r="B905">
        <v>1</v>
      </c>
      <c r="C905" t="inlineStr">
        <is>
          <t>1.2</t>
        </is>
      </c>
      <c r="D905" t="inlineStr">
        <is>
          <t>A44</t>
        </is>
      </c>
      <c r="F905" t="inlineStr">
        <is>
          <t>EMPA</t>
        </is>
      </c>
      <c r="G905" t="inlineStr">
        <is>
          <t>CLP-013</t>
        </is>
      </c>
      <c r="H905" t="inlineStr">
        <is>
          <t>Protocolo</t>
        </is>
      </c>
      <c r="I905">
        <v>2</v>
      </c>
      <c r="J905" t="inlineStr">
        <is>
          <t>Bueiros</t>
        </is>
      </c>
      <c r="K905" t="inlineStr">
        <is>
          <t>2.12</t>
        </is>
      </c>
      <c r="L905" t="inlineStr">
        <is>
          <t>Bacia de Captação</t>
        </is>
      </c>
      <c r="M905" t="inlineStr">
        <is>
          <t>Dispositivo não executado</t>
        </is>
      </c>
      <c r="N905" t="inlineStr">
        <is>
          <t>Pendência de execução da bacia de captação.</t>
        </is>
      </c>
      <c r="O905" t="inlineStr">
        <is>
          <t>Tipo A</t>
        </is>
      </c>
      <c r="P905" t="inlineStr">
        <is>
          <t>20+750</t>
        </is>
      </c>
      <c r="Q905" t="inlineStr">
        <is>
          <t>20+750</t>
        </is>
      </c>
      <c r="R905" t="inlineStr">
        <is>
          <t>Aberta</t>
        </is>
      </c>
      <c r="T905" t="inlineStr">
        <is>
          <t>Aline Batista</t>
        </is>
      </c>
      <c r="U905" t="inlineStr">
        <is>
          <t>24/04/2026</t>
        </is>
      </c>
      <c r="V905" t="inlineStr">
        <is>
          <t>01/05/2026</t>
        </is>
      </c>
      <c r="W905">
        <v>40</v>
      </c>
      <c r="AA905" t="inlineStr">
        <is>
          <t>Aberta 30-60 dias</t>
        </is>
      </c>
      <c r="AB905" t="inlineStr">
        <is>
          <t>EMPA</t>
        </is>
      </c>
      <c r="AC905" t="inlineStr">
        <is>
          <t>Aline</t>
        </is>
      </c>
      <c r="AD905" t="inlineStr">
        <is>
          <t>14/07/2026</t>
        </is>
      </c>
      <c r="AE905" t="inlineStr">
        <is>
          <t>16/07/2026</t>
        </is>
      </c>
      <c r="AF905" t="inlineStr">
        <is>
          <t>Cronograma de Pendências EMPA</t>
        </is>
      </c>
    </row>
    <row r="906">
      <c r="A906">
        <v>904</v>
      </c>
      <c r="B906">
        <v>1</v>
      </c>
      <c r="C906" t="inlineStr">
        <is>
          <t>1.2</t>
        </is>
      </c>
      <c r="D906" t="inlineStr">
        <is>
          <t>C40</t>
        </is>
      </c>
      <c r="F906" t="inlineStr">
        <is>
          <t>EMPA</t>
        </is>
      </c>
      <c r="G906" t="inlineStr">
        <is>
          <t>CLP-013</t>
        </is>
      </c>
      <c r="H906" t="inlineStr">
        <is>
          <t>Protocolo</t>
        </is>
      </c>
      <c r="I906">
        <v>2</v>
      </c>
      <c r="J906" t="inlineStr">
        <is>
          <t>Bueiros</t>
        </is>
      </c>
      <c r="K906" t="inlineStr">
        <is>
          <t>2.12</t>
        </is>
      </c>
      <c r="L906" t="inlineStr">
        <is>
          <t>Bacia de Captação</t>
        </is>
      </c>
      <c r="M906" t="inlineStr">
        <is>
          <t>Dispositivo não executado</t>
        </is>
      </c>
      <c r="N906" t="inlineStr">
        <is>
          <t>Pendência de execução da bacia de captação.</t>
        </is>
      </c>
      <c r="O906" t="inlineStr">
        <is>
          <t>Tipo A</t>
        </is>
      </c>
      <c r="P906" t="inlineStr">
        <is>
          <t>20+200</t>
        </is>
      </c>
      <c r="Q906" t="inlineStr">
        <is>
          <t>20+200</t>
        </is>
      </c>
      <c r="R906" t="inlineStr">
        <is>
          <t>Aberta</t>
        </is>
      </c>
      <c r="T906" t="inlineStr">
        <is>
          <t>Aline Batista</t>
        </is>
      </c>
      <c r="U906" t="inlineStr">
        <is>
          <t>24/04/2026</t>
        </is>
      </c>
      <c r="V906" t="inlineStr">
        <is>
          <t>01/05/2026</t>
        </is>
      </c>
      <c r="W906">
        <v>40</v>
      </c>
      <c r="AA906" t="inlineStr">
        <is>
          <t>Aberta 30-60 dias</t>
        </is>
      </c>
      <c r="AB906" t="inlineStr">
        <is>
          <t>EMPA</t>
        </is>
      </c>
      <c r="AC906" t="inlineStr">
        <is>
          <t>Aline</t>
        </is>
      </c>
      <c r="AD906" t="inlineStr">
        <is>
          <t>14/07/2026</t>
        </is>
      </c>
      <c r="AE906" t="inlineStr">
        <is>
          <t>16/07/2026</t>
        </is>
      </c>
      <c r="AF906" t="inlineStr">
        <is>
          <t>Cronograma de Pendências EMPA</t>
        </is>
      </c>
    </row>
    <row r="907">
      <c r="A907">
        <v>905</v>
      </c>
      <c r="B907">
        <v>1</v>
      </c>
      <c r="C907" t="inlineStr">
        <is>
          <t>1.2</t>
        </is>
      </c>
      <c r="D907" t="inlineStr">
        <is>
          <t>A44</t>
        </is>
      </c>
      <c r="E907" t="inlineStr">
        <is>
          <t>LD/LE</t>
        </is>
      </c>
      <c r="F907" t="inlineStr">
        <is>
          <t>EMPA</t>
        </is>
      </c>
      <c r="G907" t="inlineStr">
        <is>
          <t>CLP-013</t>
        </is>
      </c>
      <c r="H907" t="inlineStr">
        <is>
          <t>Protocolo</t>
        </is>
      </c>
      <c r="I907">
        <v>4</v>
      </c>
      <c r="J907" t="inlineStr">
        <is>
          <t>Terraplenagem</t>
        </is>
      </c>
      <c r="K907" t="inlineStr">
        <is>
          <t>4.4</t>
        </is>
      </c>
      <c r="L907" t="inlineStr">
        <is>
          <t>Berma</t>
        </is>
      </c>
      <c r="M907" t="inlineStr">
        <is>
          <t>Conformação</t>
        </is>
      </c>
      <c r="N907" t="inlineStr">
        <is>
          <t>Pendente compactação e conformação da berma</t>
        </is>
      </c>
      <c r="O907" t="inlineStr">
        <is>
          <t>Tipo A</t>
        </is>
      </c>
      <c r="P907" t="inlineStr">
        <is>
          <t>20+760</t>
        </is>
      </c>
      <c r="Q907" t="inlineStr">
        <is>
          <t>20+760</t>
        </is>
      </c>
      <c r="R907" t="inlineStr">
        <is>
          <t>Aberta</t>
        </is>
      </c>
      <c r="T907" t="inlineStr">
        <is>
          <t>Aline Batista</t>
        </is>
      </c>
      <c r="U907" t="inlineStr">
        <is>
          <t>24/04/2026</t>
        </is>
      </c>
      <c r="V907" t="inlineStr">
        <is>
          <t>01/05/2026</t>
        </is>
      </c>
      <c r="W907">
        <v>40</v>
      </c>
      <c r="AA907" t="inlineStr">
        <is>
          <t>Aberta 30-60 dias</t>
        </is>
      </c>
      <c r="AB907" t="inlineStr">
        <is>
          <t>EMPA</t>
        </is>
      </c>
      <c r="AC907" t="inlineStr">
        <is>
          <t>Aline</t>
        </is>
      </c>
      <c r="AD907" t="inlineStr">
        <is>
          <t>14/07/2026</t>
        </is>
      </c>
      <c r="AE907" t="inlineStr">
        <is>
          <t>16/07/2026</t>
        </is>
      </c>
      <c r="AF907" t="inlineStr">
        <is>
          <t>Prazo premissa VALE</t>
        </is>
      </c>
    </row>
    <row r="908">
      <c r="A908">
        <v>906</v>
      </c>
      <c r="B908">
        <v>1</v>
      </c>
      <c r="C908" t="inlineStr">
        <is>
          <t>1.2</t>
        </is>
      </c>
      <c r="D908" t="inlineStr">
        <is>
          <t>A44</t>
        </is>
      </c>
      <c r="F908" t="inlineStr">
        <is>
          <t>EMPA</t>
        </is>
      </c>
      <c r="G908" t="inlineStr">
        <is>
          <t>CLP-013</t>
        </is>
      </c>
      <c r="H908" t="inlineStr">
        <is>
          <t>Protocolo</t>
        </is>
      </c>
      <c r="I908">
        <v>4</v>
      </c>
      <c r="J908" t="inlineStr">
        <is>
          <t>Terraplenagem</t>
        </is>
      </c>
      <c r="K908" t="inlineStr">
        <is>
          <t>4.9</t>
        </is>
      </c>
      <c r="L908" t="inlineStr">
        <is>
          <t>ADME</t>
        </is>
      </c>
      <c r="M908" t="inlineStr">
        <is>
          <t>Assoreamento</t>
        </is>
      </c>
      <c r="N908" t="inlineStr">
        <is>
          <t>Assoreamento de material para o pé do ADME</t>
        </is>
      </c>
      <c r="O908" t="inlineStr">
        <is>
          <t>Tipo A</t>
        </is>
      </c>
      <c r="P908" t="inlineStr">
        <is>
          <t>19+790</t>
        </is>
      </c>
      <c r="Q908" t="inlineStr">
        <is>
          <t>19+790</t>
        </is>
      </c>
      <c r="R908" t="inlineStr">
        <is>
          <t>Aberta</t>
        </is>
      </c>
      <c r="T908" t="inlineStr">
        <is>
          <t>Aline Batista</t>
        </is>
      </c>
      <c r="U908" t="inlineStr">
        <is>
          <t>24/04/2026</t>
        </is>
      </c>
      <c r="V908" t="inlineStr">
        <is>
          <t>01/05/2026</t>
        </is>
      </c>
      <c r="W908">
        <v>40</v>
      </c>
      <c r="AA908" t="inlineStr">
        <is>
          <t>Aberta 30-60 dias</t>
        </is>
      </c>
      <c r="AB908" t="inlineStr">
        <is>
          <t>EMPA</t>
        </is>
      </c>
      <c r="AC908" t="inlineStr">
        <is>
          <t>Aline</t>
        </is>
      </c>
      <c r="AD908" t="inlineStr">
        <is>
          <t>07/07/2026</t>
        </is>
      </c>
      <c r="AE908" t="inlineStr">
        <is>
          <t>12/07/2026</t>
        </is>
      </c>
      <c r="AF908" t="inlineStr">
        <is>
          <t>Cronograma de Pendências EMPA</t>
        </is>
      </c>
    </row>
    <row r="909">
      <c r="A909">
        <v>907</v>
      </c>
      <c r="B909">
        <v>1</v>
      </c>
      <c r="C909" t="inlineStr">
        <is>
          <t>1.2</t>
        </is>
      </c>
      <c r="D909" t="inlineStr">
        <is>
          <t>A44</t>
        </is>
      </c>
      <c r="F909" t="inlineStr">
        <is>
          <t>EMPA</t>
        </is>
      </c>
      <c r="G909" t="inlineStr">
        <is>
          <t>CLP-013</t>
        </is>
      </c>
      <c r="H909" t="inlineStr">
        <is>
          <t>Manifestação</t>
        </is>
      </c>
      <c r="I909">
        <v>4</v>
      </c>
      <c r="J909" t="inlineStr">
        <is>
          <t>Terraplenagem</t>
        </is>
      </c>
      <c r="K909" t="inlineStr">
        <is>
          <t>4.9</t>
        </is>
      </c>
      <c r="L909" t="inlineStr">
        <is>
          <t>Talude</t>
        </is>
      </c>
      <c r="M909" t="inlineStr">
        <is>
          <t>Erosões</t>
        </is>
      </c>
      <c r="N909" t="inlineStr">
        <is>
          <t>Deslizamento de material, falta de hidrossemeadura , remoção de material do pé da ADME.</t>
        </is>
      </c>
      <c r="O909" t="inlineStr">
        <is>
          <t>Tipo A</t>
        </is>
      </c>
      <c r="P909" t="inlineStr">
        <is>
          <t>19+880</t>
        </is>
      </c>
      <c r="Q909" t="inlineStr">
        <is>
          <t>19+880</t>
        </is>
      </c>
      <c r="R909" t="inlineStr">
        <is>
          <t>Aberta</t>
        </is>
      </c>
      <c r="T909" t="inlineStr">
        <is>
          <t>Aline Batista</t>
        </is>
      </c>
      <c r="U909" t="inlineStr">
        <is>
          <t>24/04/2026</t>
        </is>
      </c>
      <c r="V909" t="inlineStr">
        <is>
          <t>01/05/2026</t>
        </is>
      </c>
      <c r="W909">
        <v>40</v>
      </c>
      <c r="AA909" t="inlineStr">
        <is>
          <t>Aberta 30-60 dias</t>
        </is>
      </c>
      <c r="AB909" t="inlineStr">
        <is>
          <t>EMPA</t>
        </is>
      </c>
      <c r="AC909" t="inlineStr">
        <is>
          <t>Aline</t>
        </is>
      </c>
      <c r="AD909" t="inlineStr">
        <is>
          <t>07/07/2026</t>
        </is>
      </c>
      <c r="AE909" t="inlineStr">
        <is>
          <t>12/07/2026</t>
        </is>
      </c>
      <c r="AF909" t="inlineStr">
        <is>
          <t>Cronograma de Pendências EMPA</t>
        </is>
      </c>
    </row>
    <row r="910">
      <c r="A910">
        <v>908</v>
      </c>
      <c r="B910">
        <v>1</v>
      </c>
      <c r="C910" t="inlineStr">
        <is>
          <t>1.2</t>
        </is>
      </c>
      <c r="D910" t="inlineStr">
        <is>
          <t>C38</t>
        </is>
      </c>
      <c r="F910" t="inlineStr">
        <is>
          <t>EMPA</t>
        </is>
      </c>
      <c r="G910" t="inlineStr">
        <is>
          <t>CLP-013</t>
        </is>
      </c>
      <c r="H910" t="inlineStr">
        <is>
          <t>Fiscalização</t>
        </is>
      </c>
      <c r="I910">
        <v>4</v>
      </c>
      <c r="J910" t="inlineStr">
        <is>
          <t>Terraplenagem</t>
        </is>
      </c>
      <c r="K910" t="inlineStr">
        <is>
          <t>4.11</t>
        </is>
      </c>
      <c r="L910" t="inlineStr">
        <is>
          <t>Talude</t>
        </is>
      </c>
      <c r="M910" t="inlineStr">
        <is>
          <t>Erosões</t>
        </is>
      </c>
      <c r="N910" t="inlineStr">
        <is>
          <t>Processos erosivos e deslizamentos de taludes.</t>
        </is>
      </c>
      <c r="O910" t="inlineStr">
        <is>
          <t>Tipo A</t>
        </is>
      </c>
      <c r="P910" t="inlineStr">
        <is>
          <t>16+800</t>
        </is>
      </c>
      <c r="Q910" t="inlineStr">
        <is>
          <t>20+300</t>
        </is>
      </c>
      <c r="R910" t="inlineStr">
        <is>
          <t>Aberta</t>
        </is>
      </c>
      <c r="T910" t="inlineStr">
        <is>
          <t>Aline Batista</t>
        </is>
      </c>
      <c r="U910" t="inlineStr">
        <is>
          <t>24/04/2026</t>
        </is>
      </c>
      <c r="V910" t="inlineStr">
        <is>
          <t>01/05/2026</t>
        </is>
      </c>
      <c r="W910">
        <v>40</v>
      </c>
      <c r="AA910" t="inlineStr">
        <is>
          <t>Aberta 30-60 dias</t>
        </is>
      </c>
      <c r="AB910" t="inlineStr">
        <is>
          <t>EMPA</t>
        </is>
      </c>
      <c r="AC910" t="inlineStr">
        <is>
          <t>Enriko</t>
        </is>
      </c>
      <c r="AE910" t="inlineStr">
        <is>
          <t>18/04/2026</t>
        </is>
      </c>
      <c r="AF910" t="inlineStr">
        <is>
          <t>Enriko protocolar o retorno à VALE com a evidência / Qualidade dar baixa na pendência</t>
        </is>
      </c>
    </row>
    <row r="911">
      <c r="A911">
        <v>909</v>
      </c>
      <c r="B911">
        <v>1</v>
      </c>
      <c r="C911" t="inlineStr">
        <is>
          <t>1.2</t>
        </is>
      </c>
      <c r="D911" t="inlineStr">
        <is>
          <t>A40</t>
        </is>
      </c>
      <c r="E911" t="inlineStr">
        <is>
          <t>LE</t>
        </is>
      </c>
      <c r="F911" t="inlineStr">
        <is>
          <t>EMPA</t>
        </is>
      </c>
      <c r="G911" t="inlineStr">
        <is>
          <t>CLP-013</t>
        </is>
      </c>
      <c r="H911" t="inlineStr">
        <is>
          <t>Protocolo</t>
        </is>
      </c>
      <c r="I911">
        <v>4</v>
      </c>
      <c r="J911" t="inlineStr">
        <is>
          <t>Terraplenagem</t>
        </is>
      </c>
      <c r="K911" t="inlineStr">
        <is>
          <t>4.11</t>
        </is>
      </c>
      <c r="L911" t="inlineStr">
        <is>
          <t>Talude</t>
        </is>
      </c>
      <c r="M911" t="inlineStr">
        <is>
          <t>Revegetação/ Hidrossemeadura</t>
        </is>
      </c>
      <c r="N911" t="inlineStr">
        <is>
          <t>Pendente repasse de hidrossemeadura</t>
        </is>
      </c>
      <c r="O911" t="inlineStr">
        <is>
          <t>Tipo A</t>
        </is>
      </c>
      <c r="P911" t="inlineStr">
        <is>
          <t>19+680</t>
        </is>
      </c>
      <c r="Q911" t="inlineStr">
        <is>
          <t>19+650</t>
        </is>
      </c>
      <c r="R911" t="inlineStr">
        <is>
          <t>Aberta</t>
        </is>
      </c>
      <c r="T911" t="inlineStr">
        <is>
          <t>Aline Batista</t>
        </is>
      </c>
      <c r="U911" t="inlineStr">
        <is>
          <t>24/04/2026</t>
        </is>
      </c>
      <c r="V911" t="inlineStr">
        <is>
          <t>01/05/2026</t>
        </is>
      </c>
      <c r="W911">
        <v>40</v>
      </c>
      <c r="AA911" t="inlineStr">
        <is>
          <t>Aberta 30-60 dias</t>
        </is>
      </c>
      <c r="AB911" t="inlineStr">
        <is>
          <t>EMPA</t>
        </is>
      </c>
      <c r="AC911" t="inlineStr">
        <is>
          <t>Aline</t>
        </is>
      </c>
      <c r="AD911" t="inlineStr">
        <is>
          <t>01/07/2026</t>
        </is>
      </c>
      <c r="AE911" t="inlineStr">
        <is>
          <t>05/07/2026</t>
        </is>
      </c>
      <c r="AF911" t="inlineStr">
        <is>
          <t>Prazo Premissa VALE</t>
        </is>
      </c>
    </row>
    <row r="912">
      <c r="A912">
        <v>910</v>
      </c>
      <c r="B912">
        <v>1</v>
      </c>
      <c r="C912" t="inlineStr">
        <is>
          <t>1.2</t>
        </is>
      </c>
      <c r="D912" t="inlineStr">
        <is>
          <t>A40</t>
        </is>
      </c>
      <c r="E912" t="inlineStr">
        <is>
          <t>LE</t>
        </is>
      </c>
      <c r="F912" t="inlineStr">
        <is>
          <t>EMPA</t>
        </is>
      </c>
      <c r="G912" t="inlineStr">
        <is>
          <t>CLP-013</t>
        </is>
      </c>
      <c r="H912" t="inlineStr">
        <is>
          <t>Protocolo</t>
        </is>
      </c>
      <c r="I912">
        <v>4</v>
      </c>
      <c r="J912" t="inlineStr">
        <is>
          <t>Terraplenagem</t>
        </is>
      </c>
      <c r="K912" t="inlineStr">
        <is>
          <t>4.11</t>
        </is>
      </c>
      <c r="L912" t="inlineStr">
        <is>
          <t>Talude</t>
        </is>
      </c>
      <c r="M912" t="inlineStr">
        <is>
          <t>Revegetação/ Hidrossemeadura</t>
        </is>
      </c>
      <c r="N912" t="inlineStr">
        <is>
          <t>Pendente repasse de hidrossemeadura</t>
        </is>
      </c>
      <c r="O912" t="inlineStr">
        <is>
          <t>Tipo A</t>
        </is>
      </c>
      <c r="P912" t="inlineStr">
        <is>
          <t>20+250</t>
        </is>
      </c>
      <c r="Q912" t="inlineStr">
        <is>
          <t>20+250</t>
        </is>
      </c>
      <c r="R912" t="inlineStr">
        <is>
          <t>Aberta</t>
        </is>
      </c>
      <c r="T912" t="inlineStr">
        <is>
          <t>Aline Batista</t>
        </is>
      </c>
      <c r="U912" t="inlineStr">
        <is>
          <t>24/04/2026</t>
        </is>
      </c>
      <c r="V912" t="inlineStr">
        <is>
          <t>01/05/2026</t>
        </is>
      </c>
      <c r="W912">
        <v>40</v>
      </c>
      <c r="AA912" t="inlineStr">
        <is>
          <t>Aberta 30-60 dias</t>
        </is>
      </c>
      <c r="AB912" t="inlineStr">
        <is>
          <t>EMPA</t>
        </is>
      </c>
      <c r="AC912" t="inlineStr">
        <is>
          <t>Aline</t>
        </is>
      </c>
      <c r="AD912" t="inlineStr">
        <is>
          <t>14/07/2026</t>
        </is>
      </c>
      <c r="AE912" t="inlineStr">
        <is>
          <t>16/07/2026</t>
        </is>
      </c>
      <c r="AF912" t="inlineStr">
        <is>
          <t>Prazo premissa VALE</t>
        </is>
      </c>
    </row>
    <row r="913">
      <c r="A913">
        <v>911</v>
      </c>
      <c r="B913">
        <v>1</v>
      </c>
      <c r="C913" t="inlineStr">
        <is>
          <t>1.2</t>
        </is>
      </c>
      <c r="D913" t="inlineStr">
        <is>
          <t>C40</t>
        </is>
      </c>
      <c r="E913" t="inlineStr">
        <is>
          <t>LE</t>
        </is>
      </c>
      <c r="F913" t="inlineStr">
        <is>
          <t>EMPA</t>
        </is>
      </c>
      <c r="G913" t="inlineStr">
        <is>
          <t>CLP-013</t>
        </is>
      </c>
      <c r="H913" t="inlineStr">
        <is>
          <t>Protocolo</t>
        </is>
      </c>
      <c r="I913">
        <v>4</v>
      </c>
      <c r="J913" t="inlineStr">
        <is>
          <t>Terraplenagem</t>
        </is>
      </c>
      <c r="K913" t="inlineStr">
        <is>
          <t>4.11</t>
        </is>
      </c>
      <c r="L913" t="inlineStr">
        <is>
          <t>Talude</t>
        </is>
      </c>
      <c r="M913" t="inlineStr">
        <is>
          <t>Erosões</t>
        </is>
      </c>
      <c r="N913" t="inlineStr">
        <is>
          <t>Presença de erosão e repasse de hidrossemeadura</t>
        </is>
      </c>
      <c r="O913" t="inlineStr">
        <is>
          <t>Tipo A</t>
        </is>
      </c>
      <c r="P913" t="inlineStr">
        <is>
          <t>19+740</t>
        </is>
      </c>
      <c r="Q913" t="inlineStr">
        <is>
          <t>19+740</t>
        </is>
      </c>
      <c r="R913" t="inlineStr">
        <is>
          <t>Aberta</t>
        </is>
      </c>
      <c r="T913" t="inlineStr">
        <is>
          <t>Aline Batista</t>
        </is>
      </c>
      <c r="U913" t="inlineStr">
        <is>
          <t>24/04/2026</t>
        </is>
      </c>
      <c r="V913" t="inlineStr">
        <is>
          <t>01/05/2026</t>
        </is>
      </c>
      <c r="W913">
        <v>40</v>
      </c>
      <c r="AA913" t="inlineStr">
        <is>
          <t>Aberta 30-60 dias</t>
        </is>
      </c>
      <c r="AB913" t="inlineStr">
        <is>
          <t>EMPA</t>
        </is>
      </c>
      <c r="AC913" t="inlineStr">
        <is>
          <t>Aline</t>
        </is>
      </c>
      <c r="AD913" t="inlineStr">
        <is>
          <t>07/07/2026</t>
        </is>
      </c>
      <c r="AE913" t="inlineStr">
        <is>
          <t>12/07/2026</t>
        </is>
      </c>
      <c r="AF913" t="inlineStr">
        <is>
          <t>Cronograma de Pendências EMPA</t>
        </is>
      </c>
    </row>
    <row r="914">
      <c r="A914">
        <v>912</v>
      </c>
      <c r="B914">
        <v>1</v>
      </c>
      <c r="C914" t="inlineStr">
        <is>
          <t>1.2</t>
        </is>
      </c>
      <c r="D914" t="inlineStr">
        <is>
          <t>C40</t>
        </is>
      </c>
      <c r="E914" t="inlineStr">
        <is>
          <t>LE</t>
        </is>
      </c>
      <c r="F914" t="inlineStr">
        <is>
          <t>EMPA</t>
        </is>
      </c>
      <c r="G914" t="inlineStr">
        <is>
          <t>CLP-013</t>
        </is>
      </c>
      <c r="H914" t="inlineStr">
        <is>
          <t>Protocolo</t>
        </is>
      </c>
      <c r="I914">
        <v>4</v>
      </c>
      <c r="J914" t="inlineStr">
        <is>
          <t>Terraplenagem</t>
        </is>
      </c>
      <c r="K914" t="inlineStr">
        <is>
          <t>4.11</t>
        </is>
      </c>
      <c r="L914" t="inlineStr">
        <is>
          <t>Talude</t>
        </is>
      </c>
      <c r="M914" t="inlineStr">
        <is>
          <t>Revegetação/ Hidrossemeadura</t>
        </is>
      </c>
      <c r="N914" t="inlineStr">
        <is>
          <t>Aplicação de hidrossemeadura sem coveamento e sobre ravinas</t>
        </is>
      </c>
      <c r="O914" t="inlineStr">
        <is>
          <t>Tipo A</t>
        </is>
      </c>
      <c r="P914" t="inlineStr">
        <is>
          <t>19+580</t>
        </is>
      </c>
      <c r="Q914" t="inlineStr">
        <is>
          <t>19+580</t>
        </is>
      </c>
      <c r="R914" t="inlineStr">
        <is>
          <t>Aberta</t>
        </is>
      </c>
      <c r="T914" t="inlineStr">
        <is>
          <t>Aline Batista</t>
        </is>
      </c>
      <c r="U914" t="inlineStr">
        <is>
          <t>24/04/2026</t>
        </is>
      </c>
      <c r="V914" t="inlineStr">
        <is>
          <t>01/05/2026</t>
        </is>
      </c>
      <c r="W914">
        <v>40</v>
      </c>
      <c r="AA914" t="inlineStr">
        <is>
          <t>Aberta 30-60 dias</t>
        </is>
      </c>
      <c r="AB914" t="inlineStr">
        <is>
          <t>EMPA</t>
        </is>
      </c>
      <c r="AC914" t="inlineStr">
        <is>
          <t>Aline</t>
        </is>
      </c>
      <c r="AD914" t="inlineStr">
        <is>
          <t>01/07/2026</t>
        </is>
      </c>
      <c r="AE914" t="inlineStr">
        <is>
          <t>05/07/2026</t>
        </is>
      </c>
      <c r="AF914" t="inlineStr">
        <is>
          <t>Cronograma de Pendências EMPA</t>
        </is>
      </c>
    </row>
    <row r="915">
      <c r="A915">
        <v>913</v>
      </c>
      <c r="B915">
        <v>1</v>
      </c>
      <c r="C915" t="inlineStr">
        <is>
          <t>1.2</t>
        </is>
      </c>
      <c r="D915" t="inlineStr">
        <is>
          <t>C40</t>
        </is>
      </c>
      <c r="E915" t="inlineStr">
        <is>
          <t>LE</t>
        </is>
      </c>
      <c r="F915" t="inlineStr">
        <is>
          <t>EMPA</t>
        </is>
      </c>
      <c r="G915" t="inlineStr">
        <is>
          <t>CLP-013</t>
        </is>
      </c>
      <c r="H915" t="inlineStr">
        <is>
          <t>Protocolo</t>
        </is>
      </c>
      <c r="I915">
        <v>4</v>
      </c>
      <c r="J915" t="inlineStr">
        <is>
          <t>Terraplenagem</t>
        </is>
      </c>
      <c r="K915" t="inlineStr">
        <is>
          <t>4.11</t>
        </is>
      </c>
      <c r="L915" t="inlineStr">
        <is>
          <t>Acesso</t>
        </is>
      </c>
      <c r="M915" t="inlineStr">
        <is>
          <t>Erosões</t>
        </is>
      </c>
      <c r="N915" t="inlineStr">
        <is>
          <t>Presença de erosão do pé de aterro</t>
        </is>
      </c>
      <c r="O915" t="inlineStr">
        <is>
          <t>Tipo A</t>
        </is>
      </c>
      <c r="P915" t="inlineStr">
        <is>
          <t>19+580</t>
        </is>
      </c>
      <c r="Q915" t="inlineStr">
        <is>
          <t>20+580</t>
        </is>
      </c>
      <c r="R915" t="inlineStr">
        <is>
          <t>Aberta</t>
        </is>
      </c>
      <c r="T915" t="inlineStr">
        <is>
          <t>Aline Batista</t>
        </is>
      </c>
      <c r="U915" t="inlineStr">
        <is>
          <t>24/04/2026</t>
        </is>
      </c>
      <c r="V915" t="inlineStr">
        <is>
          <t>01/05/2026</t>
        </is>
      </c>
      <c r="W915">
        <v>40</v>
      </c>
      <c r="AA915" t="inlineStr">
        <is>
          <t>Aberta 30-60 dias</t>
        </is>
      </c>
      <c r="AB915" t="inlineStr">
        <is>
          <t>EMPA</t>
        </is>
      </c>
      <c r="AC915" t="inlineStr">
        <is>
          <t>Aline</t>
        </is>
      </c>
      <c r="AD915" t="inlineStr">
        <is>
          <t>01/07/2026</t>
        </is>
      </c>
      <c r="AE915" t="inlineStr">
        <is>
          <t>05/07/2026</t>
        </is>
      </c>
      <c r="AF915" t="inlineStr">
        <is>
          <t>Cronograma de Pendências EMPA</t>
        </is>
      </c>
    </row>
    <row r="916">
      <c r="A916">
        <v>914</v>
      </c>
      <c r="B916">
        <v>1</v>
      </c>
      <c r="C916" t="inlineStr">
        <is>
          <t>1.2</t>
        </is>
      </c>
      <c r="D916" t="inlineStr">
        <is>
          <t>C40</t>
        </is>
      </c>
      <c r="E916" t="inlineStr">
        <is>
          <t>LD</t>
        </is>
      </c>
      <c r="F916" t="inlineStr">
        <is>
          <t>EMPA</t>
        </is>
      </c>
      <c r="G916" t="inlineStr">
        <is>
          <t>CLP-013</t>
        </is>
      </c>
      <c r="H916" t="inlineStr">
        <is>
          <t>Protocolo</t>
        </is>
      </c>
      <c r="I916">
        <v>4</v>
      </c>
      <c r="J916" t="inlineStr">
        <is>
          <t>Terraplenagem</t>
        </is>
      </c>
      <c r="K916" t="inlineStr">
        <is>
          <t>4.11</t>
        </is>
      </c>
      <c r="L916" t="inlineStr">
        <is>
          <t>Talude</t>
        </is>
      </c>
      <c r="M916" t="inlineStr">
        <is>
          <t>Revegetação/ Hidrossemeadura</t>
        </is>
      </c>
      <c r="N916" t="inlineStr">
        <is>
          <t>Aplicação de hidrossemeadura e assoreamento no pé do talude</t>
        </is>
      </c>
      <c r="O916" t="inlineStr">
        <is>
          <t>Tipo A</t>
        </is>
      </c>
      <c r="P916" t="inlineStr">
        <is>
          <t>19+580</t>
        </is>
      </c>
      <c r="Q916" t="inlineStr">
        <is>
          <t>19+700</t>
        </is>
      </c>
      <c r="R916" t="inlineStr">
        <is>
          <t>Aberta</t>
        </is>
      </c>
      <c r="T916" t="inlineStr">
        <is>
          <t>Aline Batista</t>
        </is>
      </c>
      <c r="U916" t="inlineStr">
        <is>
          <t>24/04/2026</t>
        </is>
      </c>
      <c r="V916" t="inlineStr">
        <is>
          <t>01/05/2026</t>
        </is>
      </c>
      <c r="W916">
        <v>40</v>
      </c>
      <c r="AA916" t="inlineStr">
        <is>
          <t>Aberta 30-60 dias</t>
        </is>
      </c>
      <c r="AB916" t="inlineStr">
        <is>
          <t>EMPA</t>
        </is>
      </c>
      <c r="AC916" t="inlineStr">
        <is>
          <t>Aline</t>
        </is>
      </c>
      <c r="AD916" t="inlineStr">
        <is>
          <t>01/07/2026</t>
        </is>
      </c>
      <c r="AE916" t="inlineStr">
        <is>
          <t>05/07/2026</t>
        </is>
      </c>
      <c r="AF916" t="inlineStr">
        <is>
          <t>Cronograma de Pendências EMPA</t>
        </is>
      </c>
    </row>
    <row r="917">
      <c r="A917">
        <v>915</v>
      </c>
      <c r="B917">
        <v>1</v>
      </c>
      <c r="C917" t="inlineStr">
        <is>
          <t>1.2</t>
        </is>
      </c>
      <c r="D917" t="inlineStr">
        <is>
          <t>C40</t>
        </is>
      </c>
      <c r="E917" t="inlineStr">
        <is>
          <t>LD</t>
        </is>
      </c>
      <c r="F917" t="inlineStr">
        <is>
          <t>EMPA</t>
        </is>
      </c>
      <c r="G917" t="inlineStr">
        <is>
          <t>CLP-013</t>
        </is>
      </c>
      <c r="H917" t="inlineStr">
        <is>
          <t>Protocolo</t>
        </is>
      </c>
      <c r="I917">
        <v>4</v>
      </c>
      <c r="J917" t="inlineStr">
        <is>
          <t>Terraplenagem</t>
        </is>
      </c>
      <c r="K917" t="inlineStr">
        <is>
          <t>4.11</t>
        </is>
      </c>
      <c r="L917" t="inlineStr">
        <is>
          <t>Talude</t>
        </is>
      </c>
      <c r="M917" t="inlineStr">
        <is>
          <t>Erosões</t>
        </is>
      </c>
      <c r="N917" t="inlineStr">
        <is>
          <t xml:space="preserve">Presença de erosão </t>
        </is>
      </c>
      <c r="O917" t="inlineStr">
        <is>
          <t>Tipo A</t>
        </is>
      </c>
      <c r="P917" t="inlineStr">
        <is>
          <t>20+000</t>
        </is>
      </c>
      <c r="Q917" t="inlineStr">
        <is>
          <t>20+000</t>
        </is>
      </c>
      <c r="R917" t="inlineStr">
        <is>
          <t>Aberta</t>
        </is>
      </c>
      <c r="T917" t="inlineStr">
        <is>
          <t>Aline Batista</t>
        </is>
      </c>
      <c r="U917" t="inlineStr">
        <is>
          <t>24/04/2026</t>
        </is>
      </c>
      <c r="V917" t="inlineStr">
        <is>
          <t>01/05/2026</t>
        </is>
      </c>
      <c r="W917">
        <v>40</v>
      </c>
      <c r="AA917" t="inlineStr">
        <is>
          <t>Aberta 30-60 dias</t>
        </is>
      </c>
      <c r="AB917" t="inlineStr">
        <is>
          <t>EMPA</t>
        </is>
      </c>
      <c r="AC917" t="inlineStr">
        <is>
          <t>Aline</t>
        </is>
      </c>
      <c r="AD917" t="inlineStr">
        <is>
          <t>01/07/2026</t>
        </is>
      </c>
      <c r="AE917" t="inlineStr">
        <is>
          <t>05/07/2026</t>
        </is>
      </c>
      <c r="AF917" t="inlineStr">
        <is>
          <t>Prazo premissa VALE</t>
        </is>
      </c>
    </row>
    <row r="918">
      <c r="A918">
        <v>916</v>
      </c>
      <c r="B918">
        <v>1</v>
      </c>
      <c r="C918" t="inlineStr">
        <is>
          <t>1.2</t>
        </is>
      </c>
      <c r="D918" t="inlineStr">
        <is>
          <t>A44</t>
        </is>
      </c>
      <c r="E918" t="inlineStr">
        <is>
          <t>LD</t>
        </is>
      </c>
      <c r="F918" t="inlineStr">
        <is>
          <t>EMPA</t>
        </is>
      </c>
      <c r="G918" t="inlineStr">
        <is>
          <t>CLP-013</t>
        </is>
      </c>
      <c r="H918" t="inlineStr">
        <is>
          <t>Protocolo</t>
        </is>
      </c>
      <c r="I918">
        <v>4</v>
      </c>
      <c r="J918" t="inlineStr">
        <is>
          <t>Terraplenagem</t>
        </is>
      </c>
      <c r="K918" t="inlineStr">
        <is>
          <t>4.11</t>
        </is>
      </c>
      <c r="L918" t="inlineStr">
        <is>
          <t>Talude</t>
        </is>
      </c>
      <c r="M918" t="inlineStr">
        <is>
          <t>Erosões</t>
        </is>
      </c>
      <c r="N918" t="inlineStr">
        <is>
          <t xml:space="preserve">Presença de erosão </t>
        </is>
      </c>
      <c r="O918" t="inlineStr">
        <is>
          <t>Tipo A</t>
        </is>
      </c>
      <c r="P918" t="inlineStr">
        <is>
          <t>20+740</t>
        </is>
      </c>
      <c r="Q918" t="inlineStr">
        <is>
          <t>20+740</t>
        </is>
      </c>
      <c r="R918" t="inlineStr">
        <is>
          <t>Aberta</t>
        </is>
      </c>
      <c r="T918" t="inlineStr">
        <is>
          <t>Aline Batista</t>
        </is>
      </c>
      <c r="U918" t="inlineStr">
        <is>
          <t>24/04/2026</t>
        </is>
      </c>
      <c r="V918" t="inlineStr">
        <is>
          <t>01/05/2026</t>
        </is>
      </c>
      <c r="W918">
        <v>40</v>
      </c>
      <c r="AA918" t="inlineStr">
        <is>
          <t>Aberta 30-60 dias</t>
        </is>
      </c>
      <c r="AB918" t="inlineStr">
        <is>
          <t>EMPA</t>
        </is>
      </c>
      <c r="AC918" t="inlineStr">
        <is>
          <t>Aline</t>
        </is>
      </c>
      <c r="AD918" t="inlineStr">
        <is>
          <t>01/07/2026</t>
        </is>
      </c>
      <c r="AE918" t="inlineStr">
        <is>
          <t>05/07/2026</t>
        </is>
      </c>
      <c r="AF918" t="inlineStr">
        <is>
          <t>Prazo premissa VALE</t>
        </is>
      </c>
    </row>
    <row r="919">
      <c r="A919">
        <v>917</v>
      </c>
      <c r="B919">
        <v>1</v>
      </c>
      <c r="C919" t="inlineStr">
        <is>
          <t>1.2</t>
        </is>
      </c>
      <c r="D919" t="inlineStr">
        <is>
          <t>C40</t>
        </is>
      </c>
      <c r="E919" t="inlineStr">
        <is>
          <t>LD/JE</t>
        </is>
      </c>
      <c r="F919" t="inlineStr">
        <is>
          <t>EMPA</t>
        </is>
      </c>
      <c r="G919" t="inlineStr">
        <is>
          <t>CLP-013</t>
        </is>
      </c>
      <c r="H919" t="inlineStr">
        <is>
          <t>Protocolo</t>
        </is>
      </c>
      <c r="I919">
        <v>4</v>
      </c>
      <c r="J919" t="inlineStr">
        <is>
          <t>Terraplenagem</t>
        </is>
      </c>
      <c r="K919" t="inlineStr">
        <is>
          <t>4.11</t>
        </is>
      </c>
      <c r="L919" t="inlineStr">
        <is>
          <t>Talude geral</t>
        </is>
      </c>
      <c r="M919" t="inlineStr">
        <is>
          <t>Revegetação/ Hidrossemeadura</t>
        </is>
      </c>
      <c r="N919" t="inlineStr">
        <is>
          <t>Repasse de hidrossemeadura e presença de erosão.</t>
        </is>
      </c>
      <c r="O919" t="inlineStr">
        <is>
          <t>Tipo A</t>
        </is>
      </c>
      <c r="P919" t="inlineStr">
        <is>
          <t>19+600</t>
        </is>
      </c>
      <c r="Q919" t="inlineStr">
        <is>
          <t>21+020</t>
        </is>
      </c>
      <c r="R919" t="inlineStr">
        <is>
          <t>Aberta</t>
        </is>
      </c>
      <c r="T919" t="inlineStr">
        <is>
          <t>Aline Batista</t>
        </is>
      </c>
      <c r="U919" t="inlineStr">
        <is>
          <t>24/04/2026</t>
        </is>
      </c>
      <c r="V919" t="inlineStr">
        <is>
          <t>01/05/2026</t>
        </is>
      </c>
      <c r="W919">
        <v>40</v>
      </c>
      <c r="AA919" t="inlineStr">
        <is>
          <t>Aberta 30-60 dias</t>
        </is>
      </c>
      <c r="AB919" t="inlineStr">
        <is>
          <t>EMPA</t>
        </is>
      </c>
      <c r="AC919" t="inlineStr">
        <is>
          <t>Aline</t>
        </is>
      </c>
      <c r="AD919" t="inlineStr">
        <is>
          <t>01/07/2026</t>
        </is>
      </c>
      <c r="AE919" t="inlineStr">
        <is>
          <t>05/07/2026</t>
        </is>
      </c>
      <c r="AF919" t="inlineStr">
        <is>
          <t>Cronograma de Pendências EMPA</t>
        </is>
      </c>
    </row>
    <row r="920">
      <c r="A920">
        <v>918</v>
      </c>
      <c r="B920">
        <v>1</v>
      </c>
      <c r="C920" t="inlineStr">
        <is>
          <t>1.2</t>
        </is>
      </c>
      <c r="D920" t="inlineStr">
        <is>
          <t>A44</t>
        </is>
      </c>
      <c r="E920" t="inlineStr">
        <is>
          <t>LD</t>
        </is>
      </c>
      <c r="F920" t="inlineStr">
        <is>
          <t>EMPA</t>
        </is>
      </c>
      <c r="G920" t="inlineStr">
        <is>
          <t>CLP-013</t>
        </is>
      </c>
      <c r="H920" t="inlineStr">
        <is>
          <t>Protocolo</t>
        </is>
      </c>
      <c r="I920">
        <v>4</v>
      </c>
      <c r="J920" t="inlineStr">
        <is>
          <t>Terraplenagem</t>
        </is>
      </c>
      <c r="K920" t="inlineStr">
        <is>
          <t>4.11</t>
        </is>
      </c>
      <c r="L920" t="inlineStr">
        <is>
          <t>Acesso</t>
        </is>
      </c>
      <c r="M920" t="inlineStr">
        <is>
          <t>Erosões</t>
        </is>
      </c>
      <c r="N920" t="inlineStr">
        <is>
          <t>Presença de erosão do pé de aterro</t>
        </is>
      </c>
      <c r="O920" t="inlineStr">
        <is>
          <t>Tipo A</t>
        </is>
      </c>
      <c r="P920" t="inlineStr">
        <is>
          <t>20+900</t>
        </is>
      </c>
      <c r="Q920" t="inlineStr">
        <is>
          <t>20+900</t>
        </is>
      </c>
      <c r="R920" t="inlineStr">
        <is>
          <t>Aberta</t>
        </is>
      </c>
      <c r="T920" t="inlineStr">
        <is>
          <t>Aline Batista</t>
        </is>
      </c>
      <c r="U920" t="inlineStr">
        <is>
          <t>24/04/2026</t>
        </is>
      </c>
      <c r="V920" t="inlineStr">
        <is>
          <t>01/05/2026</t>
        </is>
      </c>
      <c r="W920">
        <v>40</v>
      </c>
      <c r="AA920" t="inlineStr">
        <is>
          <t>Aberta 30-60 dias</t>
        </is>
      </c>
      <c r="AB920" t="inlineStr">
        <is>
          <t>EMPA</t>
        </is>
      </c>
      <c r="AC920" t="inlineStr">
        <is>
          <t>Aline</t>
        </is>
      </c>
      <c r="AD920" t="inlineStr">
        <is>
          <t>01/07/2026</t>
        </is>
      </c>
      <c r="AE920" t="inlineStr">
        <is>
          <t>05/07/2026</t>
        </is>
      </c>
      <c r="AF920" t="inlineStr">
        <is>
          <t>Prazo premissa VALE</t>
        </is>
      </c>
    </row>
    <row r="921">
      <c r="A921">
        <v>919</v>
      </c>
      <c r="B921">
        <v>1</v>
      </c>
      <c r="C921" t="inlineStr">
        <is>
          <t>1.2</t>
        </is>
      </c>
      <c r="D921" t="inlineStr">
        <is>
          <t>C41</t>
        </is>
      </c>
      <c r="F921" t="inlineStr">
        <is>
          <t>EMPA</t>
        </is>
      </c>
      <c r="G921" t="inlineStr">
        <is>
          <t>CLP-013</t>
        </is>
      </c>
      <c r="H921" t="inlineStr">
        <is>
          <t>Fiscalização</t>
        </is>
      </c>
      <c r="I921">
        <v>4</v>
      </c>
      <c r="J921" t="inlineStr">
        <is>
          <t>Terraplenagem</t>
        </is>
      </c>
      <c r="K921" t="inlineStr">
        <is>
          <t>4.11</t>
        </is>
      </c>
      <c r="L921" t="inlineStr">
        <is>
          <t xml:space="preserve">Talude </t>
        </is>
      </c>
      <c r="M921" t="inlineStr">
        <is>
          <t>Erosões</t>
        </is>
      </c>
      <c r="N921" t="inlineStr">
        <is>
          <t>Erosões em talude de banqueta.</t>
        </is>
      </c>
      <c r="O921" t="inlineStr">
        <is>
          <t>Tipo A</t>
        </is>
      </c>
      <c r="P921" t="inlineStr">
        <is>
          <t>21+000</t>
        </is>
      </c>
      <c r="Q921" t="inlineStr">
        <is>
          <t>21+460</t>
        </is>
      </c>
      <c r="R921" t="inlineStr">
        <is>
          <t>Aberta</t>
        </is>
      </c>
      <c r="T921" t="inlineStr">
        <is>
          <t>Aline Batista</t>
        </is>
      </c>
      <c r="U921" t="inlineStr">
        <is>
          <t>24/04/2026</t>
        </is>
      </c>
      <c r="V921" t="inlineStr">
        <is>
          <t>01/05/2026</t>
        </is>
      </c>
      <c r="W921">
        <v>40</v>
      </c>
      <c r="AA921" t="inlineStr">
        <is>
          <t>Aberta 30-60 dias</t>
        </is>
      </c>
      <c r="AB921" t="inlineStr">
        <is>
          <t>EMPA</t>
        </is>
      </c>
      <c r="AC921" t="inlineStr">
        <is>
          <t>Aline</t>
        </is>
      </c>
      <c r="AD921" t="inlineStr">
        <is>
          <t>07/07/2026</t>
        </is>
      </c>
      <c r="AE921" t="inlineStr">
        <is>
          <t>12/07/2026</t>
        </is>
      </c>
      <c r="AF921" t="inlineStr">
        <is>
          <t>Cronograma de Pendências EMPA</t>
        </is>
      </c>
    </row>
    <row r="922">
      <c r="A922">
        <v>920</v>
      </c>
      <c r="B922">
        <v>1</v>
      </c>
      <c r="C922" t="inlineStr">
        <is>
          <t>1.2</t>
        </is>
      </c>
      <c r="D922" t="inlineStr">
        <is>
          <t>C41</t>
        </is>
      </c>
      <c r="F922" t="inlineStr">
        <is>
          <t>EMPA</t>
        </is>
      </c>
      <c r="G922" t="inlineStr">
        <is>
          <t>CLP-013</t>
        </is>
      </c>
      <c r="H922" t="inlineStr">
        <is>
          <t>Fiscalização/Implantação</t>
        </is>
      </c>
      <c r="I922">
        <v>4</v>
      </c>
      <c r="J922" t="inlineStr">
        <is>
          <t>Terraplenagem</t>
        </is>
      </c>
      <c r="K922" t="inlineStr">
        <is>
          <t>4.11</t>
        </is>
      </c>
      <c r="L922" t="inlineStr">
        <is>
          <t xml:space="preserve">Talude </t>
        </is>
      </c>
      <c r="M922" t="inlineStr">
        <is>
          <t>Erosões</t>
        </is>
      </c>
      <c r="N922" t="inlineStr">
        <is>
          <t>Erosão em talude e sublastro contaminado.</t>
        </is>
      </c>
      <c r="O922" t="inlineStr">
        <is>
          <t>Tipo A</t>
        </is>
      </c>
      <c r="P922" t="inlineStr">
        <is>
          <t>21+360</t>
        </is>
      </c>
      <c r="Q922" t="inlineStr">
        <is>
          <t>21+360</t>
        </is>
      </c>
      <c r="R922" t="inlineStr">
        <is>
          <t>Aberta</t>
        </is>
      </c>
      <c r="T922" t="inlineStr">
        <is>
          <t>Aline Batista</t>
        </is>
      </c>
      <c r="U922" t="inlineStr">
        <is>
          <t>24/04/2026</t>
        </is>
      </c>
      <c r="V922" t="inlineStr">
        <is>
          <t>01/05/2026</t>
        </is>
      </c>
      <c r="W922">
        <v>40</v>
      </c>
      <c r="AA922" t="inlineStr">
        <is>
          <t>Aberta 30-60 dias</t>
        </is>
      </c>
      <c r="AB922" t="inlineStr">
        <is>
          <t>EMPA</t>
        </is>
      </c>
      <c r="AC922" t="inlineStr">
        <is>
          <t>Aline</t>
        </is>
      </c>
      <c r="AD922" t="inlineStr">
        <is>
          <t>07/07/2026</t>
        </is>
      </c>
      <c r="AE922" t="inlineStr">
        <is>
          <t>12/07/2026</t>
        </is>
      </c>
      <c r="AF922" t="inlineStr">
        <is>
          <t>Cronograma de Pendências EMPA</t>
        </is>
      </c>
    </row>
    <row r="923">
      <c r="A923">
        <v>921</v>
      </c>
      <c r="B923">
        <v>1</v>
      </c>
      <c r="C923" t="inlineStr">
        <is>
          <t>1.2</t>
        </is>
      </c>
      <c r="D923" t="inlineStr">
        <is>
          <t>C40</t>
        </is>
      </c>
      <c r="F923" t="inlineStr">
        <is>
          <t>EMPA</t>
        </is>
      </c>
      <c r="G923" t="inlineStr">
        <is>
          <t>CLP-013</t>
        </is>
      </c>
      <c r="H923" t="inlineStr">
        <is>
          <t>Fiscalização</t>
        </is>
      </c>
      <c r="I923">
        <v>4</v>
      </c>
      <c r="J923" t="inlineStr">
        <is>
          <t>Terraplenagem</t>
        </is>
      </c>
      <c r="K923" t="inlineStr">
        <is>
          <t>4.20</t>
        </is>
      </c>
      <c r="L923" t="inlineStr">
        <is>
          <t>Plataforma</t>
        </is>
      </c>
      <c r="M923" t="inlineStr">
        <is>
          <t>Erosões</t>
        </is>
      </c>
      <c r="N923" t="inlineStr">
        <is>
          <t>Processo erosivo com sublastro contaminado.</t>
        </is>
      </c>
      <c r="O923" t="inlineStr">
        <is>
          <t>Tipo A</t>
        </is>
      </c>
      <c r="P923" t="inlineStr">
        <is>
          <t>20+260</t>
        </is>
      </c>
      <c r="Q923" t="inlineStr">
        <is>
          <t>20+610</t>
        </is>
      </c>
      <c r="R923" t="inlineStr">
        <is>
          <t>Aberta</t>
        </is>
      </c>
      <c r="T923" t="inlineStr">
        <is>
          <t>Aline Batista</t>
        </is>
      </c>
      <c r="U923" t="inlineStr">
        <is>
          <t>24/04/2026</t>
        </is>
      </c>
      <c r="V923" t="inlineStr">
        <is>
          <t>01/05/2026</t>
        </is>
      </c>
      <c r="W923">
        <v>40</v>
      </c>
      <c r="AA923" t="inlineStr">
        <is>
          <t>Aberta 30-60 dias</t>
        </is>
      </c>
      <c r="AB923" t="inlineStr">
        <is>
          <t>EMPA</t>
        </is>
      </c>
      <c r="AC923" t="inlineStr">
        <is>
          <t>Aline</t>
        </is>
      </c>
      <c r="AD923" t="inlineStr">
        <is>
          <t>01/07/2026</t>
        </is>
      </c>
      <c r="AE923" t="inlineStr">
        <is>
          <t>05/07/2026</t>
        </is>
      </c>
      <c r="AF923" t="inlineStr">
        <is>
          <t>Prazo premissa VALE</t>
        </is>
      </c>
    </row>
    <row r="924">
      <c r="A924">
        <v>922</v>
      </c>
      <c r="B924">
        <v>1</v>
      </c>
      <c r="C924" t="inlineStr">
        <is>
          <t>1.2</t>
        </is>
      </c>
      <c r="D924" t="inlineStr">
        <is>
          <t>C41</t>
        </is>
      </c>
      <c r="F924" t="inlineStr">
        <is>
          <t>EMPA</t>
        </is>
      </c>
      <c r="G924" t="inlineStr">
        <is>
          <t>CLP-013</t>
        </is>
      </c>
      <c r="H924" t="inlineStr">
        <is>
          <t>Fiscalização</t>
        </is>
      </c>
      <c r="I924">
        <v>4</v>
      </c>
      <c r="J924" t="inlineStr">
        <is>
          <t>Terraplenagem</t>
        </is>
      </c>
      <c r="K924" t="inlineStr">
        <is>
          <t>4.20</t>
        </is>
      </c>
      <c r="L924" t="inlineStr">
        <is>
          <t>Plataforma</t>
        </is>
      </c>
      <c r="M924" t="inlineStr">
        <is>
          <t>Erosões</t>
        </is>
      </c>
      <c r="N924" t="inlineStr">
        <is>
          <t>Processo erosivo com sublastro contaminado.</t>
        </is>
      </c>
      <c r="O924" t="inlineStr">
        <is>
          <t>Tipo A</t>
        </is>
      </c>
      <c r="P924" t="inlineStr">
        <is>
          <t>21+000</t>
        </is>
      </c>
      <c r="Q924" t="inlineStr">
        <is>
          <t>21+460</t>
        </is>
      </c>
      <c r="R924" t="inlineStr">
        <is>
          <t>Aberta</t>
        </is>
      </c>
      <c r="T924" t="inlineStr">
        <is>
          <t>Aline Batista</t>
        </is>
      </c>
      <c r="U924" t="inlineStr">
        <is>
          <t>24/04/2026</t>
        </is>
      </c>
      <c r="V924" t="inlineStr">
        <is>
          <t>01/05/2026</t>
        </is>
      </c>
      <c r="W924">
        <v>40</v>
      </c>
      <c r="AA924" t="inlineStr">
        <is>
          <t>Aberta 30-60 dias</t>
        </is>
      </c>
      <c r="AB924" t="inlineStr">
        <is>
          <t>EMPA</t>
        </is>
      </c>
      <c r="AC924" t="inlineStr">
        <is>
          <t>Aline</t>
        </is>
      </c>
      <c r="AD924" t="inlineStr">
        <is>
          <t>07/07/2026</t>
        </is>
      </c>
      <c r="AE924" t="inlineStr">
        <is>
          <t>12/07/2026</t>
        </is>
      </c>
      <c r="AF924" t="inlineStr">
        <is>
          <t>Cronograma de Pendências EMPA</t>
        </is>
      </c>
    </row>
    <row r="925">
      <c r="A925">
        <v>923</v>
      </c>
      <c r="B925">
        <v>1</v>
      </c>
      <c r="C925" t="inlineStr">
        <is>
          <t>1.2</t>
        </is>
      </c>
      <c r="D925" t="inlineStr">
        <is>
          <t>C40</t>
        </is>
      </c>
      <c r="E925" t="inlineStr">
        <is>
          <t>LE/LD</t>
        </is>
      </c>
      <c r="F925" t="inlineStr">
        <is>
          <t>EMPA</t>
        </is>
      </c>
      <c r="G925" t="inlineStr">
        <is>
          <t>CLP-013</t>
        </is>
      </c>
      <c r="H925" t="inlineStr">
        <is>
          <t>Protocolo</t>
        </is>
      </c>
      <c r="I925">
        <v>4</v>
      </c>
      <c r="J925" t="inlineStr">
        <is>
          <t>Terraplenagem</t>
        </is>
      </c>
      <c r="K925" t="inlineStr">
        <is>
          <t>4.19</t>
        </is>
      </c>
      <c r="L925" t="inlineStr">
        <is>
          <t>Plataforma</t>
        </is>
      </c>
      <c r="M925" t="inlineStr">
        <is>
          <t>Material Solto</t>
        </is>
      </c>
      <c r="N925" t="inlineStr">
        <is>
          <t>Material proveniente de proteção de acesso disposto inadequadamente sobre a plataforma.</t>
        </is>
      </c>
      <c r="O925" t="inlineStr">
        <is>
          <t>Tipo C</t>
        </is>
      </c>
      <c r="P925" t="inlineStr">
        <is>
          <t>19+570</t>
        </is>
      </c>
      <c r="Q925" t="inlineStr">
        <is>
          <t>19+570</t>
        </is>
      </c>
      <c r="R925" t="inlineStr">
        <is>
          <t>Aberta</t>
        </is>
      </c>
      <c r="T925" t="inlineStr">
        <is>
          <t>Aline Batista</t>
        </is>
      </c>
      <c r="U925" t="inlineStr">
        <is>
          <t>24/04/2026</t>
        </is>
      </c>
      <c r="V925" t="inlineStr">
        <is>
          <t>24/05/2026</t>
        </is>
      </c>
      <c r="W925">
        <v>17</v>
      </c>
      <c r="AA925" t="inlineStr">
        <is>
          <t>Aberta 30-60 dias</t>
        </is>
      </c>
      <c r="AB925" t="inlineStr">
        <is>
          <t>EMPA</t>
        </is>
      </c>
      <c r="AC925" t="inlineStr">
        <is>
          <t>Aline</t>
        </is>
      </c>
      <c r="AD925" t="inlineStr">
        <is>
          <t>01/07/2026</t>
        </is>
      </c>
      <c r="AE925" t="inlineStr">
        <is>
          <t>05/07/2026</t>
        </is>
      </c>
      <c r="AF925" t="inlineStr">
        <is>
          <t>Prazo Premissa VALE</t>
        </is>
      </c>
    </row>
    <row r="926">
      <c r="A926">
        <v>924</v>
      </c>
      <c r="B926">
        <v>1</v>
      </c>
      <c r="C926" t="inlineStr">
        <is>
          <t>1.2</t>
        </is>
      </c>
      <c r="D926" t="inlineStr">
        <is>
          <t>C40</t>
        </is>
      </c>
      <c r="E926" t="inlineStr">
        <is>
          <t>LE/LD</t>
        </is>
      </c>
      <c r="F926" t="inlineStr">
        <is>
          <t>EMPA</t>
        </is>
      </c>
      <c r="G926" t="inlineStr">
        <is>
          <t>CLP-013</t>
        </is>
      </c>
      <c r="H926" t="inlineStr">
        <is>
          <t>Protocolo</t>
        </is>
      </c>
      <c r="I926">
        <v>4</v>
      </c>
      <c r="J926" t="inlineStr">
        <is>
          <t>Terraplenagem</t>
        </is>
      </c>
      <c r="K926" t="inlineStr">
        <is>
          <t>4.20</t>
        </is>
      </c>
      <c r="L926" t="inlineStr">
        <is>
          <t>Plataforma</t>
        </is>
      </c>
      <c r="M926" t="inlineStr">
        <is>
          <t>Material Solto</t>
        </is>
      </c>
      <c r="N926" t="inlineStr">
        <is>
          <t>Material proveniente de proteção de acesso disposto inadequadamente sobre a plataforma.</t>
        </is>
      </c>
      <c r="O926" t="inlineStr">
        <is>
          <t>Tipo C</t>
        </is>
      </c>
      <c r="P926" t="inlineStr">
        <is>
          <t>20+250</t>
        </is>
      </c>
      <c r="Q926" t="inlineStr">
        <is>
          <t>20+250</t>
        </is>
      </c>
      <c r="R926" t="inlineStr">
        <is>
          <t>Aberta</t>
        </is>
      </c>
      <c r="T926" t="inlineStr">
        <is>
          <t>Aline Batista</t>
        </is>
      </c>
      <c r="U926" t="inlineStr">
        <is>
          <t>24/04/2026</t>
        </is>
      </c>
      <c r="V926" t="inlineStr">
        <is>
          <t>24/05/2026</t>
        </is>
      </c>
      <c r="W926">
        <v>17</v>
      </c>
      <c r="AA926" t="inlineStr">
        <is>
          <t>Aberta 30-60 dias</t>
        </is>
      </c>
      <c r="AB926" t="inlineStr">
        <is>
          <t>EMPA</t>
        </is>
      </c>
      <c r="AC926" t="inlineStr">
        <is>
          <t>Aline</t>
        </is>
      </c>
      <c r="AD926" t="inlineStr">
        <is>
          <t>01/07/2026</t>
        </is>
      </c>
      <c r="AE926" t="inlineStr">
        <is>
          <t>05/07/2026</t>
        </is>
      </c>
      <c r="AF926" t="inlineStr">
        <is>
          <t>Prazo premissa VALE</t>
        </is>
      </c>
    </row>
    <row r="927">
      <c r="A927">
        <v>925</v>
      </c>
      <c r="B927">
        <v>1</v>
      </c>
      <c r="C927" t="inlineStr">
        <is>
          <t>1.2</t>
        </is>
      </c>
      <c r="D927" t="inlineStr">
        <is>
          <t>C40</t>
        </is>
      </c>
      <c r="E927" t="inlineStr">
        <is>
          <t>LE</t>
        </is>
      </c>
      <c r="F927" t="inlineStr">
        <is>
          <t>EMPA</t>
        </is>
      </c>
      <c r="G927" t="inlineStr">
        <is>
          <t>CLP-013</t>
        </is>
      </c>
      <c r="H927" t="inlineStr">
        <is>
          <t>Protocolo</t>
        </is>
      </c>
      <c r="I927">
        <v>6</v>
      </c>
      <c r="J927" t="inlineStr">
        <is>
          <t>Drenagem Superficial</t>
        </is>
      </c>
      <c r="K927" t="inlineStr">
        <is>
          <t>6.1</t>
        </is>
      </c>
      <c r="L927" t="inlineStr">
        <is>
          <t>Drenagem superficial</t>
        </is>
      </c>
      <c r="M927" t="inlineStr">
        <is>
          <t>Dispositivo não executado</t>
        </is>
      </c>
      <c r="N927" t="inlineStr">
        <is>
          <t>Pendente conclusão do dispositivo de drenagem</t>
        </is>
      </c>
      <c r="O927" t="inlineStr">
        <is>
          <t>Tipo A</t>
        </is>
      </c>
      <c r="P927" t="inlineStr">
        <is>
          <t>19+200</t>
        </is>
      </c>
      <c r="Q927" t="inlineStr">
        <is>
          <t>19+200</t>
        </is>
      </c>
      <c r="R927" t="inlineStr">
        <is>
          <t>Aberta</t>
        </is>
      </c>
      <c r="T927" t="inlineStr">
        <is>
          <t>Aline Batista</t>
        </is>
      </c>
      <c r="U927" t="inlineStr">
        <is>
          <t>24/04/2026</t>
        </is>
      </c>
      <c r="V927" t="inlineStr">
        <is>
          <t>01/05/2026</t>
        </is>
      </c>
      <c r="W927">
        <v>40</v>
      </c>
      <c r="AA927" t="inlineStr">
        <is>
          <t>Aberta 30-60 dias</t>
        </is>
      </c>
      <c r="AB927" t="inlineStr">
        <is>
          <t>EMPA</t>
        </is>
      </c>
      <c r="AC927" t="inlineStr">
        <is>
          <t>Aline</t>
        </is>
      </c>
      <c r="AD927" t="inlineStr">
        <is>
          <t>01/07/2026</t>
        </is>
      </c>
      <c r="AE927" t="inlineStr">
        <is>
          <t>05/07/2026</t>
        </is>
      </c>
      <c r="AF927" t="inlineStr">
        <is>
          <t>Prazo Premissa VALE</t>
        </is>
      </c>
    </row>
    <row r="928">
      <c r="A928">
        <v>926</v>
      </c>
      <c r="B928">
        <v>1</v>
      </c>
      <c r="C928" t="inlineStr">
        <is>
          <t>1.2</t>
        </is>
      </c>
      <c r="D928" t="inlineStr">
        <is>
          <t>C39</t>
        </is>
      </c>
      <c r="E928" t="inlineStr">
        <is>
          <t>LE</t>
        </is>
      </c>
      <c r="F928" t="inlineStr">
        <is>
          <t>EMPA</t>
        </is>
      </c>
      <c r="G928" t="inlineStr">
        <is>
          <t>CLP-013</t>
        </is>
      </c>
      <c r="H928" t="inlineStr">
        <is>
          <t>Protocolo</t>
        </is>
      </c>
      <c r="I928">
        <v>6</v>
      </c>
      <c r="J928" t="inlineStr">
        <is>
          <t>Drenagem Superficial</t>
        </is>
      </c>
      <c r="K928" t="inlineStr">
        <is>
          <t>6.1</t>
        </is>
      </c>
      <c r="L928" t="inlineStr">
        <is>
          <t>VPC</t>
        </is>
      </c>
      <c r="M928" t="inlineStr">
        <is>
          <t>Dispositivo não executado</t>
        </is>
      </c>
      <c r="N928" t="inlineStr">
        <is>
          <t>Pendente conclusão do dispositivo de drenagem</t>
        </is>
      </c>
      <c r="O928" t="inlineStr">
        <is>
          <t>Tipo A</t>
        </is>
      </c>
      <c r="P928" t="inlineStr">
        <is>
          <t>19+460</t>
        </is>
      </c>
      <c r="Q928" t="inlineStr">
        <is>
          <t>19+460</t>
        </is>
      </c>
      <c r="R928" t="inlineStr">
        <is>
          <t>Aberta</t>
        </is>
      </c>
      <c r="T928" t="inlineStr">
        <is>
          <t>Aline Batista</t>
        </is>
      </c>
      <c r="U928" t="inlineStr">
        <is>
          <t>24/04/2026</t>
        </is>
      </c>
      <c r="V928" t="inlineStr">
        <is>
          <t>01/05/2026</t>
        </is>
      </c>
      <c r="W928">
        <v>40</v>
      </c>
      <c r="AA928" t="inlineStr">
        <is>
          <t>Aberta 30-60 dias</t>
        </is>
      </c>
      <c r="AB928" t="inlineStr">
        <is>
          <t>EMPA</t>
        </is>
      </c>
      <c r="AC928" t="inlineStr">
        <is>
          <t>Aline</t>
        </is>
      </c>
      <c r="AD928" t="inlineStr">
        <is>
          <t>01/07/2026</t>
        </is>
      </c>
      <c r="AE928" t="inlineStr">
        <is>
          <t>05/07/2026</t>
        </is>
      </c>
      <c r="AF928" t="inlineStr">
        <is>
          <t>Prazo Premissa VALE</t>
        </is>
      </c>
    </row>
    <row r="929">
      <c r="A929">
        <v>927</v>
      </c>
      <c r="B929">
        <v>1</v>
      </c>
      <c r="C929" t="inlineStr">
        <is>
          <t>1.2</t>
        </is>
      </c>
      <c r="D929" t="inlineStr">
        <is>
          <t>C40</t>
        </is>
      </c>
      <c r="E929" t="inlineStr">
        <is>
          <t>LE/LD</t>
        </is>
      </c>
      <c r="F929" t="inlineStr">
        <is>
          <t>EMPA</t>
        </is>
      </c>
      <c r="G929" t="inlineStr">
        <is>
          <t>CLP-013</t>
        </is>
      </c>
      <c r="H929" t="inlineStr">
        <is>
          <t>Protocolo</t>
        </is>
      </c>
      <c r="I929">
        <v>6</v>
      </c>
      <c r="J929" t="inlineStr">
        <is>
          <t>Drenagem Superficial</t>
        </is>
      </c>
      <c r="K929" t="inlineStr">
        <is>
          <t>6.1</t>
        </is>
      </c>
      <c r="L929" t="inlineStr">
        <is>
          <t>VPC</t>
        </is>
      </c>
      <c r="M929" t="inlineStr">
        <is>
          <t>Dispositivo não executado</t>
        </is>
      </c>
      <c r="N929" t="inlineStr">
        <is>
          <t>VPC não executada.</t>
        </is>
      </c>
      <c r="O929" t="inlineStr">
        <is>
          <t>Tipo A</t>
        </is>
      </c>
      <c r="P929" t="inlineStr">
        <is>
          <t>20+540</t>
        </is>
      </c>
      <c r="Q929" t="inlineStr">
        <is>
          <t>20+540</t>
        </is>
      </c>
      <c r="R929" t="inlineStr">
        <is>
          <t>Aberta</t>
        </is>
      </c>
      <c r="T929" t="inlineStr">
        <is>
          <t>Aline Batista</t>
        </is>
      </c>
      <c r="U929" t="inlineStr">
        <is>
          <t>24/04/2026</t>
        </is>
      </c>
      <c r="V929" t="inlineStr">
        <is>
          <t>01/05/2026</t>
        </is>
      </c>
      <c r="W929">
        <v>40</v>
      </c>
      <c r="AA929" t="inlineStr">
        <is>
          <t>Aberta 30-60 dias</t>
        </is>
      </c>
      <c r="AB929" t="inlineStr">
        <is>
          <t>EMPA</t>
        </is>
      </c>
      <c r="AC929" t="inlineStr">
        <is>
          <t>Aline</t>
        </is>
      </c>
      <c r="AD929" t="inlineStr">
        <is>
          <t>01/07/2026</t>
        </is>
      </c>
      <c r="AE929" t="inlineStr">
        <is>
          <t>05/07/2026</t>
        </is>
      </c>
      <c r="AF929" t="inlineStr">
        <is>
          <t>Prazo premissa VALE</t>
        </is>
      </c>
    </row>
    <row r="930">
      <c r="A930">
        <v>928</v>
      </c>
      <c r="B930">
        <v>1</v>
      </c>
      <c r="C930" t="inlineStr">
        <is>
          <t>1.2</t>
        </is>
      </c>
      <c r="D930" t="inlineStr">
        <is>
          <t>C39</t>
        </is>
      </c>
      <c r="E930" t="inlineStr">
        <is>
          <t>-</t>
        </is>
      </c>
      <c r="F930" t="inlineStr">
        <is>
          <t>EMPA</t>
        </is>
      </c>
      <c r="G930" t="inlineStr">
        <is>
          <t>CLP-013</t>
        </is>
      </c>
      <c r="H930" t="inlineStr">
        <is>
          <t>Protocolo</t>
        </is>
      </c>
      <c r="I930">
        <v>6</v>
      </c>
      <c r="J930" t="inlineStr">
        <is>
          <t>Drenagem Superficial</t>
        </is>
      </c>
      <c r="K930" t="inlineStr">
        <is>
          <t>6.1</t>
        </is>
      </c>
      <c r="L930" t="inlineStr">
        <is>
          <t>TSS</t>
        </is>
      </c>
      <c r="M930" t="inlineStr">
        <is>
          <t>Dispositivo não executado</t>
        </is>
      </c>
      <c r="N930" t="inlineStr">
        <is>
          <t>TSS não executado.</t>
        </is>
      </c>
      <c r="O930" t="inlineStr">
        <is>
          <t>Tipo A</t>
        </is>
      </c>
      <c r="P930" t="inlineStr">
        <is>
          <t>19+474</t>
        </is>
      </c>
      <c r="Q930" t="inlineStr">
        <is>
          <t>19+474</t>
        </is>
      </c>
      <c r="R930" t="inlineStr">
        <is>
          <t>Aberta</t>
        </is>
      </c>
      <c r="T930" t="inlineStr">
        <is>
          <t>Aline Batista</t>
        </is>
      </c>
      <c r="U930" t="inlineStr">
        <is>
          <t>24/04/2026</t>
        </is>
      </c>
      <c r="V930" t="inlineStr">
        <is>
          <t>01/05/2026</t>
        </is>
      </c>
      <c r="W930">
        <v>40</v>
      </c>
      <c r="AA930" t="inlineStr">
        <is>
          <t>Aberta 30-60 dias</t>
        </is>
      </c>
      <c r="AB930" t="inlineStr">
        <is>
          <t>EMPA</t>
        </is>
      </c>
      <c r="AC930" t="inlineStr">
        <is>
          <t>Aline</t>
        </is>
      </c>
      <c r="AD930" t="inlineStr">
        <is>
          <t>01/07/2026</t>
        </is>
      </c>
      <c r="AE930" t="inlineStr">
        <is>
          <t>05/07/2026</t>
        </is>
      </c>
      <c r="AF930" t="inlineStr">
        <is>
          <t>Prazo Premissa VALE</t>
        </is>
      </c>
    </row>
    <row r="931">
      <c r="A931">
        <v>929</v>
      </c>
      <c r="B931">
        <v>1</v>
      </c>
      <c r="C931" t="inlineStr">
        <is>
          <t>1.2</t>
        </is>
      </c>
      <c r="D931" t="inlineStr">
        <is>
          <t>C39</t>
        </is>
      </c>
      <c r="E931" t="inlineStr">
        <is>
          <t>LE</t>
        </is>
      </c>
      <c r="F931" t="inlineStr">
        <is>
          <t>EMPA</t>
        </is>
      </c>
      <c r="G931" t="inlineStr">
        <is>
          <t>CLP-013</t>
        </is>
      </c>
      <c r="H931" t="inlineStr">
        <is>
          <t>Protocolo</t>
        </is>
      </c>
      <c r="I931">
        <v>6</v>
      </c>
      <c r="J931" t="inlineStr">
        <is>
          <t>Drenagem Superficial</t>
        </is>
      </c>
      <c r="K931" t="inlineStr">
        <is>
          <t>6.1</t>
        </is>
      </c>
      <c r="L931" t="inlineStr">
        <is>
          <t>VPC</t>
        </is>
      </c>
      <c r="M931" t="inlineStr">
        <is>
          <t>Dispositivo não executado</t>
        </is>
      </c>
      <c r="N931" t="inlineStr">
        <is>
          <t>VPC 01  não executada.</t>
        </is>
      </c>
      <c r="O931" t="inlineStr">
        <is>
          <t>Tipo A</t>
        </is>
      </c>
      <c r="P931" t="inlineStr">
        <is>
          <t>19+474</t>
        </is>
      </c>
      <c r="Q931" t="inlineStr">
        <is>
          <t>19+474</t>
        </is>
      </c>
      <c r="R931" t="inlineStr">
        <is>
          <t>Aberta</t>
        </is>
      </c>
      <c r="T931" t="inlineStr">
        <is>
          <t>Aline Batista</t>
        </is>
      </c>
      <c r="U931" t="inlineStr">
        <is>
          <t>24/04/2026</t>
        </is>
      </c>
      <c r="V931" t="inlineStr">
        <is>
          <t>01/05/2026</t>
        </is>
      </c>
      <c r="W931">
        <v>40</v>
      </c>
      <c r="AA931" t="inlineStr">
        <is>
          <t>Aberta 30-60 dias</t>
        </is>
      </c>
      <c r="AB931" t="inlineStr">
        <is>
          <t>EMPA</t>
        </is>
      </c>
      <c r="AC931" t="inlineStr">
        <is>
          <t>Aline</t>
        </is>
      </c>
      <c r="AD931" t="inlineStr">
        <is>
          <t>01/07/2026</t>
        </is>
      </c>
      <c r="AE931" t="inlineStr">
        <is>
          <t>05/07/2026</t>
        </is>
      </c>
      <c r="AF931" t="inlineStr">
        <is>
          <t>Prazo Premissa VALE</t>
        </is>
      </c>
    </row>
    <row r="932">
      <c r="A932">
        <v>930</v>
      </c>
      <c r="B932">
        <v>1</v>
      </c>
      <c r="C932" t="inlineStr">
        <is>
          <t>1.2</t>
        </is>
      </c>
      <c r="D932" t="inlineStr">
        <is>
          <t>C39</t>
        </is>
      </c>
      <c r="E932" t="inlineStr">
        <is>
          <t>LD</t>
        </is>
      </c>
      <c r="F932" t="inlineStr">
        <is>
          <t>EMPA</t>
        </is>
      </c>
      <c r="G932" t="inlineStr">
        <is>
          <t>CLP-013</t>
        </is>
      </c>
      <c r="H932" t="inlineStr">
        <is>
          <t>Protocolo</t>
        </is>
      </c>
      <c r="I932">
        <v>6</v>
      </c>
      <c r="J932" t="inlineStr">
        <is>
          <t>Drenagem Superficial</t>
        </is>
      </c>
      <c r="K932" t="inlineStr">
        <is>
          <t>6.1</t>
        </is>
      </c>
      <c r="L932" t="inlineStr">
        <is>
          <t>VPC</t>
        </is>
      </c>
      <c r="M932" t="inlineStr">
        <is>
          <t>Dispositivo não executado</t>
        </is>
      </c>
      <c r="N932" t="inlineStr">
        <is>
          <t>VPC 01  não executada.</t>
        </is>
      </c>
      <c r="O932" t="inlineStr">
        <is>
          <t>Tipo A</t>
        </is>
      </c>
      <c r="P932" t="inlineStr">
        <is>
          <t>19+474</t>
        </is>
      </c>
      <c r="Q932" t="inlineStr">
        <is>
          <t>19+474</t>
        </is>
      </c>
      <c r="R932" t="inlineStr">
        <is>
          <t>Aberta</t>
        </is>
      </c>
      <c r="T932" t="inlineStr">
        <is>
          <t>Aline Batista</t>
        </is>
      </c>
      <c r="U932" t="inlineStr">
        <is>
          <t>24/04/2026</t>
        </is>
      </c>
      <c r="V932" t="inlineStr">
        <is>
          <t>01/05/2026</t>
        </is>
      </c>
      <c r="W932">
        <v>40</v>
      </c>
      <c r="AA932" t="inlineStr">
        <is>
          <t>Aberta 30-60 dias</t>
        </is>
      </c>
      <c r="AB932" t="inlineStr">
        <is>
          <t>EMPA</t>
        </is>
      </c>
      <c r="AC932" t="inlineStr">
        <is>
          <t>Aline</t>
        </is>
      </c>
      <c r="AD932" t="inlineStr">
        <is>
          <t>01/07/2026</t>
        </is>
      </c>
      <c r="AE932" t="inlineStr">
        <is>
          <t>05/07/2026</t>
        </is>
      </c>
      <c r="AF932" t="inlineStr">
        <is>
          <t>Prazo Premissa VALE</t>
        </is>
      </c>
    </row>
    <row r="933">
      <c r="A933">
        <v>931</v>
      </c>
      <c r="B933">
        <v>1</v>
      </c>
      <c r="C933" t="inlineStr">
        <is>
          <t>1.2</t>
        </is>
      </c>
      <c r="D933" t="inlineStr">
        <is>
          <t>C39</t>
        </is>
      </c>
      <c r="E933" t="inlineStr">
        <is>
          <t>LD</t>
        </is>
      </c>
      <c r="F933" t="inlineStr">
        <is>
          <t>EMPA</t>
        </is>
      </c>
      <c r="G933" t="inlineStr">
        <is>
          <t>CLP-013</t>
        </is>
      </c>
      <c r="H933" t="inlineStr">
        <is>
          <t>Protocolo</t>
        </is>
      </c>
      <c r="I933">
        <v>6</v>
      </c>
      <c r="J933" t="inlineStr">
        <is>
          <t>Drenagem Superficial</t>
        </is>
      </c>
      <c r="K933" t="inlineStr">
        <is>
          <t>6.1</t>
        </is>
      </c>
      <c r="L933" t="inlineStr">
        <is>
          <t>VPC</t>
        </is>
      </c>
      <c r="M933" t="inlineStr">
        <is>
          <t>Dispositivo não executado</t>
        </is>
      </c>
      <c r="N933" t="inlineStr">
        <is>
          <t>VPC 01  não executada.</t>
        </is>
      </c>
      <c r="O933" t="inlineStr">
        <is>
          <t>Tipo A</t>
        </is>
      </c>
      <c r="P933" t="inlineStr">
        <is>
          <t>19+474</t>
        </is>
      </c>
      <c r="Q933" t="inlineStr">
        <is>
          <t>19+474</t>
        </is>
      </c>
      <c r="R933" t="inlineStr">
        <is>
          <t>Aberta</t>
        </is>
      </c>
      <c r="T933" t="inlineStr">
        <is>
          <t>Aline Batista</t>
        </is>
      </c>
      <c r="U933" t="inlineStr">
        <is>
          <t>24/04/2026</t>
        </is>
      </c>
      <c r="V933" t="inlineStr">
        <is>
          <t>01/05/2026</t>
        </is>
      </c>
      <c r="W933">
        <v>40</v>
      </c>
      <c r="AA933" t="inlineStr">
        <is>
          <t>Aberta 30-60 dias</t>
        </is>
      </c>
      <c r="AB933" t="inlineStr">
        <is>
          <t>EMPA</t>
        </is>
      </c>
      <c r="AC933" t="inlineStr">
        <is>
          <t>Aline</t>
        </is>
      </c>
      <c r="AD933" t="inlineStr">
        <is>
          <t>01/07/2026</t>
        </is>
      </c>
      <c r="AE933" t="inlineStr">
        <is>
          <t>05/07/2026</t>
        </is>
      </c>
      <c r="AF933" t="inlineStr">
        <is>
          <t>Prazo Premissa VALE</t>
        </is>
      </c>
    </row>
    <row r="934">
      <c r="A934">
        <v>932</v>
      </c>
      <c r="B934">
        <v>1</v>
      </c>
      <c r="C934" t="inlineStr">
        <is>
          <t>1.2</t>
        </is>
      </c>
      <c r="D934" t="inlineStr">
        <is>
          <t>C39</t>
        </is>
      </c>
      <c r="E934" t="inlineStr">
        <is>
          <t>LE</t>
        </is>
      </c>
      <c r="F934" t="inlineStr">
        <is>
          <t>EMPA</t>
        </is>
      </c>
      <c r="G934" t="inlineStr">
        <is>
          <t>CLP-013</t>
        </is>
      </c>
      <c r="H934" t="inlineStr">
        <is>
          <t>Protocolo</t>
        </is>
      </c>
      <c r="I934">
        <v>6</v>
      </c>
      <c r="J934" t="inlineStr">
        <is>
          <t>Drenagem Superficial</t>
        </is>
      </c>
      <c r="K934" t="inlineStr">
        <is>
          <t>6.1</t>
        </is>
      </c>
      <c r="L934" t="inlineStr">
        <is>
          <t>VPCD</t>
        </is>
      </c>
      <c r="M934" t="inlineStr">
        <is>
          <t>Dispositivo não executado</t>
        </is>
      </c>
      <c r="N934" t="inlineStr">
        <is>
          <t>VPCD 01  não executada.</t>
        </is>
      </c>
      <c r="O934" t="inlineStr">
        <is>
          <t>Tipo A</t>
        </is>
      </c>
      <c r="P934" t="inlineStr">
        <is>
          <t>19+474</t>
        </is>
      </c>
      <c r="Q934" t="inlineStr">
        <is>
          <t>19+474</t>
        </is>
      </c>
      <c r="R934" t="inlineStr">
        <is>
          <t>Aberta</t>
        </is>
      </c>
      <c r="T934" t="inlineStr">
        <is>
          <t>Aline Batista</t>
        </is>
      </c>
      <c r="U934" t="inlineStr">
        <is>
          <t>24/04/2026</t>
        </is>
      </c>
      <c r="V934" t="inlineStr">
        <is>
          <t>01/05/2026</t>
        </is>
      </c>
      <c r="W934">
        <v>40</v>
      </c>
      <c r="AA934" t="inlineStr">
        <is>
          <t>Aberta 30-60 dias</t>
        </is>
      </c>
      <c r="AB934" t="inlineStr">
        <is>
          <t>EMPA</t>
        </is>
      </c>
      <c r="AC934" t="inlineStr">
        <is>
          <t>Aline</t>
        </is>
      </c>
      <c r="AD934" t="inlineStr">
        <is>
          <t>01/07/2026</t>
        </is>
      </c>
      <c r="AE934" t="inlineStr">
        <is>
          <t>05/07/2026</t>
        </is>
      </c>
      <c r="AF934" t="inlineStr">
        <is>
          <t>Prazo Premissa VALE</t>
        </is>
      </c>
    </row>
    <row r="935">
      <c r="A935">
        <v>933</v>
      </c>
      <c r="B935">
        <v>1</v>
      </c>
      <c r="C935" t="inlineStr">
        <is>
          <t>1.2</t>
        </is>
      </c>
      <c r="D935" t="inlineStr">
        <is>
          <t>A44</t>
        </is>
      </c>
      <c r="E935" t="inlineStr">
        <is>
          <t>LD</t>
        </is>
      </c>
      <c r="F935" t="inlineStr">
        <is>
          <t>EMPA</t>
        </is>
      </c>
      <c r="G935" t="inlineStr">
        <is>
          <t>CLP-013</t>
        </is>
      </c>
      <c r="H935" t="inlineStr">
        <is>
          <t>Protocolo</t>
        </is>
      </c>
      <c r="I935">
        <v>6</v>
      </c>
      <c r="J935" t="inlineStr">
        <is>
          <t>Drenagem Superficial</t>
        </is>
      </c>
      <c r="K935" t="inlineStr">
        <is>
          <t>6.1</t>
        </is>
      </c>
      <c r="L935" t="inlineStr">
        <is>
          <t>VPCD</t>
        </is>
      </c>
      <c r="M935" t="inlineStr">
        <is>
          <t>Dispositivo não executado</t>
        </is>
      </c>
      <c r="N935" t="inlineStr">
        <is>
          <t>VPCD 01  não executada.</t>
        </is>
      </c>
      <c r="O935" t="inlineStr">
        <is>
          <t>Tipo A</t>
        </is>
      </c>
      <c r="P935" t="inlineStr">
        <is>
          <t>20+626</t>
        </is>
      </c>
      <c r="Q935" t="inlineStr">
        <is>
          <t>20+626</t>
        </is>
      </c>
      <c r="R935" t="inlineStr">
        <is>
          <t>Aberta</t>
        </is>
      </c>
      <c r="T935" t="inlineStr">
        <is>
          <t>Aline Batista</t>
        </is>
      </c>
      <c r="U935" t="inlineStr">
        <is>
          <t>24/04/2026</t>
        </is>
      </c>
      <c r="V935" t="inlineStr">
        <is>
          <t>01/05/2026</t>
        </is>
      </c>
      <c r="W935">
        <v>40</v>
      </c>
      <c r="AA935" t="inlineStr">
        <is>
          <t>Aberta 30-60 dias</t>
        </is>
      </c>
      <c r="AB935" t="inlineStr">
        <is>
          <t>EMPA</t>
        </is>
      </c>
      <c r="AC935" t="inlineStr">
        <is>
          <t>Aline</t>
        </is>
      </c>
      <c r="AD935" t="inlineStr">
        <is>
          <t>01/07/2026</t>
        </is>
      </c>
      <c r="AE935" t="inlineStr">
        <is>
          <t>05/07/2026</t>
        </is>
      </c>
      <c r="AF935" t="inlineStr">
        <is>
          <t>Prazo premissa VALE</t>
        </is>
      </c>
    </row>
    <row r="936">
      <c r="A936">
        <v>934</v>
      </c>
      <c r="B936">
        <v>1</v>
      </c>
      <c r="C936" t="inlineStr">
        <is>
          <t>1.2</t>
        </is>
      </c>
      <c r="D936" t="inlineStr">
        <is>
          <t>A44</t>
        </is>
      </c>
      <c r="E936" t="inlineStr">
        <is>
          <t>LD</t>
        </is>
      </c>
      <c r="F936" t="inlineStr">
        <is>
          <t>EMPA</t>
        </is>
      </c>
      <c r="G936" t="inlineStr">
        <is>
          <t>CLP-013</t>
        </is>
      </c>
      <c r="H936" t="inlineStr">
        <is>
          <t>Protocolo</t>
        </is>
      </c>
      <c r="I936">
        <v>6</v>
      </c>
      <c r="J936" t="inlineStr">
        <is>
          <t>Drenagem Superficial</t>
        </is>
      </c>
      <c r="K936" t="inlineStr">
        <is>
          <t>6.1</t>
        </is>
      </c>
      <c r="L936" t="inlineStr">
        <is>
          <t>CZB</t>
        </is>
      </c>
      <c r="M936" t="inlineStr">
        <is>
          <t>Dispositivo não executado</t>
        </is>
      </c>
      <c r="N936" t="inlineStr">
        <is>
          <t>CZB 01  não executada.</t>
        </is>
      </c>
      <c r="O936" t="inlineStr">
        <is>
          <t>Tipo A</t>
        </is>
      </c>
      <c r="P936" t="inlineStr">
        <is>
          <t>20+645</t>
        </is>
      </c>
      <c r="Q936" t="inlineStr">
        <is>
          <t>20+645</t>
        </is>
      </c>
      <c r="R936" t="inlineStr">
        <is>
          <t>Aberta</t>
        </is>
      </c>
      <c r="T936" t="inlineStr">
        <is>
          <t>Aline Batista</t>
        </is>
      </c>
      <c r="U936" t="inlineStr">
        <is>
          <t>24/04/2026</t>
        </is>
      </c>
      <c r="V936" t="inlineStr">
        <is>
          <t>01/05/2026</t>
        </is>
      </c>
      <c r="W936">
        <v>40</v>
      </c>
      <c r="AA936" t="inlineStr">
        <is>
          <t>Aberta 30-60 dias</t>
        </is>
      </c>
      <c r="AB936" t="inlineStr">
        <is>
          <t>EMPA</t>
        </is>
      </c>
      <c r="AC936" t="inlineStr">
        <is>
          <t>Aline</t>
        </is>
      </c>
      <c r="AD936" t="inlineStr">
        <is>
          <t>01/07/2026</t>
        </is>
      </c>
      <c r="AE936" t="inlineStr">
        <is>
          <t>05/07/2026</t>
        </is>
      </c>
      <c r="AF936" t="inlineStr">
        <is>
          <t>Prazo premissa VALE</t>
        </is>
      </c>
    </row>
    <row r="937">
      <c r="A937">
        <v>935</v>
      </c>
      <c r="B937">
        <v>1</v>
      </c>
      <c r="C937" t="inlineStr">
        <is>
          <t>1.2</t>
        </is>
      </c>
      <c r="D937" t="inlineStr">
        <is>
          <t>A44</t>
        </is>
      </c>
      <c r="E937" t="inlineStr">
        <is>
          <t>LD</t>
        </is>
      </c>
      <c r="F937" t="inlineStr">
        <is>
          <t>EMPA</t>
        </is>
      </c>
      <c r="G937" t="inlineStr">
        <is>
          <t>CLP-013</t>
        </is>
      </c>
      <c r="H937" t="inlineStr">
        <is>
          <t>Protocolo</t>
        </is>
      </c>
      <c r="I937">
        <v>6</v>
      </c>
      <c r="J937" t="inlineStr">
        <is>
          <t>Drenagem Superficial</t>
        </is>
      </c>
      <c r="K937" t="inlineStr">
        <is>
          <t>6.1</t>
        </is>
      </c>
      <c r="L937" t="inlineStr">
        <is>
          <t>VPC</t>
        </is>
      </c>
      <c r="M937" t="inlineStr">
        <is>
          <t>Dispositivo não executado</t>
        </is>
      </c>
      <c r="N937" t="inlineStr">
        <is>
          <t>VPC 01  não executada.</t>
        </is>
      </c>
      <c r="O937" t="inlineStr">
        <is>
          <t>Tipo A</t>
        </is>
      </c>
      <c r="P937" t="inlineStr">
        <is>
          <t>20+726</t>
        </is>
      </c>
      <c r="Q937" t="inlineStr">
        <is>
          <t>20+726</t>
        </is>
      </c>
      <c r="R937" t="inlineStr">
        <is>
          <t>Aberta</t>
        </is>
      </c>
      <c r="T937" t="inlineStr">
        <is>
          <t>Aline Batista</t>
        </is>
      </c>
      <c r="U937" t="inlineStr">
        <is>
          <t>24/04/2026</t>
        </is>
      </c>
      <c r="V937" t="inlineStr">
        <is>
          <t>01/05/2026</t>
        </is>
      </c>
      <c r="W937">
        <v>40</v>
      </c>
      <c r="AA937" t="inlineStr">
        <is>
          <t>Aberta 30-60 dias</t>
        </is>
      </c>
      <c r="AB937" t="inlineStr">
        <is>
          <t>EMPA</t>
        </is>
      </c>
      <c r="AC937" t="inlineStr">
        <is>
          <t>Aline</t>
        </is>
      </c>
      <c r="AD937" t="inlineStr">
        <is>
          <t>01/07/2026</t>
        </is>
      </c>
      <c r="AE937" t="inlineStr">
        <is>
          <t>05/07/2026</t>
        </is>
      </c>
      <c r="AF937" t="inlineStr">
        <is>
          <t>Prazo premissa VALE</t>
        </is>
      </c>
    </row>
    <row r="938">
      <c r="A938">
        <v>936</v>
      </c>
      <c r="B938">
        <v>1</v>
      </c>
      <c r="C938" t="inlineStr">
        <is>
          <t>1.2</t>
        </is>
      </c>
      <c r="D938" t="inlineStr">
        <is>
          <t>A44</t>
        </is>
      </c>
      <c r="E938" t="inlineStr">
        <is>
          <t>LD</t>
        </is>
      </c>
      <c r="F938" t="inlineStr">
        <is>
          <t>EMPA</t>
        </is>
      </c>
      <c r="G938" t="inlineStr">
        <is>
          <t>CLP-013</t>
        </is>
      </c>
      <c r="H938" t="inlineStr">
        <is>
          <t>Protocolo</t>
        </is>
      </c>
      <c r="I938">
        <v>6</v>
      </c>
      <c r="J938" t="inlineStr">
        <is>
          <t>Drenagem Superficial</t>
        </is>
      </c>
      <c r="K938" t="inlineStr">
        <is>
          <t>6.1</t>
        </is>
      </c>
      <c r="L938" t="inlineStr">
        <is>
          <t>VPCD</t>
        </is>
      </c>
      <c r="M938" t="inlineStr">
        <is>
          <t>Dispositivo não executado</t>
        </is>
      </c>
      <c r="N938" t="inlineStr">
        <is>
          <t>VPCD 01  não executada.</t>
        </is>
      </c>
      <c r="O938" t="inlineStr">
        <is>
          <t>Tipo A</t>
        </is>
      </c>
      <c r="P938" t="inlineStr">
        <is>
          <t>20+675</t>
        </is>
      </c>
      <c r="Q938" t="inlineStr">
        <is>
          <t>20+675</t>
        </is>
      </c>
      <c r="R938" t="inlineStr">
        <is>
          <t>Aberta</t>
        </is>
      </c>
      <c r="T938" t="inlineStr">
        <is>
          <t>Aline Batista</t>
        </is>
      </c>
      <c r="U938" t="inlineStr">
        <is>
          <t>24/04/2026</t>
        </is>
      </c>
      <c r="V938" t="inlineStr">
        <is>
          <t>01/05/2026</t>
        </is>
      </c>
      <c r="W938">
        <v>40</v>
      </c>
      <c r="AA938" t="inlineStr">
        <is>
          <t>Aberta 30-60 dias</t>
        </is>
      </c>
      <c r="AB938" t="inlineStr">
        <is>
          <t>EMPA</t>
        </is>
      </c>
      <c r="AC938" t="inlineStr">
        <is>
          <t>Aline</t>
        </is>
      </c>
      <c r="AD938" t="inlineStr">
        <is>
          <t>01/07/2026</t>
        </is>
      </c>
      <c r="AE938" t="inlineStr">
        <is>
          <t>05/07/2026</t>
        </is>
      </c>
      <c r="AF938" t="inlineStr">
        <is>
          <t>Prazo premissa VALE</t>
        </is>
      </c>
    </row>
    <row r="939">
      <c r="A939">
        <v>937</v>
      </c>
      <c r="B939">
        <v>1</v>
      </c>
      <c r="C939" t="inlineStr">
        <is>
          <t>1.2</t>
        </is>
      </c>
      <c r="D939" t="inlineStr">
        <is>
          <t>A44</t>
        </is>
      </c>
      <c r="E939" t="inlineStr">
        <is>
          <t>LD</t>
        </is>
      </c>
      <c r="F939" t="inlineStr">
        <is>
          <t>EMPA</t>
        </is>
      </c>
      <c r="G939" t="inlineStr">
        <is>
          <t>CLP-013</t>
        </is>
      </c>
      <c r="H939" t="inlineStr">
        <is>
          <t>Protocolo</t>
        </is>
      </c>
      <c r="I939">
        <v>6</v>
      </c>
      <c r="J939" t="inlineStr">
        <is>
          <t>Drenagem Superficial</t>
        </is>
      </c>
      <c r="K939" t="inlineStr">
        <is>
          <t>6.1</t>
        </is>
      </c>
      <c r="L939" t="inlineStr">
        <is>
          <t>VPC</t>
        </is>
      </c>
      <c r="M939" t="inlineStr">
        <is>
          <t>Dispositivo não executado</t>
        </is>
      </c>
      <c r="N939" t="inlineStr">
        <is>
          <t>VPC 01  não executada.</t>
        </is>
      </c>
      <c r="O939" t="inlineStr">
        <is>
          <t>Tipo A</t>
        </is>
      </c>
      <c r="P939" t="inlineStr">
        <is>
          <t>20+727</t>
        </is>
      </c>
      <c r="Q939" t="inlineStr">
        <is>
          <t>20+727</t>
        </is>
      </c>
      <c r="R939" t="inlineStr">
        <is>
          <t>Aberta</t>
        </is>
      </c>
      <c r="T939" t="inlineStr">
        <is>
          <t>Aline Batista</t>
        </is>
      </c>
      <c r="U939" t="inlineStr">
        <is>
          <t>24/04/2026</t>
        </is>
      </c>
      <c r="V939" t="inlineStr">
        <is>
          <t>01/05/2026</t>
        </is>
      </c>
      <c r="W939">
        <v>40</v>
      </c>
      <c r="AA939" t="inlineStr">
        <is>
          <t>Aberta 30-60 dias</t>
        </is>
      </c>
      <c r="AB939" t="inlineStr">
        <is>
          <t>EMPA</t>
        </is>
      </c>
      <c r="AC939" t="inlineStr">
        <is>
          <t>Aline</t>
        </is>
      </c>
      <c r="AD939" t="inlineStr">
        <is>
          <t>01/07/2026</t>
        </is>
      </c>
      <c r="AE939" t="inlineStr">
        <is>
          <t>05/07/2026</t>
        </is>
      </c>
      <c r="AF939" t="inlineStr">
        <is>
          <t>Prazo premissa VALE</t>
        </is>
      </c>
    </row>
    <row r="940">
      <c r="A940">
        <v>938</v>
      </c>
      <c r="B940">
        <v>1</v>
      </c>
      <c r="C940" t="inlineStr">
        <is>
          <t>1.2</t>
        </is>
      </c>
      <c r="D940" t="inlineStr">
        <is>
          <t>A44</t>
        </is>
      </c>
      <c r="E940" t="inlineStr">
        <is>
          <t>LD</t>
        </is>
      </c>
      <c r="F940" t="inlineStr">
        <is>
          <t>EMPA</t>
        </is>
      </c>
      <c r="G940" t="inlineStr">
        <is>
          <t>CLP-013</t>
        </is>
      </c>
      <c r="H940" t="inlineStr">
        <is>
          <t>Protocolo</t>
        </is>
      </c>
      <c r="I940">
        <v>6</v>
      </c>
      <c r="J940" t="inlineStr">
        <is>
          <t>Drenagem Superficial</t>
        </is>
      </c>
      <c r="K940" t="inlineStr">
        <is>
          <t>6.1</t>
        </is>
      </c>
      <c r="L940" t="inlineStr">
        <is>
          <t>VPCD</t>
        </is>
      </c>
      <c r="M940" t="inlineStr">
        <is>
          <t>Dispositivo não executado</t>
        </is>
      </c>
      <c r="N940" t="inlineStr">
        <is>
          <t>VPCD 01  não executada.</t>
        </is>
      </c>
      <c r="O940" t="inlineStr">
        <is>
          <t>Tipo A</t>
        </is>
      </c>
      <c r="P940" t="inlineStr">
        <is>
          <t>20+800</t>
        </is>
      </c>
      <c r="Q940" t="inlineStr">
        <is>
          <t>20+800</t>
        </is>
      </c>
      <c r="R940" t="inlineStr">
        <is>
          <t>Aberta</t>
        </is>
      </c>
      <c r="T940" t="inlineStr">
        <is>
          <t>Aline Batista</t>
        </is>
      </c>
      <c r="U940" t="inlineStr">
        <is>
          <t>24/04/2026</t>
        </is>
      </c>
      <c r="V940" t="inlineStr">
        <is>
          <t>01/05/2026</t>
        </is>
      </c>
      <c r="W940">
        <v>40</v>
      </c>
      <c r="AA940" t="inlineStr">
        <is>
          <t>Aberta 30-60 dias</t>
        </is>
      </c>
      <c r="AB940" t="inlineStr">
        <is>
          <t>EMPA</t>
        </is>
      </c>
      <c r="AC940" t="inlineStr">
        <is>
          <t>Aline</t>
        </is>
      </c>
      <c r="AD940" t="inlineStr">
        <is>
          <t>01/07/2026</t>
        </is>
      </c>
      <c r="AE940" t="inlineStr">
        <is>
          <t>05/07/2026</t>
        </is>
      </c>
      <c r="AF940" t="inlineStr">
        <is>
          <t>Prazo premissa VALE</t>
        </is>
      </c>
    </row>
    <row r="941">
      <c r="A941">
        <v>939</v>
      </c>
      <c r="B941">
        <v>1</v>
      </c>
      <c r="C941" t="inlineStr">
        <is>
          <t>1.2</t>
        </is>
      </c>
      <c r="D941" t="inlineStr">
        <is>
          <t>A44</t>
        </is>
      </c>
      <c r="E941" t="inlineStr">
        <is>
          <t>LD</t>
        </is>
      </c>
      <c r="F941" t="inlineStr">
        <is>
          <t>EMPA</t>
        </is>
      </c>
      <c r="G941" t="inlineStr">
        <is>
          <t>CLP-013</t>
        </is>
      </c>
      <c r="H941" t="inlineStr">
        <is>
          <t>Protocolo</t>
        </is>
      </c>
      <c r="I941">
        <v>6</v>
      </c>
      <c r="J941" t="inlineStr">
        <is>
          <t>Drenagem Superficial</t>
        </is>
      </c>
      <c r="K941" t="inlineStr">
        <is>
          <t>6.1</t>
        </is>
      </c>
      <c r="L941" t="inlineStr">
        <is>
          <t>VPC</t>
        </is>
      </c>
      <c r="M941" t="inlineStr">
        <is>
          <t>Dispositivo não executado</t>
        </is>
      </c>
      <c r="N941" t="inlineStr">
        <is>
          <t>VPC 01  não executada.</t>
        </is>
      </c>
      <c r="O941" t="inlineStr">
        <is>
          <t>Tipo A</t>
        </is>
      </c>
      <c r="P941" t="inlineStr">
        <is>
          <t>20+800</t>
        </is>
      </c>
      <c r="Q941" t="inlineStr">
        <is>
          <t>20+800</t>
        </is>
      </c>
      <c r="R941" t="inlineStr">
        <is>
          <t>Aberta</t>
        </is>
      </c>
      <c r="T941" t="inlineStr">
        <is>
          <t>Aline Batista</t>
        </is>
      </c>
      <c r="U941" t="inlineStr">
        <is>
          <t>24/04/2026</t>
        </is>
      </c>
      <c r="V941" t="inlineStr">
        <is>
          <t>01/05/2026</t>
        </is>
      </c>
      <c r="W941">
        <v>40</v>
      </c>
      <c r="AA941" t="inlineStr">
        <is>
          <t>Aberta 30-60 dias</t>
        </is>
      </c>
      <c r="AB941" t="inlineStr">
        <is>
          <t>EMPA</t>
        </is>
      </c>
      <c r="AC941" t="inlineStr">
        <is>
          <t>Aline</t>
        </is>
      </c>
      <c r="AD941" t="inlineStr">
        <is>
          <t>01/07/2026</t>
        </is>
      </c>
      <c r="AE941" t="inlineStr">
        <is>
          <t>05/07/2026</t>
        </is>
      </c>
      <c r="AF941" t="inlineStr">
        <is>
          <t>Prazo premissa VALE</t>
        </is>
      </c>
    </row>
    <row r="942">
      <c r="A942">
        <v>940</v>
      </c>
      <c r="B942">
        <v>1</v>
      </c>
      <c r="C942" t="inlineStr">
        <is>
          <t>1.2</t>
        </is>
      </c>
      <c r="D942" t="inlineStr">
        <is>
          <t>C39</t>
        </is>
      </c>
      <c r="E942" t="inlineStr">
        <is>
          <t>LE</t>
        </is>
      </c>
      <c r="F942" t="inlineStr">
        <is>
          <t>EMPA</t>
        </is>
      </c>
      <c r="G942" t="inlineStr">
        <is>
          <t>CLP-013</t>
        </is>
      </c>
      <c r="H942" t="inlineStr">
        <is>
          <t>Protocolo</t>
        </is>
      </c>
      <c r="I942">
        <v>6</v>
      </c>
      <c r="J942" t="inlineStr">
        <is>
          <t>Drenagem Superficial</t>
        </is>
      </c>
      <c r="K942" t="inlineStr">
        <is>
          <t>6.1</t>
        </is>
      </c>
      <c r="L942" t="inlineStr">
        <is>
          <t>VPCD</t>
        </is>
      </c>
      <c r="M942" t="inlineStr">
        <is>
          <t>Dispositivo não executado</t>
        </is>
      </c>
      <c r="N942" t="inlineStr">
        <is>
          <t>VPCD 01  não executada.</t>
        </is>
      </c>
      <c r="O942" t="inlineStr">
        <is>
          <t>Tipo A</t>
        </is>
      </c>
      <c r="P942" t="inlineStr">
        <is>
          <t>19+474</t>
        </is>
      </c>
      <c r="Q942" t="inlineStr">
        <is>
          <t>19+474</t>
        </is>
      </c>
      <c r="R942" t="inlineStr">
        <is>
          <t>Aberta</t>
        </is>
      </c>
      <c r="T942" t="inlineStr">
        <is>
          <t>Aline Batista</t>
        </is>
      </c>
      <c r="U942" t="inlineStr">
        <is>
          <t>24/04/2026</t>
        </is>
      </c>
      <c r="V942" t="inlineStr">
        <is>
          <t>01/05/2026</t>
        </is>
      </c>
      <c r="W942">
        <v>40</v>
      </c>
      <c r="AA942" t="inlineStr">
        <is>
          <t>Aberta 30-60 dias</t>
        </is>
      </c>
      <c r="AB942" t="inlineStr">
        <is>
          <t>EMPA</t>
        </is>
      </c>
      <c r="AC942" t="inlineStr">
        <is>
          <t>Aline</t>
        </is>
      </c>
      <c r="AD942" t="inlineStr">
        <is>
          <t>01/07/2026</t>
        </is>
      </c>
      <c r="AE942" t="inlineStr">
        <is>
          <t>05/07/2026</t>
        </is>
      </c>
      <c r="AF942" t="inlineStr">
        <is>
          <t>Prazo Premissa VALE</t>
        </is>
      </c>
    </row>
    <row r="943">
      <c r="A943">
        <v>941</v>
      </c>
      <c r="B943">
        <v>1</v>
      </c>
      <c r="C943" t="inlineStr">
        <is>
          <t>1.2</t>
        </is>
      </c>
      <c r="D943" t="inlineStr">
        <is>
          <t>C39</t>
        </is>
      </c>
      <c r="E943" t="inlineStr">
        <is>
          <t>LE</t>
        </is>
      </c>
      <c r="F943" t="inlineStr">
        <is>
          <t>EMPA</t>
        </is>
      </c>
      <c r="G943" t="inlineStr">
        <is>
          <t>CLP-013</t>
        </is>
      </c>
      <c r="H943" t="inlineStr">
        <is>
          <t>Protocolo</t>
        </is>
      </c>
      <c r="I943">
        <v>6</v>
      </c>
      <c r="J943" t="inlineStr">
        <is>
          <t>Drenagem Superficial</t>
        </is>
      </c>
      <c r="K943" t="inlineStr">
        <is>
          <t>6.1</t>
        </is>
      </c>
      <c r="L943" t="inlineStr">
        <is>
          <t>VPC</t>
        </is>
      </c>
      <c r="M943" t="inlineStr">
        <is>
          <t>Dispositivo não executado</t>
        </is>
      </c>
      <c r="N943" t="inlineStr">
        <is>
          <t>VPC 01  não executada.</t>
        </is>
      </c>
      <c r="O943" t="inlineStr">
        <is>
          <t>Tipo A</t>
        </is>
      </c>
      <c r="P943" t="inlineStr">
        <is>
          <t>19+474</t>
        </is>
      </c>
      <c r="Q943" t="inlineStr">
        <is>
          <t>19+474</t>
        </is>
      </c>
      <c r="R943" t="inlineStr">
        <is>
          <t>Aberta</t>
        </is>
      </c>
      <c r="T943" t="inlineStr">
        <is>
          <t>Aline Batista</t>
        </is>
      </c>
      <c r="U943" t="inlineStr">
        <is>
          <t>24/04/2026</t>
        </is>
      </c>
      <c r="V943" t="inlineStr">
        <is>
          <t>01/05/2026</t>
        </is>
      </c>
      <c r="W943">
        <v>40</v>
      </c>
      <c r="AA943" t="inlineStr">
        <is>
          <t>Aberta 30-60 dias</t>
        </is>
      </c>
      <c r="AB943" t="inlineStr">
        <is>
          <t>EMPA</t>
        </is>
      </c>
      <c r="AC943" t="inlineStr">
        <is>
          <t>Aline</t>
        </is>
      </c>
      <c r="AD943" t="inlineStr">
        <is>
          <t>01/07/2026</t>
        </is>
      </c>
      <c r="AE943" t="inlineStr">
        <is>
          <t>05/07/2026</t>
        </is>
      </c>
      <c r="AF943" t="inlineStr">
        <is>
          <t>Prazo Premissa VALE</t>
        </is>
      </c>
    </row>
    <row r="944">
      <c r="A944">
        <v>942</v>
      </c>
      <c r="B944">
        <v>1</v>
      </c>
      <c r="C944" t="inlineStr">
        <is>
          <t>1.2</t>
        </is>
      </c>
      <c r="D944" t="inlineStr">
        <is>
          <t>A44</t>
        </is>
      </c>
      <c r="E944" t="inlineStr">
        <is>
          <t>LD</t>
        </is>
      </c>
      <c r="F944" t="inlineStr">
        <is>
          <t>EMPA</t>
        </is>
      </c>
      <c r="G944" t="inlineStr">
        <is>
          <t>CLP-013</t>
        </is>
      </c>
      <c r="H944" t="inlineStr">
        <is>
          <t>Protocolo</t>
        </is>
      </c>
      <c r="I944">
        <v>6</v>
      </c>
      <c r="J944" t="inlineStr">
        <is>
          <t>Drenagem Superficial</t>
        </is>
      </c>
      <c r="K944" t="inlineStr">
        <is>
          <t>6.1</t>
        </is>
      </c>
      <c r="L944" t="inlineStr">
        <is>
          <t>VPC</t>
        </is>
      </c>
      <c r="M944" t="inlineStr">
        <is>
          <t>Dispositivo não executado</t>
        </is>
      </c>
      <c r="N944" t="inlineStr">
        <is>
          <t>VPC 01  não executada.</t>
        </is>
      </c>
      <c r="O944" t="inlineStr">
        <is>
          <t>Tipo A</t>
        </is>
      </c>
      <c r="P944" t="inlineStr">
        <is>
          <t>20+927</t>
        </is>
      </c>
      <c r="Q944" t="inlineStr">
        <is>
          <t>20+927</t>
        </is>
      </c>
      <c r="R944" t="inlineStr">
        <is>
          <t>Aberta</t>
        </is>
      </c>
      <c r="T944" t="inlineStr">
        <is>
          <t>Aline Batista</t>
        </is>
      </c>
      <c r="U944" t="inlineStr">
        <is>
          <t>24/04/2026</t>
        </is>
      </c>
      <c r="V944" t="inlineStr">
        <is>
          <t>01/05/2026</t>
        </is>
      </c>
      <c r="W944">
        <v>40</v>
      </c>
      <c r="AA944" t="inlineStr">
        <is>
          <t>Aberta 30-60 dias</t>
        </is>
      </c>
      <c r="AB944" t="inlineStr">
        <is>
          <t>EMPA</t>
        </is>
      </c>
      <c r="AC944" t="inlineStr">
        <is>
          <t>Aline</t>
        </is>
      </c>
      <c r="AD944" t="inlineStr">
        <is>
          <t>01/07/2026</t>
        </is>
      </c>
      <c r="AE944" t="inlineStr">
        <is>
          <t>05/07/2026</t>
        </is>
      </c>
      <c r="AF944" t="inlineStr">
        <is>
          <t>Prazo premissa VALE</t>
        </is>
      </c>
    </row>
    <row r="945">
      <c r="A945">
        <v>943</v>
      </c>
      <c r="B945">
        <v>1</v>
      </c>
      <c r="C945" t="inlineStr">
        <is>
          <t>1.2</t>
        </is>
      </c>
      <c r="D945" t="inlineStr">
        <is>
          <t>C41</t>
        </is>
      </c>
      <c r="E945" t="inlineStr">
        <is>
          <t>LD</t>
        </is>
      </c>
      <c r="F945" t="inlineStr">
        <is>
          <t>EMPA</t>
        </is>
      </c>
      <c r="G945" t="inlineStr">
        <is>
          <t>CLP-013</t>
        </is>
      </c>
      <c r="H945" t="inlineStr">
        <is>
          <t>Protocolo</t>
        </is>
      </c>
      <c r="I945">
        <v>6</v>
      </c>
      <c r="J945" t="inlineStr">
        <is>
          <t>Drenagem Superficial</t>
        </is>
      </c>
      <c r="K945" t="inlineStr">
        <is>
          <t>6.1</t>
        </is>
      </c>
      <c r="L945" t="inlineStr">
        <is>
          <t>VPC</t>
        </is>
      </c>
      <c r="M945" t="inlineStr">
        <is>
          <t>Dispositivo não executado</t>
        </is>
      </c>
      <c r="N945" t="inlineStr">
        <is>
          <t>VPC 01  não executada.</t>
        </is>
      </c>
      <c r="O945" t="inlineStr">
        <is>
          <t>Tipo A</t>
        </is>
      </c>
      <c r="P945" t="inlineStr">
        <is>
          <t>21+010</t>
        </is>
      </c>
      <c r="Q945" t="inlineStr">
        <is>
          <t>21+010</t>
        </is>
      </c>
      <c r="R945" t="inlineStr">
        <is>
          <t>Aberta</t>
        </is>
      </c>
      <c r="T945" t="inlineStr">
        <is>
          <t>Aline Batista</t>
        </is>
      </c>
      <c r="U945" t="inlineStr">
        <is>
          <t>24/04/2026</t>
        </is>
      </c>
      <c r="V945" t="inlineStr">
        <is>
          <t>01/05/2026</t>
        </is>
      </c>
      <c r="W945">
        <v>40</v>
      </c>
      <c r="AA945" t="inlineStr">
        <is>
          <t>Aberta 30-60 dias</t>
        </is>
      </c>
      <c r="AB945" t="inlineStr">
        <is>
          <t>EMPA</t>
        </is>
      </c>
      <c r="AC945" t="inlineStr">
        <is>
          <t>Aline</t>
        </is>
      </c>
      <c r="AD945" t="inlineStr">
        <is>
          <t>07/07/2026</t>
        </is>
      </c>
      <c r="AE945" t="inlineStr">
        <is>
          <t>12/07/2026</t>
        </is>
      </c>
      <c r="AF945" t="inlineStr">
        <is>
          <t>Cronograma de Pendências EMPA</t>
        </is>
      </c>
    </row>
    <row r="946">
      <c r="A946">
        <v>944</v>
      </c>
      <c r="B946">
        <v>1</v>
      </c>
      <c r="C946" t="inlineStr">
        <is>
          <t>1.2</t>
        </is>
      </c>
      <c r="D946" t="inlineStr">
        <is>
          <t>C40</t>
        </is>
      </c>
      <c r="E946" t="inlineStr">
        <is>
          <t>LE/LD</t>
        </is>
      </c>
      <c r="F946" t="inlineStr">
        <is>
          <t>EMPA</t>
        </is>
      </c>
      <c r="G946" t="inlineStr">
        <is>
          <t>CLP-013</t>
        </is>
      </c>
      <c r="H946" t="inlineStr">
        <is>
          <t>Protocolo</t>
        </is>
      </c>
      <c r="I946">
        <v>6</v>
      </c>
      <c r="J946" t="inlineStr">
        <is>
          <t>Drenagem Superficial</t>
        </is>
      </c>
      <c r="K946" t="inlineStr">
        <is>
          <t>6.1</t>
        </is>
      </c>
      <c r="L946" t="inlineStr">
        <is>
          <t>SZA</t>
        </is>
      </c>
      <c r="M946" t="inlineStr">
        <is>
          <t>Dispositivo não executado</t>
        </is>
      </c>
      <c r="N946" t="inlineStr">
        <is>
          <t>SZA não executada.</t>
        </is>
      </c>
      <c r="O946" t="inlineStr">
        <is>
          <t>Tipo A</t>
        </is>
      </c>
      <c r="P946" t="inlineStr">
        <is>
          <t>20+310</t>
        </is>
      </c>
      <c r="Q946" t="inlineStr">
        <is>
          <t>20+310</t>
        </is>
      </c>
      <c r="R946" t="inlineStr">
        <is>
          <t>Aberta</t>
        </is>
      </c>
      <c r="T946" t="inlineStr">
        <is>
          <t>Aline Batista</t>
        </is>
      </c>
      <c r="U946" t="inlineStr">
        <is>
          <t>24/04/2026</t>
        </is>
      </c>
      <c r="V946" t="inlineStr">
        <is>
          <t>01/05/2026</t>
        </is>
      </c>
      <c r="W946">
        <v>40</v>
      </c>
      <c r="AA946" t="inlineStr">
        <is>
          <t>Aberta 30-60 dias</t>
        </is>
      </c>
      <c r="AB946" t="inlineStr">
        <is>
          <t>EMPA</t>
        </is>
      </c>
      <c r="AC946" t="inlineStr">
        <is>
          <t>Aline</t>
        </is>
      </c>
      <c r="AD946" t="inlineStr">
        <is>
          <t>01/07/2026</t>
        </is>
      </c>
      <c r="AE946" t="inlineStr">
        <is>
          <t>05/07/2026</t>
        </is>
      </c>
      <c r="AF946" t="inlineStr">
        <is>
          <t>Prazo premissa VALE</t>
        </is>
      </c>
    </row>
    <row r="947">
      <c r="A947">
        <v>945</v>
      </c>
      <c r="B947">
        <v>1</v>
      </c>
      <c r="C947" t="inlineStr">
        <is>
          <t>1.2</t>
        </is>
      </c>
      <c r="D947" t="inlineStr">
        <is>
          <t>C39</t>
        </is>
      </c>
      <c r="E947" t="inlineStr">
        <is>
          <t>LE</t>
        </is>
      </c>
      <c r="F947" t="inlineStr">
        <is>
          <t>EMPA</t>
        </is>
      </c>
      <c r="G947" t="inlineStr">
        <is>
          <t>CLP-013</t>
        </is>
      </c>
      <c r="H947" t="inlineStr">
        <is>
          <t>Protocolo</t>
        </is>
      </c>
      <c r="I947">
        <v>6</v>
      </c>
      <c r="J947" t="inlineStr">
        <is>
          <t>Drenagem Superficial</t>
        </is>
      </c>
      <c r="K947" t="inlineStr">
        <is>
          <t>6.1</t>
        </is>
      </c>
      <c r="L947" t="inlineStr">
        <is>
          <t>STA</t>
        </is>
      </c>
      <c r="M947" t="inlineStr">
        <is>
          <t>Dispositivo não executado</t>
        </is>
      </c>
      <c r="N947" t="inlineStr">
        <is>
          <t>STA 01  não executada.</t>
        </is>
      </c>
      <c r="O947" t="inlineStr">
        <is>
          <t>Tipo A</t>
        </is>
      </c>
      <c r="P947" t="inlineStr">
        <is>
          <t>19+474</t>
        </is>
      </c>
      <c r="Q947" t="inlineStr">
        <is>
          <t>19+474</t>
        </is>
      </c>
      <c r="R947" t="inlineStr">
        <is>
          <t>Aberta</t>
        </is>
      </c>
      <c r="T947" t="inlineStr">
        <is>
          <t>Aline Batista</t>
        </is>
      </c>
      <c r="U947" t="inlineStr">
        <is>
          <t>24/04/2026</t>
        </is>
      </c>
      <c r="V947" t="inlineStr">
        <is>
          <t>01/05/2026</t>
        </is>
      </c>
      <c r="W947">
        <v>40</v>
      </c>
      <c r="AA947" t="inlineStr">
        <is>
          <t>Aberta 30-60 dias</t>
        </is>
      </c>
      <c r="AB947" t="inlineStr">
        <is>
          <t>EMPA</t>
        </is>
      </c>
      <c r="AC947" t="inlineStr">
        <is>
          <t>Aline</t>
        </is>
      </c>
      <c r="AD947" t="inlineStr">
        <is>
          <t>01/07/2026</t>
        </is>
      </c>
      <c r="AE947" t="inlineStr">
        <is>
          <t>05/07/2026</t>
        </is>
      </c>
      <c r="AF947" t="inlineStr">
        <is>
          <t>Prazo Premissa VALE</t>
        </is>
      </c>
    </row>
    <row r="948">
      <c r="A948">
        <v>946</v>
      </c>
      <c r="B948">
        <v>1</v>
      </c>
      <c r="C948" t="inlineStr">
        <is>
          <t>1.2</t>
        </is>
      </c>
      <c r="D948" t="inlineStr">
        <is>
          <t>C39</t>
        </is>
      </c>
      <c r="E948" t="inlineStr">
        <is>
          <t>LE</t>
        </is>
      </c>
      <c r="F948" t="inlineStr">
        <is>
          <t>EMPA</t>
        </is>
      </c>
      <c r="G948" t="inlineStr">
        <is>
          <t>CLP-013</t>
        </is>
      </c>
      <c r="H948" t="inlineStr">
        <is>
          <t>Protocolo</t>
        </is>
      </c>
      <c r="I948">
        <v>6</v>
      </c>
      <c r="J948" t="inlineStr">
        <is>
          <t>Drenagem Superficial</t>
        </is>
      </c>
      <c r="K948" t="inlineStr">
        <is>
          <t>6.1</t>
        </is>
      </c>
      <c r="L948" t="inlineStr">
        <is>
          <t>STA</t>
        </is>
      </c>
      <c r="M948" t="inlineStr">
        <is>
          <t>Dispositivo não executado</t>
        </is>
      </c>
      <c r="N948" t="inlineStr">
        <is>
          <t>STA 01  não executada.</t>
        </is>
      </c>
      <c r="O948" t="inlineStr">
        <is>
          <t>Tipo A</t>
        </is>
      </c>
      <c r="P948" t="inlineStr">
        <is>
          <t>19+474</t>
        </is>
      </c>
      <c r="Q948" t="inlineStr">
        <is>
          <t>19+474</t>
        </is>
      </c>
      <c r="R948" t="inlineStr">
        <is>
          <t>Aberta</t>
        </is>
      </c>
      <c r="T948" t="inlineStr">
        <is>
          <t>Aline Batista</t>
        </is>
      </c>
      <c r="U948" t="inlineStr">
        <is>
          <t>24/04/2026</t>
        </is>
      </c>
      <c r="V948" t="inlineStr">
        <is>
          <t>01/05/2026</t>
        </is>
      </c>
      <c r="W948">
        <v>40</v>
      </c>
      <c r="AA948" t="inlineStr">
        <is>
          <t>Aberta 30-60 dias</t>
        </is>
      </c>
      <c r="AB948" t="inlineStr">
        <is>
          <t>EMPA</t>
        </is>
      </c>
      <c r="AC948" t="inlineStr">
        <is>
          <t>Aline</t>
        </is>
      </c>
      <c r="AD948" t="inlineStr">
        <is>
          <t>01/07/2026</t>
        </is>
      </c>
      <c r="AE948" t="inlineStr">
        <is>
          <t>05/07/2026</t>
        </is>
      </c>
      <c r="AF948" t="inlineStr">
        <is>
          <t>Prazo Premissa VALE</t>
        </is>
      </c>
    </row>
    <row r="949">
      <c r="A949">
        <v>947</v>
      </c>
      <c r="B949">
        <v>1</v>
      </c>
      <c r="C949" t="inlineStr">
        <is>
          <t>1.2</t>
        </is>
      </c>
      <c r="D949" t="inlineStr">
        <is>
          <t>C39</t>
        </is>
      </c>
      <c r="E949" t="inlineStr">
        <is>
          <t>LE</t>
        </is>
      </c>
      <c r="F949" t="inlineStr">
        <is>
          <t>EMPA</t>
        </is>
      </c>
      <c r="G949" t="inlineStr">
        <is>
          <t>CLP-013</t>
        </is>
      </c>
      <c r="H949" t="inlineStr">
        <is>
          <t>Protocolo</t>
        </is>
      </c>
      <c r="I949">
        <v>6</v>
      </c>
      <c r="J949" t="inlineStr">
        <is>
          <t>Drenagem Superficial</t>
        </is>
      </c>
      <c r="K949" t="inlineStr">
        <is>
          <t>6.1</t>
        </is>
      </c>
      <c r="L949" t="inlineStr">
        <is>
          <t>STA</t>
        </is>
      </c>
      <c r="M949" t="inlineStr">
        <is>
          <t>Dispositivo não executado</t>
        </is>
      </c>
      <c r="N949" t="inlineStr">
        <is>
          <t>STA 01  não executada.</t>
        </is>
      </c>
      <c r="O949" t="inlineStr">
        <is>
          <t>Tipo A</t>
        </is>
      </c>
      <c r="P949" t="inlineStr">
        <is>
          <t>19+474</t>
        </is>
      </c>
      <c r="Q949" t="inlineStr">
        <is>
          <t>19+474</t>
        </is>
      </c>
      <c r="R949" t="inlineStr">
        <is>
          <t>Aberta</t>
        </is>
      </c>
      <c r="T949" t="inlineStr">
        <is>
          <t>Aline Batista</t>
        </is>
      </c>
      <c r="U949" t="inlineStr">
        <is>
          <t>24/04/2026</t>
        </is>
      </c>
      <c r="V949" t="inlineStr">
        <is>
          <t>01/05/2026</t>
        </is>
      </c>
      <c r="W949">
        <v>40</v>
      </c>
      <c r="AA949" t="inlineStr">
        <is>
          <t>Aberta 30-60 dias</t>
        </is>
      </c>
      <c r="AB949" t="inlineStr">
        <is>
          <t>EMPA</t>
        </is>
      </c>
      <c r="AC949" t="inlineStr">
        <is>
          <t>Aline</t>
        </is>
      </c>
      <c r="AD949" t="inlineStr">
        <is>
          <t>01/07/2026</t>
        </is>
      </c>
      <c r="AE949" t="inlineStr">
        <is>
          <t>05/07/2026</t>
        </is>
      </c>
      <c r="AF949" t="inlineStr">
        <is>
          <t>Prazo Premissa VALE</t>
        </is>
      </c>
    </row>
    <row r="950">
      <c r="A950">
        <v>948</v>
      </c>
      <c r="B950">
        <v>1</v>
      </c>
      <c r="C950" t="inlineStr">
        <is>
          <t>1.2</t>
        </is>
      </c>
      <c r="D950" t="inlineStr">
        <is>
          <t>C39</t>
        </is>
      </c>
      <c r="E950" t="inlineStr">
        <is>
          <t>LE</t>
        </is>
      </c>
      <c r="F950" t="inlineStr">
        <is>
          <t>EMPA</t>
        </is>
      </c>
      <c r="G950" t="inlineStr">
        <is>
          <t>CLP-013</t>
        </is>
      </c>
      <c r="H950" t="inlineStr">
        <is>
          <t>Protocolo</t>
        </is>
      </c>
      <c r="I950">
        <v>6</v>
      </c>
      <c r="J950" t="inlineStr">
        <is>
          <t>Drenagem Superficial</t>
        </is>
      </c>
      <c r="K950" t="inlineStr">
        <is>
          <t>6.1</t>
        </is>
      </c>
      <c r="L950" t="inlineStr">
        <is>
          <t>STA</t>
        </is>
      </c>
      <c r="M950" t="inlineStr">
        <is>
          <t>Dispositivo não executado</t>
        </is>
      </c>
      <c r="N950" t="inlineStr">
        <is>
          <t>STA 02  não executada.</t>
        </is>
      </c>
      <c r="O950" t="inlineStr">
        <is>
          <t>Tipo A</t>
        </is>
      </c>
      <c r="P950" t="inlineStr">
        <is>
          <t>19+474</t>
        </is>
      </c>
      <c r="Q950" t="inlineStr">
        <is>
          <t>19+474</t>
        </is>
      </c>
      <c r="R950" t="inlineStr">
        <is>
          <t>Aberta</t>
        </is>
      </c>
      <c r="T950" t="inlineStr">
        <is>
          <t>Aline Batista</t>
        </is>
      </c>
      <c r="U950" t="inlineStr">
        <is>
          <t>24/04/2026</t>
        </is>
      </c>
      <c r="V950" t="inlineStr">
        <is>
          <t>01/05/2026</t>
        </is>
      </c>
      <c r="W950">
        <v>40</v>
      </c>
      <c r="AA950" t="inlineStr">
        <is>
          <t>Aberta 30-60 dias</t>
        </is>
      </c>
      <c r="AB950" t="inlineStr">
        <is>
          <t>EMPA</t>
        </is>
      </c>
      <c r="AC950" t="inlineStr">
        <is>
          <t>Aline</t>
        </is>
      </c>
      <c r="AD950" t="inlineStr">
        <is>
          <t>01/07/2026</t>
        </is>
      </c>
      <c r="AE950" t="inlineStr">
        <is>
          <t>05/07/2026</t>
        </is>
      </c>
      <c r="AF950" t="inlineStr">
        <is>
          <t>Prazo Premissa VALE</t>
        </is>
      </c>
    </row>
    <row r="951">
      <c r="A951">
        <v>949</v>
      </c>
      <c r="B951">
        <v>1</v>
      </c>
      <c r="C951" t="inlineStr">
        <is>
          <t>1.2</t>
        </is>
      </c>
      <c r="D951" t="inlineStr">
        <is>
          <t>C39</t>
        </is>
      </c>
      <c r="E951" t="inlineStr">
        <is>
          <t>LE</t>
        </is>
      </c>
      <c r="F951" t="inlineStr">
        <is>
          <t>EMPA</t>
        </is>
      </c>
      <c r="G951" t="inlineStr">
        <is>
          <t>CLP-013</t>
        </is>
      </c>
      <c r="H951" t="inlineStr">
        <is>
          <t>Protocolo</t>
        </is>
      </c>
      <c r="I951">
        <v>6</v>
      </c>
      <c r="J951" t="inlineStr">
        <is>
          <t>Drenagem Superficial</t>
        </is>
      </c>
      <c r="K951" t="inlineStr">
        <is>
          <t>6.1</t>
        </is>
      </c>
      <c r="L951" t="inlineStr">
        <is>
          <t xml:space="preserve">STC </t>
        </is>
      </c>
      <c r="M951" t="inlineStr">
        <is>
          <t>Dispositivo não executado</t>
        </is>
      </c>
      <c r="N951" t="inlineStr">
        <is>
          <t>STC 01  não executada.</t>
        </is>
      </c>
      <c r="O951" t="inlineStr">
        <is>
          <t>Tipo A</t>
        </is>
      </c>
      <c r="P951" t="inlineStr">
        <is>
          <t>19+474</t>
        </is>
      </c>
      <c r="Q951" t="inlineStr">
        <is>
          <t>19+474</t>
        </is>
      </c>
      <c r="R951" t="inlineStr">
        <is>
          <t>Aberta</t>
        </is>
      </c>
      <c r="T951" t="inlineStr">
        <is>
          <t>Aline Batista</t>
        </is>
      </c>
      <c r="U951" t="inlineStr">
        <is>
          <t>24/04/2026</t>
        </is>
      </c>
      <c r="V951" t="inlineStr">
        <is>
          <t>01/05/2026</t>
        </is>
      </c>
      <c r="W951">
        <v>40</v>
      </c>
      <c r="AA951" t="inlineStr">
        <is>
          <t>Aberta 30-60 dias</t>
        </is>
      </c>
      <c r="AB951" t="inlineStr">
        <is>
          <t>EMPA</t>
        </is>
      </c>
      <c r="AC951" t="inlineStr">
        <is>
          <t>Aline</t>
        </is>
      </c>
      <c r="AD951" t="inlineStr">
        <is>
          <t>01/07/2026</t>
        </is>
      </c>
      <c r="AE951" t="inlineStr">
        <is>
          <t>05/07/2026</t>
        </is>
      </c>
      <c r="AF951" t="inlineStr">
        <is>
          <t>Prazo Premissa VALE</t>
        </is>
      </c>
    </row>
    <row r="952">
      <c r="A952">
        <v>950</v>
      </c>
      <c r="B952">
        <v>1</v>
      </c>
      <c r="C952" t="inlineStr">
        <is>
          <t>1.2</t>
        </is>
      </c>
      <c r="D952" t="inlineStr">
        <is>
          <t>C40</t>
        </is>
      </c>
      <c r="E952" t="inlineStr">
        <is>
          <t>LE</t>
        </is>
      </c>
      <c r="F952" t="inlineStr">
        <is>
          <t>EMPA</t>
        </is>
      </c>
      <c r="G952" t="inlineStr">
        <is>
          <t>CLP-013</t>
        </is>
      </c>
      <c r="H952" t="inlineStr">
        <is>
          <t>Protocolo</t>
        </is>
      </c>
      <c r="I952">
        <v>6</v>
      </c>
      <c r="J952" t="inlineStr">
        <is>
          <t>Drenagem Superficial</t>
        </is>
      </c>
      <c r="K952" t="inlineStr">
        <is>
          <t>6.1</t>
        </is>
      </c>
      <c r="L952" t="inlineStr">
        <is>
          <t xml:space="preserve">STC </t>
        </is>
      </c>
      <c r="M952" t="inlineStr">
        <is>
          <t>Dispositivo não executado</t>
        </is>
      </c>
      <c r="N952" t="inlineStr">
        <is>
          <t>STC 01  não executada.</t>
        </is>
      </c>
      <c r="O952" t="inlineStr">
        <is>
          <t>Tipo A</t>
        </is>
      </c>
      <c r="P952" t="inlineStr">
        <is>
          <t>20+033</t>
        </is>
      </c>
      <c r="Q952" t="inlineStr">
        <is>
          <t>20+033</t>
        </is>
      </c>
      <c r="R952" t="inlineStr">
        <is>
          <t>Aberta</t>
        </is>
      </c>
      <c r="T952" t="inlineStr">
        <is>
          <t>Aline Batista</t>
        </is>
      </c>
      <c r="U952" t="inlineStr">
        <is>
          <t>24/04/2026</t>
        </is>
      </c>
      <c r="V952" t="inlineStr">
        <is>
          <t>01/05/2026</t>
        </is>
      </c>
      <c r="W952">
        <v>40</v>
      </c>
      <c r="AA952" t="inlineStr">
        <is>
          <t>Aberta 30-60 dias</t>
        </is>
      </c>
      <c r="AB952" t="inlineStr">
        <is>
          <t>EMPA</t>
        </is>
      </c>
      <c r="AC952" t="inlineStr">
        <is>
          <t>Aline</t>
        </is>
      </c>
      <c r="AD952" t="inlineStr">
        <is>
          <t>01/07/2026</t>
        </is>
      </c>
      <c r="AE952" t="inlineStr">
        <is>
          <t>05/07/2026</t>
        </is>
      </c>
      <c r="AF952" t="inlineStr">
        <is>
          <t>Prazo premissa VALE</t>
        </is>
      </c>
    </row>
    <row r="953">
      <c r="A953">
        <v>951</v>
      </c>
      <c r="B953">
        <v>1</v>
      </c>
      <c r="C953" t="inlineStr">
        <is>
          <t>1.2</t>
        </is>
      </c>
      <c r="D953" t="inlineStr">
        <is>
          <t>C39</t>
        </is>
      </c>
      <c r="E953" t="inlineStr">
        <is>
          <t>LE</t>
        </is>
      </c>
      <c r="F953" t="inlineStr">
        <is>
          <t>EMPA</t>
        </is>
      </c>
      <c r="G953" t="inlineStr">
        <is>
          <t>CLP-013</t>
        </is>
      </c>
      <c r="H953" t="inlineStr">
        <is>
          <t>Protocolo</t>
        </is>
      </c>
      <c r="I953">
        <v>6</v>
      </c>
      <c r="J953" t="inlineStr">
        <is>
          <t>Drenagem Superficial</t>
        </is>
      </c>
      <c r="K953" t="inlineStr">
        <is>
          <t>6.1</t>
        </is>
      </c>
      <c r="L953" t="inlineStr">
        <is>
          <t xml:space="preserve">STC </t>
        </is>
      </c>
      <c r="M953" t="inlineStr">
        <is>
          <t>Dispositivo não executado</t>
        </is>
      </c>
      <c r="N953" t="inlineStr">
        <is>
          <t>STC 01  não executada.</t>
        </is>
      </c>
      <c r="O953" t="inlineStr">
        <is>
          <t>Tipo A</t>
        </is>
      </c>
      <c r="P953" t="inlineStr">
        <is>
          <t>19+474</t>
        </is>
      </c>
      <c r="Q953" t="inlineStr">
        <is>
          <t>19+474</t>
        </is>
      </c>
      <c r="R953" t="inlineStr">
        <is>
          <t>Aberta</t>
        </is>
      </c>
      <c r="T953" t="inlineStr">
        <is>
          <t>Aline Batista</t>
        </is>
      </c>
      <c r="U953" t="inlineStr">
        <is>
          <t>24/04/2026</t>
        </is>
      </c>
      <c r="V953" t="inlineStr">
        <is>
          <t>01/05/2026</t>
        </is>
      </c>
      <c r="W953">
        <v>40</v>
      </c>
      <c r="AA953" t="inlineStr">
        <is>
          <t>Aberta 30-60 dias</t>
        </is>
      </c>
      <c r="AB953" t="inlineStr">
        <is>
          <t>EMPA</t>
        </is>
      </c>
      <c r="AC953" t="inlineStr">
        <is>
          <t>Aline</t>
        </is>
      </c>
      <c r="AD953" t="inlineStr">
        <is>
          <t>01/07/2026</t>
        </is>
      </c>
      <c r="AE953" t="inlineStr">
        <is>
          <t>05/07/2026</t>
        </is>
      </c>
      <c r="AF953" t="inlineStr">
        <is>
          <t>Prazo Premissa VALE</t>
        </is>
      </c>
    </row>
    <row r="954">
      <c r="A954">
        <v>952</v>
      </c>
      <c r="B954">
        <v>1</v>
      </c>
      <c r="C954" t="inlineStr">
        <is>
          <t>1.2</t>
        </is>
      </c>
      <c r="D954" t="inlineStr">
        <is>
          <t>C40</t>
        </is>
      </c>
      <c r="E954" t="inlineStr">
        <is>
          <t>LE/LD</t>
        </is>
      </c>
      <c r="F954" t="inlineStr">
        <is>
          <t>EMPA</t>
        </is>
      </c>
      <c r="G954" t="inlineStr">
        <is>
          <t>CLP-013</t>
        </is>
      </c>
      <c r="H954" t="inlineStr">
        <is>
          <t>Protocolo</t>
        </is>
      </c>
      <c r="I954">
        <v>6</v>
      </c>
      <c r="J954" t="inlineStr">
        <is>
          <t>Drenagem Superficial</t>
        </is>
      </c>
      <c r="K954" t="inlineStr">
        <is>
          <t>6.3</t>
        </is>
      </c>
      <c r="L954" t="inlineStr">
        <is>
          <t>VPC</t>
        </is>
      </c>
      <c r="M954" t="inlineStr">
        <is>
          <t>Dispositivo não executado</t>
        </is>
      </c>
      <c r="N954" t="inlineStr">
        <is>
          <t xml:space="preserve">EDA 01  Executada em desacordo com  o projeto </t>
        </is>
      </c>
      <c r="O954" t="inlineStr">
        <is>
          <t>Tipo A</t>
        </is>
      </c>
      <c r="P954" t="inlineStr">
        <is>
          <t>19+600</t>
        </is>
      </c>
      <c r="Q954" t="inlineStr">
        <is>
          <t>21+020</t>
        </is>
      </c>
      <c r="R954" t="inlineStr">
        <is>
          <t>Aberta</t>
        </is>
      </c>
      <c r="T954" t="inlineStr">
        <is>
          <t>Aline Batista</t>
        </is>
      </c>
      <c r="U954" t="inlineStr">
        <is>
          <t>24/04/2026</t>
        </is>
      </c>
      <c r="V954" t="inlineStr">
        <is>
          <t>01/05/2026</t>
        </is>
      </c>
      <c r="W954">
        <v>40</v>
      </c>
      <c r="AA954" t="inlineStr">
        <is>
          <t>Aberta 30-60 dias</t>
        </is>
      </c>
      <c r="AB954" t="inlineStr">
        <is>
          <t>EMPA</t>
        </is>
      </c>
      <c r="AC954" t="inlineStr">
        <is>
          <t>Aline</t>
        </is>
      </c>
      <c r="AD954" t="inlineStr">
        <is>
          <t>01/07/2026</t>
        </is>
      </c>
      <c r="AE954" t="inlineStr">
        <is>
          <t>05/07/2026</t>
        </is>
      </c>
      <c r="AF954" t="inlineStr">
        <is>
          <t>Prazo Premissa VALE</t>
        </is>
      </c>
    </row>
    <row r="955">
      <c r="A955">
        <v>953</v>
      </c>
      <c r="B955">
        <v>1</v>
      </c>
      <c r="C955" t="inlineStr">
        <is>
          <t>1.2</t>
        </is>
      </c>
      <c r="D955" t="inlineStr">
        <is>
          <t>C39</t>
        </is>
      </c>
      <c r="E955" t="inlineStr">
        <is>
          <t>LE</t>
        </is>
      </c>
      <c r="F955" t="inlineStr">
        <is>
          <t>EMPA</t>
        </is>
      </c>
      <c r="G955" t="inlineStr">
        <is>
          <t>CLP-013</t>
        </is>
      </c>
      <c r="H955" t="inlineStr">
        <is>
          <t>Protocolo</t>
        </is>
      </c>
      <c r="I955">
        <v>6</v>
      </c>
      <c r="J955" t="inlineStr">
        <is>
          <t>Drenagem Superficial</t>
        </is>
      </c>
      <c r="K955" t="inlineStr">
        <is>
          <t>6.3</t>
        </is>
      </c>
      <c r="L955" t="inlineStr">
        <is>
          <t>DRA / EDA</t>
        </is>
      </c>
      <c r="M955" t="inlineStr">
        <is>
          <t>Dispositivo não executado</t>
        </is>
      </c>
      <c r="N955" t="inlineStr">
        <is>
          <t>Dispositivos EDA 01 e DRA não executados.</t>
        </is>
      </c>
      <c r="O955" t="inlineStr">
        <is>
          <t>Tipo A</t>
        </is>
      </c>
      <c r="P955" t="inlineStr">
        <is>
          <t>19+474</t>
        </is>
      </c>
      <c r="Q955" t="inlineStr">
        <is>
          <t>19+474</t>
        </is>
      </c>
      <c r="R955" t="inlineStr">
        <is>
          <t>Aberta</t>
        </is>
      </c>
      <c r="T955" t="inlineStr">
        <is>
          <t>Aline Batista</t>
        </is>
      </c>
      <c r="U955" t="inlineStr">
        <is>
          <t>24/04/2026</t>
        </is>
      </c>
      <c r="V955" t="inlineStr">
        <is>
          <t>01/05/2026</t>
        </is>
      </c>
      <c r="W955">
        <v>40</v>
      </c>
      <c r="AA955" t="inlineStr">
        <is>
          <t>Aberta 30-60 dias</t>
        </is>
      </c>
      <c r="AB955" t="inlineStr">
        <is>
          <t>EMPA</t>
        </is>
      </c>
      <c r="AC955" t="inlineStr">
        <is>
          <t>Aline</t>
        </is>
      </c>
      <c r="AD955" t="inlineStr">
        <is>
          <t>01/07/2026</t>
        </is>
      </c>
      <c r="AE955" t="inlineStr">
        <is>
          <t>05/07/2026</t>
        </is>
      </c>
      <c r="AF955" t="inlineStr">
        <is>
          <t>Prazo Premissa VALE</t>
        </is>
      </c>
    </row>
    <row r="956">
      <c r="A956">
        <v>954</v>
      </c>
      <c r="B956">
        <v>1</v>
      </c>
      <c r="C956" t="inlineStr">
        <is>
          <t>1.2</t>
        </is>
      </c>
      <c r="D956" t="inlineStr">
        <is>
          <t>C39</t>
        </is>
      </c>
      <c r="E956" t="inlineStr">
        <is>
          <t>LE</t>
        </is>
      </c>
      <c r="F956" t="inlineStr">
        <is>
          <t>EMPA</t>
        </is>
      </c>
      <c r="G956" t="inlineStr">
        <is>
          <t>CLP-013</t>
        </is>
      </c>
      <c r="H956" t="inlineStr">
        <is>
          <t>Protocolo</t>
        </is>
      </c>
      <c r="I956">
        <v>6</v>
      </c>
      <c r="J956" t="inlineStr">
        <is>
          <t>Drenagem Superficial</t>
        </is>
      </c>
      <c r="K956" t="inlineStr">
        <is>
          <t>6.3</t>
        </is>
      </c>
      <c r="L956" t="inlineStr">
        <is>
          <t>DRA / EDA</t>
        </is>
      </c>
      <c r="M956" t="inlineStr">
        <is>
          <t>Dispositivo não executado</t>
        </is>
      </c>
      <c r="N956" t="inlineStr">
        <is>
          <t>Dispositivos EDA 01 e DRA não executados.</t>
        </is>
      </c>
      <c r="O956" t="inlineStr">
        <is>
          <t>Tipo A</t>
        </is>
      </c>
      <c r="P956" t="inlineStr">
        <is>
          <t>19+474</t>
        </is>
      </c>
      <c r="Q956" t="inlineStr">
        <is>
          <t>19+474</t>
        </is>
      </c>
      <c r="R956" t="inlineStr">
        <is>
          <t>Aberta</t>
        </is>
      </c>
      <c r="T956" t="inlineStr">
        <is>
          <t>Aline Batista</t>
        </is>
      </c>
      <c r="U956" t="inlineStr">
        <is>
          <t>24/04/2026</t>
        </is>
      </c>
      <c r="V956" t="inlineStr">
        <is>
          <t>01/05/2026</t>
        </is>
      </c>
      <c r="W956">
        <v>40</v>
      </c>
      <c r="AA956" t="inlineStr">
        <is>
          <t>Aberta 30-60 dias</t>
        </is>
      </c>
      <c r="AB956" t="inlineStr">
        <is>
          <t>EMPA</t>
        </is>
      </c>
      <c r="AC956" t="inlineStr">
        <is>
          <t>Aline</t>
        </is>
      </c>
      <c r="AD956" t="inlineStr">
        <is>
          <t>01/07/2026</t>
        </is>
      </c>
      <c r="AE956" t="inlineStr">
        <is>
          <t>05/07/2026</t>
        </is>
      </c>
      <c r="AF956" t="inlineStr">
        <is>
          <t>Prazo Premissa VALE</t>
        </is>
      </c>
    </row>
    <row r="957">
      <c r="A957">
        <v>955</v>
      </c>
      <c r="B957">
        <v>1</v>
      </c>
      <c r="C957" t="inlineStr">
        <is>
          <t>1.2</t>
        </is>
      </c>
      <c r="D957" t="inlineStr">
        <is>
          <t>C39</t>
        </is>
      </c>
      <c r="E957" t="inlineStr">
        <is>
          <t>LE</t>
        </is>
      </c>
      <c r="F957" t="inlineStr">
        <is>
          <t>EMPA</t>
        </is>
      </c>
      <c r="G957" t="inlineStr">
        <is>
          <t>CLP-013</t>
        </is>
      </c>
      <c r="H957" t="inlineStr">
        <is>
          <t>Protocolo</t>
        </is>
      </c>
      <c r="I957">
        <v>6</v>
      </c>
      <c r="J957" t="inlineStr">
        <is>
          <t>Drenagem Superficial</t>
        </is>
      </c>
      <c r="K957" t="inlineStr">
        <is>
          <t>6.3</t>
        </is>
      </c>
      <c r="L957" t="inlineStr">
        <is>
          <t>DRA / EDA</t>
        </is>
      </c>
      <c r="M957" t="inlineStr">
        <is>
          <t>Dispositivo não executado</t>
        </is>
      </c>
      <c r="N957" t="inlineStr">
        <is>
          <t>Dispositivos EDA 01 e DRA não executados.</t>
        </is>
      </c>
      <c r="O957" t="inlineStr">
        <is>
          <t>Tipo A</t>
        </is>
      </c>
      <c r="P957" t="inlineStr">
        <is>
          <t>19+474</t>
        </is>
      </c>
      <c r="Q957" t="inlineStr">
        <is>
          <t>19+474</t>
        </is>
      </c>
      <c r="R957" t="inlineStr">
        <is>
          <t>Aberta</t>
        </is>
      </c>
      <c r="T957" t="inlineStr">
        <is>
          <t>Aline Batista</t>
        </is>
      </c>
      <c r="U957" t="inlineStr">
        <is>
          <t>24/04/2026</t>
        </is>
      </c>
      <c r="V957" t="inlineStr">
        <is>
          <t>01/05/2026</t>
        </is>
      </c>
      <c r="W957">
        <v>40</v>
      </c>
      <c r="AA957" t="inlineStr">
        <is>
          <t>Aberta 30-60 dias</t>
        </is>
      </c>
      <c r="AB957" t="inlineStr">
        <is>
          <t>EMPA</t>
        </is>
      </c>
      <c r="AC957" t="inlineStr">
        <is>
          <t>Aline</t>
        </is>
      </c>
      <c r="AD957" t="inlineStr">
        <is>
          <t>01/07/2026</t>
        </is>
      </c>
      <c r="AE957" t="inlineStr">
        <is>
          <t>05/07/2026</t>
        </is>
      </c>
      <c r="AF957" t="inlineStr">
        <is>
          <t>Prazo Premissa VALE</t>
        </is>
      </c>
    </row>
    <row r="958">
      <c r="A958">
        <v>956</v>
      </c>
      <c r="B958">
        <v>1</v>
      </c>
      <c r="C958" t="inlineStr">
        <is>
          <t>1.2</t>
        </is>
      </c>
      <c r="D958" t="inlineStr">
        <is>
          <t>C40</t>
        </is>
      </c>
      <c r="E958" t="inlineStr">
        <is>
          <t>LD/LE</t>
        </is>
      </c>
      <c r="F958" t="inlineStr">
        <is>
          <t>EMPA</t>
        </is>
      </c>
      <c r="G958" t="inlineStr">
        <is>
          <t>CLP-013</t>
        </is>
      </c>
      <c r="H958" t="inlineStr">
        <is>
          <t>Protocolo</t>
        </is>
      </c>
      <c r="I958">
        <v>6</v>
      </c>
      <c r="J958" t="inlineStr">
        <is>
          <t>Drenagem Superficial</t>
        </is>
      </c>
      <c r="K958" t="inlineStr">
        <is>
          <t>6.5</t>
        </is>
      </c>
      <c r="L958" t="inlineStr">
        <is>
          <t>Drenagem superficial</t>
        </is>
      </c>
      <c r="M958" t="inlineStr">
        <is>
          <t>Dispositivo não executado</t>
        </is>
      </c>
      <c r="N958" t="inlineStr">
        <is>
          <t>Dissipador não executado</t>
        </is>
      </c>
      <c r="O958" t="inlineStr">
        <is>
          <t>Tipo A</t>
        </is>
      </c>
      <c r="P958" t="inlineStr">
        <is>
          <t>19+810</t>
        </is>
      </c>
      <c r="Q958" t="inlineStr">
        <is>
          <t>20+000</t>
        </is>
      </c>
      <c r="R958" t="inlineStr">
        <is>
          <t>Aberta</t>
        </is>
      </c>
      <c r="T958" t="inlineStr">
        <is>
          <t>Aline Batista</t>
        </is>
      </c>
      <c r="U958" t="inlineStr">
        <is>
          <t>24/04/2026</t>
        </is>
      </c>
      <c r="V958" t="inlineStr">
        <is>
          <t>01/05/2026</t>
        </is>
      </c>
      <c r="W958">
        <v>40</v>
      </c>
      <c r="AA958" t="inlineStr">
        <is>
          <t>Aberta 30-60 dias</t>
        </is>
      </c>
      <c r="AB958" t="inlineStr">
        <is>
          <t>EMPA</t>
        </is>
      </c>
      <c r="AC958" t="inlineStr">
        <is>
          <t>Aline</t>
        </is>
      </c>
      <c r="AD958" t="inlineStr">
        <is>
          <t>01/07/2026</t>
        </is>
      </c>
      <c r="AE958" t="inlineStr">
        <is>
          <t>05/07/2026</t>
        </is>
      </c>
      <c r="AF958" t="inlineStr">
        <is>
          <t>Prazo Premissa VALE</t>
        </is>
      </c>
    </row>
    <row r="959">
      <c r="A959">
        <v>957</v>
      </c>
      <c r="B959">
        <v>1</v>
      </c>
      <c r="C959" t="inlineStr">
        <is>
          <t>1.2</t>
        </is>
      </c>
      <c r="D959" t="inlineStr">
        <is>
          <t>C40</t>
        </is>
      </c>
      <c r="E959" t="inlineStr">
        <is>
          <t>LD/LE</t>
        </is>
      </c>
      <c r="F959" t="inlineStr">
        <is>
          <t>EMPA</t>
        </is>
      </c>
      <c r="G959" t="inlineStr">
        <is>
          <t>CLP-013</t>
        </is>
      </c>
      <c r="H959" t="inlineStr">
        <is>
          <t>Fiscalização</t>
        </is>
      </c>
      <c r="I959">
        <v>6</v>
      </c>
      <c r="J959" t="inlineStr">
        <is>
          <t>Drenagem Superficial</t>
        </is>
      </c>
      <c r="K959" t="inlineStr">
        <is>
          <t>6.5</t>
        </is>
      </c>
      <c r="L959" t="inlineStr">
        <is>
          <t>Drenagem superficial</t>
        </is>
      </c>
      <c r="M959" t="inlineStr">
        <is>
          <t>Erosões</t>
        </is>
      </c>
      <c r="N959" t="inlineStr">
        <is>
          <t>Processo erosivo identificado no pé da descida d’água, sendo necessária a implantação de dispositivo de drenagem com dissipação de energia, a fim de controlar o escoamento e mitigar a erosão.</t>
        </is>
      </c>
      <c r="O959" t="inlineStr">
        <is>
          <t>Tipo A</t>
        </is>
      </c>
      <c r="P959" t="inlineStr">
        <is>
          <t>20+210</t>
        </is>
      </c>
      <c r="Q959" t="inlineStr">
        <is>
          <t>20+740</t>
        </is>
      </c>
      <c r="R959" t="inlineStr">
        <is>
          <t>Aberta</t>
        </is>
      </c>
      <c r="T959" t="inlineStr">
        <is>
          <t>Aline Batista</t>
        </is>
      </c>
      <c r="U959" t="inlineStr">
        <is>
          <t>24/04/2026</t>
        </is>
      </c>
      <c r="V959" t="inlineStr">
        <is>
          <t>01/05/2026</t>
        </is>
      </c>
      <c r="W959">
        <v>40</v>
      </c>
      <c r="AA959" t="inlineStr">
        <is>
          <t>Aberta 30-60 dias</t>
        </is>
      </c>
      <c r="AB959" t="inlineStr">
        <is>
          <t>EMPA</t>
        </is>
      </c>
      <c r="AC959" t="inlineStr">
        <is>
          <t>Aline</t>
        </is>
      </c>
      <c r="AD959" t="inlineStr">
        <is>
          <t>01/07/2026</t>
        </is>
      </c>
      <c r="AE959" t="inlineStr">
        <is>
          <t>05/07/2026</t>
        </is>
      </c>
      <c r="AF959" t="inlineStr">
        <is>
          <t>Prazo premissa VALE</t>
        </is>
      </c>
    </row>
    <row r="960">
      <c r="A960">
        <v>958</v>
      </c>
      <c r="B960">
        <v>1</v>
      </c>
      <c r="C960" t="inlineStr">
        <is>
          <t>1.2</t>
        </is>
      </c>
      <c r="D960" t="inlineStr">
        <is>
          <t>C40</t>
        </is>
      </c>
      <c r="E960" t="inlineStr">
        <is>
          <t>LE</t>
        </is>
      </c>
      <c r="F960" t="inlineStr">
        <is>
          <t>EMPA</t>
        </is>
      </c>
      <c r="G960" t="inlineStr">
        <is>
          <t>CLP-013</t>
        </is>
      </c>
      <c r="H960" t="inlineStr">
        <is>
          <t>Protocolo</t>
        </is>
      </c>
      <c r="I960">
        <v>6</v>
      </c>
      <c r="J960" t="inlineStr">
        <is>
          <t>Drenagem Superficial</t>
        </is>
      </c>
      <c r="K960" t="inlineStr">
        <is>
          <t>6.5</t>
        </is>
      </c>
      <c r="L960" t="inlineStr">
        <is>
          <t>DDA</t>
        </is>
      </c>
      <c r="M960" t="inlineStr">
        <is>
          <t>Dispositivo não executado</t>
        </is>
      </c>
      <c r="N960" t="inlineStr">
        <is>
          <t>Pendente execução de dissipador de energia e desobstrução do percurso da água</t>
        </is>
      </c>
      <c r="O960" t="inlineStr">
        <is>
          <t>Tipo A</t>
        </is>
      </c>
      <c r="P960" t="inlineStr">
        <is>
          <t>20+200</t>
        </is>
      </c>
      <c r="Q960" t="inlineStr">
        <is>
          <t>20+200</t>
        </is>
      </c>
      <c r="R960" t="inlineStr">
        <is>
          <t>Aberta</t>
        </is>
      </c>
      <c r="T960" t="inlineStr">
        <is>
          <t>Aline Batista</t>
        </is>
      </c>
      <c r="U960" t="inlineStr">
        <is>
          <t>24/04/2026</t>
        </is>
      </c>
      <c r="V960" t="inlineStr">
        <is>
          <t>01/05/2026</t>
        </is>
      </c>
      <c r="W960">
        <v>40</v>
      </c>
      <c r="AA960" t="inlineStr">
        <is>
          <t>Aberta 30-60 dias</t>
        </is>
      </c>
      <c r="AB960" t="inlineStr">
        <is>
          <t>EMPA</t>
        </is>
      </c>
      <c r="AC960" t="inlineStr">
        <is>
          <t>Aline</t>
        </is>
      </c>
      <c r="AD960" t="inlineStr">
        <is>
          <t>01/07/2026</t>
        </is>
      </c>
      <c r="AE960" t="inlineStr">
        <is>
          <t>05/07/2026</t>
        </is>
      </c>
      <c r="AF960" t="inlineStr">
        <is>
          <t>Prazo premissa VALE</t>
        </is>
      </c>
    </row>
    <row r="961">
      <c r="A961">
        <v>959</v>
      </c>
      <c r="B961">
        <v>1</v>
      </c>
      <c r="C961" t="inlineStr">
        <is>
          <t>1.2</t>
        </is>
      </c>
      <c r="D961" t="inlineStr">
        <is>
          <t>A44</t>
        </is>
      </c>
      <c r="E961" t="inlineStr">
        <is>
          <t>LE</t>
        </is>
      </c>
      <c r="F961" t="inlineStr">
        <is>
          <t>EMPA</t>
        </is>
      </c>
      <c r="G961" t="inlineStr">
        <is>
          <t>CLP-013</t>
        </is>
      </c>
      <c r="H961" t="inlineStr">
        <is>
          <t>Protocolo</t>
        </is>
      </c>
      <c r="I961">
        <v>6</v>
      </c>
      <c r="J961" t="inlineStr">
        <is>
          <t>Drenagem Superficial</t>
        </is>
      </c>
      <c r="K961" t="inlineStr">
        <is>
          <t>6.5</t>
        </is>
      </c>
      <c r="L961" t="inlineStr">
        <is>
          <t>Drenagem superficial</t>
        </is>
      </c>
      <c r="M961" t="inlineStr">
        <is>
          <t>Dispositivo não executado</t>
        </is>
      </c>
      <c r="N961" t="inlineStr">
        <is>
          <t>Dissipador não executado, conformação talude dispositivo e aplicação de hidrossemeadura</t>
        </is>
      </c>
      <c r="O961" t="inlineStr">
        <is>
          <t>Tipo A</t>
        </is>
      </c>
      <c r="P961" t="inlineStr">
        <is>
          <t>20+880</t>
        </is>
      </c>
      <c r="Q961" t="inlineStr">
        <is>
          <t>20+880</t>
        </is>
      </c>
      <c r="R961" t="inlineStr">
        <is>
          <t>Aberta</t>
        </is>
      </c>
      <c r="T961" t="inlineStr">
        <is>
          <t>Aline Batista</t>
        </is>
      </c>
      <c r="U961" t="inlineStr">
        <is>
          <t>24/04/2026</t>
        </is>
      </c>
      <c r="V961" t="inlineStr">
        <is>
          <t>01/05/2026</t>
        </is>
      </c>
      <c r="W961">
        <v>40</v>
      </c>
      <c r="AA961" t="inlineStr">
        <is>
          <t>Aberta 30-60 dias</t>
        </is>
      </c>
      <c r="AB961" t="inlineStr">
        <is>
          <t>EMPA</t>
        </is>
      </c>
      <c r="AC961" t="inlineStr">
        <is>
          <t>Aline</t>
        </is>
      </c>
      <c r="AD961" t="inlineStr">
        <is>
          <t>01/07/2026</t>
        </is>
      </c>
      <c r="AE961" t="inlineStr">
        <is>
          <t>05/07/2026</t>
        </is>
      </c>
      <c r="AF961" t="inlineStr">
        <is>
          <t>Prazo premissa VALE</t>
        </is>
      </c>
    </row>
    <row r="962">
      <c r="A962">
        <v>960</v>
      </c>
      <c r="B962">
        <v>1</v>
      </c>
      <c r="C962" t="inlineStr">
        <is>
          <t>1.2</t>
        </is>
      </c>
      <c r="D962" t="inlineStr">
        <is>
          <t>C39</t>
        </is>
      </c>
      <c r="E962" t="inlineStr">
        <is>
          <t>LE</t>
        </is>
      </c>
      <c r="F962" t="inlineStr">
        <is>
          <t>EMPA</t>
        </is>
      </c>
      <c r="G962" t="inlineStr">
        <is>
          <t>CLP-013</t>
        </is>
      </c>
      <c r="H962" t="inlineStr">
        <is>
          <t>Protocolo</t>
        </is>
      </c>
      <c r="I962">
        <v>6</v>
      </c>
      <c r="J962" t="inlineStr">
        <is>
          <t>Drenagem Superficial</t>
        </is>
      </c>
      <c r="K962" t="inlineStr">
        <is>
          <t>6.5</t>
        </is>
      </c>
      <c r="L962" t="inlineStr">
        <is>
          <t>DED</t>
        </is>
      </c>
      <c r="M962" t="inlineStr">
        <is>
          <t>Dispositivo não executado</t>
        </is>
      </c>
      <c r="N962" t="inlineStr">
        <is>
          <t>Dissipador de energia DED 01 não executado.</t>
        </is>
      </c>
      <c r="O962" t="inlineStr">
        <is>
          <t>Tipo A</t>
        </is>
      </c>
      <c r="P962" t="inlineStr">
        <is>
          <t>19+474</t>
        </is>
      </c>
      <c r="Q962" t="inlineStr">
        <is>
          <t>19+474</t>
        </is>
      </c>
      <c r="R962" t="inlineStr">
        <is>
          <t>Aberta</t>
        </is>
      </c>
      <c r="T962" t="inlineStr">
        <is>
          <t>Aline Batista</t>
        </is>
      </c>
      <c r="U962" t="inlineStr">
        <is>
          <t>24/04/2026</t>
        </is>
      </c>
      <c r="V962" t="inlineStr">
        <is>
          <t>01/05/2026</t>
        </is>
      </c>
      <c r="W962">
        <v>40</v>
      </c>
      <c r="AA962" t="inlineStr">
        <is>
          <t>Aberta 30-60 dias</t>
        </is>
      </c>
      <c r="AB962" t="inlineStr">
        <is>
          <t>EMPA</t>
        </is>
      </c>
      <c r="AC962" t="inlineStr">
        <is>
          <t>Aline</t>
        </is>
      </c>
      <c r="AD962" t="inlineStr">
        <is>
          <t>01/07/2026</t>
        </is>
      </c>
      <c r="AE962" t="inlineStr">
        <is>
          <t>05/07/2026</t>
        </is>
      </c>
      <c r="AF962" t="inlineStr">
        <is>
          <t>Prazo Premissa VALE</t>
        </is>
      </c>
    </row>
    <row r="963">
      <c r="A963">
        <v>961</v>
      </c>
      <c r="B963">
        <v>1</v>
      </c>
      <c r="C963" t="inlineStr">
        <is>
          <t>1.2</t>
        </is>
      </c>
      <c r="D963" t="inlineStr">
        <is>
          <t>C39</t>
        </is>
      </c>
      <c r="E963" t="inlineStr">
        <is>
          <t>LE</t>
        </is>
      </c>
      <c r="F963" t="inlineStr">
        <is>
          <t>EMPA</t>
        </is>
      </c>
      <c r="G963" t="inlineStr">
        <is>
          <t>CLP-013</t>
        </is>
      </c>
      <c r="H963" t="inlineStr">
        <is>
          <t>Protocolo</t>
        </is>
      </c>
      <c r="I963">
        <v>6</v>
      </c>
      <c r="J963" t="inlineStr">
        <is>
          <t>Drenagem Superficial</t>
        </is>
      </c>
      <c r="K963" t="inlineStr">
        <is>
          <t>6.5</t>
        </is>
      </c>
      <c r="L963" t="inlineStr">
        <is>
          <t>DED</t>
        </is>
      </c>
      <c r="M963" t="inlineStr">
        <is>
          <t>Dispositivo não executado</t>
        </is>
      </c>
      <c r="N963" t="inlineStr">
        <is>
          <t>Dissipador de energia DED 01 não executado.</t>
        </is>
      </c>
      <c r="O963" t="inlineStr">
        <is>
          <t>Tipo A</t>
        </is>
      </c>
      <c r="P963" t="inlineStr">
        <is>
          <t>19+474</t>
        </is>
      </c>
      <c r="Q963" t="inlineStr">
        <is>
          <t>19+474</t>
        </is>
      </c>
      <c r="R963" t="inlineStr">
        <is>
          <t>Aberta</t>
        </is>
      </c>
      <c r="T963" t="inlineStr">
        <is>
          <t>Aline Batista</t>
        </is>
      </c>
      <c r="U963" t="inlineStr">
        <is>
          <t>24/04/2026</t>
        </is>
      </c>
      <c r="V963" t="inlineStr">
        <is>
          <t>01/05/2026</t>
        </is>
      </c>
      <c r="W963">
        <v>40</v>
      </c>
      <c r="AA963" t="inlineStr">
        <is>
          <t>Aberta 30-60 dias</t>
        </is>
      </c>
      <c r="AB963" t="inlineStr">
        <is>
          <t>EMPA</t>
        </is>
      </c>
      <c r="AC963" t="inlineStr">
        <is>
          <t>Aline</t>
        </is>
      </c>
      <c r="AD963" t="inlineStr">
        <is>
          <t>01/07/2026</t>
        </is>
      </c>
      <c r="AE963" t="inlineStr">
        <is>
          <t>05/07/2026</t>
        </is>
      </c>
      <c r="AF963" t="inlineStr">
        <is>
          <t>Prazo Premissa VALE</t>
        </is>
      </c>
    </row>
    <row r="964">
      <c r="A964">
        <v>962</v>
      </c>
      <c r="B964">
        <v>1</v>
      </c>
      <c r="C964" t="inlineStr">
        <is>
          <t>1.2</t>
        </is>
      </c>
      <c r="D964" t="inlineStr">
        <is>
          <t>C39</t>
        </is>
      </c>
      <c r="E964" t="inlineStr">
        <is>
          <t>LE</t>
        </is>
      </c>
      <c r="F964" t="inlineStr">
        <is>
          <t>EMPA</t>
        </is>
      </c>
      <c r="G964" t="inlineStr">
        <is>
          <t>CLP-013</t>
        </is>
      </c>
      <c r="H964" t="inlineStr">
        <is>
          <t>Protocolo</t>
        </is>
      </c>
      <c r="I964">
        <v>6</v>
      </c>
      <c r="J964" t="inlineStr">
        <is>
          <t>Drenagem Superficial</t>
        </is>
      </c>
      <c r="K964" t="inlineStr">
        <is>
          <t>6.5</t>
        </is>
      </c>
      <c r="L964" t="inlineStr">
        <is>
          <t>DED</t>
        </is>
      </c>
      <c r="M964" t="inlineStr">
        <is>
          <t>Dispositivo não executado</t>
        </is>
      </c>
      <c r="N964" t="inlineStr">
        <is>
          <t>Dissipador de energia DED 01 não executado.</t>
        </is>
      </c>
      <c r="O964" t="inlineStr">
        <is>
          <t>Tipo A</t>
        </is>
      </c>
      <c r="P964" t="inlineStr">
        <is>
          <t>19+474</t>
        </is>
      </c>
      <c r="Q964" t="inlineStr">
        <is>
          <t>19+474</t>
        </is>
      </c>
      <c r="R964" t="inlineStr">
        <is>
          <t>Aberta</t>
        </is>
      </c>
      <c r="T964" t="inlineStr">
        <is>
          <t>Aline Batista</t>
        </is>
      </c>
      <c r="U964" t="inlineStr">
        <is>
          <t>24/04/2026</t>
        </is>
      </c>
      <c r="V964" t="inlineStr">
        <is>
          <t>01/05/2026</t>
        </is>
      </c>
      <c r="W964">
        <v>40</v>
      </c>
      <c r="AA964" t="inlineStr">
        <is>
          <t>Aberta 30-60 dias</t>
        </is>
      </c>
      <c r="AB964" t="inlineStr">
        <is>
          <t>EMPA</t>
        </is>
      </c>
      <c r="AC964" t="inlineStr">
        <is>
          <t>Aline</t>
        </is>
      </c>
      <c r="AD964" t="inlineStr">
        <is>
          <t>01/07/2026</t>
        </is>
      </c>
      <c r="AE964" t="inlineStr">
        <is>
          <t>05/07/2026</t>
        </is>
      </c>
      <c r="AF964" t="inlineStr">
        <is>
          <t>Prazo Premissa VALE</t>
        </is>
      </c>
    </row>
    <row r="965">
      <c r="A965">
        <v>963</v>
      </c>
      <c r="B965">
        <v>1</v>
      </c>
      <c r="C965" t="inlineStr">
        <is>
          <t>1.2</t>
        </is>
      </c>
      <c r="D965" t="inlineStr">
        <is>
          <t>C40</t>
        </is>
      </c>
      <c r="F965" t="inlineStr">
        <is>
          <t>EMPA</t>
        </is>
      </c>
      <c r="G965" t="inlineStr">
        <is>
          <t>CLP-013</t>
        </is>
      </c>
      <c r="H965" t="inlineStr">
        <is>
          <t>Protocolo</t>
        </is>
      </c>
      <c r="I965">
        <v>6</v>
      </c>
      <c r="J965" t="inlineStr">
        <is>
          <t>Drenagem Superficial</t>
        </is>
      </c>
      <c r="K965" t="inlineStr">
        <is>
          <t>6.5</t>
        </is>
      </c>
      <c r="L965" t="inlineStr">
        <is>
          <t>DED</t>
        </is>
      </c>
      <c r="M965" t="inlineStr">
        <is>
          <t>Dispositivo não executado</t>
        </is>
      </c>
      <c r="N965" t="inlineStr">
        <is>
          <t>Dissipador de energia DED 01 não executado.</t>
        </is>
      </c>
      <c r="O965" t="inlineStr">
        <is>
          <t>Tipo A</t>
        </is>
      </c>
      <c r="P965" t="inlineStr">
        <is>
          <t>19+760</t>
        </is>
      </c>
      <c r="Q965" t="inlineStr">
        <is>
          <t>19+760</t>
        </is>
      </c>
      <c r="R965" t="inlineStr">
        <is>
          <t>Aberta</t>
        </is>
      </c>
      <c r="T965" t="inlineStr">
        <is>
          <t>Aline Batista</t>
        </is>
      </c>
      <c r="U965" t="inlineStr">
        <is>
          <t>24/04/2026</t>
        </is>
      </c>
      <c r="V965" t="inlineStr">
        <is>
          <t>01/05/2026</t>
        </is>
      </c>
      <c r="W965">
        <v>40</v>
      </c>
      <c r="AA965" t="inlineStr">
        <is>
          <t>Aberta 30-60 dias</t>
        </is>
      </c>
      <c r="AB965" t="inlineStr">
        <is>
          <t>EMPA</t>
        </is>
      </c>
      <c r="AC965" t="inlineStr">
        <is>
          <t>Aline</t>
        </is>
      </c>
      <c r="AD965" t="inlineStr">
        <is>
          <t>01/07/2026</t>
        </is>
      </c>
      <c r="AE965" t="inlineStr">
        <is>
          <t>05/07/2026</t>
        </is>
      </c>
      <c r="AF965" t="inlineStr">
        <is>
          <t>Prazo Premissa VALE</t>
        </is>
      </c>
    </row>
    <row r="966">
      <c r="A966">
        <v>964</v>
      </c>
      <c r="B966">
        <v>1</v>
      </c>
      <c r="C966" t="inlineStr">
        <is>
          <t>1.2</t>
        </is>
      </c>
      <c r="D966" t="inlineStr">
        <is>
          <t>C40</t>
        </is>
      </c>
      <c r="F966" t="inlineStr">
        <is>
          <t>EMPA</t>
        </is>
      </c>
      <c r="G966" t="inlineStr">
        <is>
          <t>CLP-013</t>
        </is>
      </c>
      <c r="H966" t="inlineStr">
        <is>
          <t>Protocolo</t>
        </is>
      </c>
      <c r="I966">
        <v>6</v>
      </c>
      <c r="J966" t="inlineStr">
        <is>
          <t>Drenagem Superficial</t>
        </is>
      </c>
      <c r="K966" t="inlineStr">
        <is>
          <t>6.5</t>
        </is>
      </c>
      <c r="L966" t="inlineStr">
        <is>
          <t>DED</t>
        </is>
      </c>
      <c r="M966" t="inlineStr">
        <is>
          <t>Dispositivo não executado</t>
        </is>
      </c>
      <c r="N966" t="inlineStr">
        <is>
          <t>Dissipador de energia DED 01 não executado.</t>
        </is>
      </c>
      <c r="O966" t="inlineStr">
        <is>
          <t>Tipo A</t>
        </is>
      </c>
      <c r="P966" t="inlineStr">
        <is>
          <t>19+935</t>
        </is>
      </c>
      <c r="Q966" t="inlineStr">
        <is>
          <t>19+935</t>
        </is>
      </c>
      <c r="R966" t="inlineStr">
        <is>
          <t>Aberta</t>
        </is>
      </c>
      <c r="T966" t="inlineStr">
        <is>
          <t>Aline Batista</t>
        </is>
      </c>
      <c r="U966" t="inlineStr">
        <is>
          <t>24/04/2026</t>
        </is>
      </c>
      <c r="V966" t="inlineStr">
        <is>
          <t>01/05/2026</t>
        </is>
      </c>
      <c r="W966">
        <v>40</v>
      </c>
      <c r="AA966" t="inlineStr">
        <is>
          <t>Aberta 30-60 dias</t>
        </is>
      </c>
      <c r="AB966" t="inlineStr">
        <is>
          <t>EMPA</t>
        </is>
      </c>
      <c r="AC966" t="inlineStr">
        <is>
          <t>Aline</t>
        </is>
      </c>
      <c r="AD966" t="inlineStr">
        <is>
          <t>01/07/2026</t>
        </is>
      </c>
      <c r="AE966" t="inlineStr">
        <is>
          <t>05/07/2026</t>
        </is>
      </c>
      <c r="AF966" t="inlineStr">
        <is>
          <t>Prazo Premissa VALE</t>
        </is>
      </c>
    </row>
    <row r="967">
      <c r="A967">
        <v>965</v>
      </c>
      <c r="B967">
        <v>1</v>
      </c>
      <c r="C967" t="inlineStr">
        <is>
          <t>1.2</t>
        </is>
      </c>
      <c r="D967" t="inlineStr">
        <is>
          <t>C39</t>
        </is>
      </c>
      <c r="F967" t="inlineStr">
        <is>
          <t>EMPA</t>
        </is>
      </c>
      <c r="G967" t="inlineStr">
        <is>
          <t>CLP-013</t>
        </is>
      </c>
      <c r="H967" t="inlineStr">
        <is>
          <t>Protocolo</t>
        </is>
      </c>
      <c r="I967">
        <v>6</v>
      </c>
      <c r="J967" t="inlineStr">
        <is>
          <t>Drenagem Superficial</t>
        </is>
      </c>
      <c r="K967" t="inlineStr">
        <is>
          <t>6.5</t>
        </is>
      </c>
      <c r="L967" t="inlineStr">
        <is>
          <t>DVS</t>
        </is>
      </c>
      <c r="M967" t="inlineStr">
        <is>
          <t>Dispositivo não executado</t>
        </is>
      </c>
      <c r="N967" t="inlineStr">
        <is>
          <t>Dissipador de energia DVS 02 não executado.</t>
        </is>
      </c>
      <c r="O967" t="inlineStr">
        <is>
          <t>Tipo A</t>
        </is>
      </c>
      <c r="P967" t="inlineStr">
        <is>
          <t>19+474</t>
        </is>
      </c>
      <c r="Q967" t="inlineStr">
        <is>
          <t>19+474</t>
        </is>
      </c>
      <c r="R967" t="inlineStr">
        <is>
          <t>Aberta</t>
        </is>
      </c>
      <c r="T967" t="inlineStr">
        <is>
          <t>Aline Batista</t>
        </is>
      </c>
      <c r="U967" t="inlineStr">
        <is>
          <t>24/04/2026</t>
        </is>
      </c>
      <c r="V967" t="inlineStr">
        <is>
          <t>01/05/2026</t>
        </is>
      </c>
      <c r="W967">
        <v>40</v>
      </c>
      <c r="AA967" t="inlineStr">
        <is>
          <t>Aberta 30-60 dias</t>
        </is>
      </c>
      <c r="AB967" t="inlineStr">
        <is>
          <t>EMPA</t>
        </is>
      </c>
      <c r="AC967" t="inlineStr">
        <is>
          <t>Aline</t>
        </is>
      </c>
      <c r="AD967" t="inlineStr">
        <is>
          <t>01/07/2026</t>
        </is>
      </c>
      <c r="AE967" t="inlineStr">
        <is>
          <t>05/07/2026</t>
        </is>
      </c>
      <c r="AF967" t="inlineStr">
        <is>
          <t>Prazo Premissa VALE</t>
        </is>
      </c>
    </row>
    <row r="968">
      <c r="A968">
        <v>966</v>
      </c>
      <c r="B968">
        <v>1</v>
      </c>
      <c r="C968" t="inlineStr">
        <is>
          <t>1.2</t>
        </is>
      </c>
      <c r="D968" t="inlineStr">
        <is>
          <t>C40</t>
        </is>
      </c>
      <c r="F968" t="inlineStr">
        <is>
          <t>EMPA</t>
        </is>
      </c>
      <c r="G968" t="inlineStr">
        <is>
          <t>CLP-013</t>
        </is>
      </c>
      <c r="H968" t="inlineStr">
        <is>
          <t>Protocolo</t>
        </is>
      </c>
      <c r="I968">
        <v>6</v>
      </c>
      <c r="J968" t="inlineStr">
        <is>
          <t>Drenagem Superficial</t>
        </is>
      </c>
      <c r="K968" t="inlineStr">
        <is>
          <t>6.5</t>
        </is>
      </c>
      <c r="L968" t="inlineStr">
        <is>
          <t>DED</t>
        </is>
      </c>
      <c r="M968" t="inlineStr">
        <is>
          <t>Dispositivo não executado</t>
        </is>
      </c>
      <c r="N968" t="inlineStr">
        <is>
          <t>Dissipador de energia DED 01 não executado.</t>
        </is>
      </c>
      <c r="O968" t="inlineStr">
        <is>
          <t>Tipo A</t>
        </is>
      </c>
      <c r="P968" t="inlineStr">
        <is>
          <t>20+213</t>
        </is>
      </c>
      <c r="Q968" t="inlineStr">
        <is>
          <t>20+213</t>
        </is>
      </c>
      <c r="R968" t="inlineStr">
        <is>
          <t>Aberta</t>
        </is>
      </c>
      <c r="T968" t="inlineStr">
        <is>
          <t>Aline Batista</t>
        </is>
      </c>
      <c r="U968" t="inlineStr">
        <is>
          <t>24/04/2026</t>
        </is>
      </c>
      <c r="V968" t="inlineStr">
        <is>
          <t>01/05/2026</t>
        </is>
      </c>
      <c r="W968">
        <v>40</v>
      </c>
      <c r="AA968" t="inlineStr">
        <is>
          <t>Aberta 30-60 dias</t>
        </is>
      </c>
      <c r="AB968" t="inlineStr">
        <is>
          <t>EMPA</t>
        </is>
      </c>
      <c r="AC968" t="inlineStr">
        <is>
          <t>Aline</t>
        </is>
      </c>
      <c r="AD968" t="inlineStr">
        <is>
          <t>01/07/2026</t>
        </is>
      </c>
      <c r="AE968" t="inlineStr">
        <is>
          <t>05/07/2026</t>
        </is>
      </c>
      <c r="AF968" t="inlineStr">
        <is>
          <t>Prazo premissa VALE</t>
        </is>
      </c>
    </row>
    <row r="969">
      <c r="A969">
        <v>967</v>
      </c>
      <c r="B969">
        <v>1</v>
      </c>
      <c r="C969" t="inlineStr">
        <is>
          <t>1.2</t>
        </is>
      </c>
      <c r="D969" t="inlineStr">
        <is>
          <t>A44</t>
        </is>
      </c>
      <c r="F969" t="inlineStr">
        <is>
          <t>EMPA</t>
        </is>
      </c>
      <c r="G969" t="inlineStr">
        <is>
          <t>CLP-013</t>
        </is>
      </c>
      <c r="H969" t="inlineStr">
        <is>
          <t>Protocolo</t>
        </is>
      </c>
      <c r="I969">
        <v>6</v>
      </c>
      <c r="J969" t="inlineStr">
        <is>
          <t>Drenagem Superficial</t>
        </is>
      </c>
      <c r="K969" t="inlineStr">
        <is>
          <t>6.5</t>
        </is>
      </c>
      <c r="L969" t="inlineStr">
        <is>
          <t>DED</t>
        </is>
      </c>
      <c r="M969" t="inlineStr">
        <is>
          <t>Dispositivo não executado</t>
        </is>
      </c>
      <c r="N969" t="inlineStr">
        <is>
          <t>Dissipador de energia DED 01 não executado.</t>
        </is>
      </c>
      <c r="O969" t="inlineStr">
        <is>
          <t>Tipo A</t>
        </is>
      </c>
      <c r="P969" t="inlineStr">
        <is>
          <t>20+980</t>
        </is>
      </c>
      <c r="Q969" t="inlineStr">
        <is>
          <t>20+980</t>
        </is>
      </c>
      <c r="R969" t="inlineStr">
        <is>
          <t>Aberta</t>
        </is>
      </c>
      <c r="T969" t="inlineStr">
        <is>
          <t>Aline Batista</t>
        </is>
      </c>
      <c r="U969" t="inlineStr">
        <is>
          <t>24/04/2026</t>
        </is>
      </c>
      <c r="V969" t="inlineStr">
        <is>
          <t>01/05/2026</t>
        </is>
      </c>
      <c r="W969">
        <v>40</v>
      </c>
      <c r="AA969" t="inlineStr">
        <is>
          <t>Aberta 30-60 dias</t>
        </is>
      </c>
      <c r="AB969" t="inlineStr">
        <is>
          <t>EMPA</t>
        </is>
      </c>
      <c r="AC969" t="inlineStr">
        <is>
          <t>Aline</t>
        </is>
      </c>
      <c r="AD969" t="inlineStr">
        <is>
          <t>01/07/2026</t>
        </is>
      </c>
      <c r="AE969" t="inlineStr">
        <is>
          <t>05/07/2026</t>
        </is>
      </c>
      <c r="AF969" t="inlineStr">
        <is>
          <t>Prazo premissa VALE</t>
        </is>
      </c>
    </row>
    <row r="970">
      <c r="A970">
        <v>968</v>
      </c>
      <c r="B970">
        <v>1</v>
      </c>
      <c r="C970" t="inlineStr">
        <is>
          <t>1.2</t>
        </is>
      </c>
      <c r="D970" t="inlineStr">
        <is>
          <t>A40</t>
        </is>
      </c>
      <c r="E970" t="inlineStr">
        <is>
          <t>LE</t>
        </is>
      </c>
      <c r="F970" t="inlineStr">
        <is>
          <t>EMPA</t>
        </is>
      </c>
      <c r="G970" t="inlineStr">
        <is>
          <t>CLP-013</t>
        </is>
      </c>
      <c r="H970" t="inlineStr">
        <is>
          <t>Protocolo</t>
        </is>
      </c>
      <c r="I970">
        <v>6</v>
      </c>
      <c r="J970" t="inlineStr">
        <is>
          <t>Drenagem Superficial</t>
        </is>
      </c>
      <c r="K970" t="inlineStr">
        <is>
          <t>6.6</t>
        </is>
      </c>
      <c r="L970" t="inlineStr">
        <is>
          <t>VPC</t>
        </is>
      </c>
      <c r="M970" t="inlineStr">
        <is>
          <t>Dispositivo descalçado</t>
        </is>
      </c>
      <c r="N970" t="inlineStr">
        <is>
          <t>Valeta descalçada</t>
        </is>
      </c>
      <c r="O970" t="inlineStr">
        <is>
          <t>Tipo A</t>
        </is>
      </c>
      <c r="P970" t="inlineStr">
        <is>
          <t>19+760</t>
        </is>
      </c>
      <c r="Q970" t="inlineStr">
        <is>
          <t>19+760</t>
        </is>
      </c>
      <c r="R970" t="inlineStr">
        <is>
          <t>Aberta</t>
        </is>
      </c>
      <c r="T970" t="inlineStr">
        <is>
          <t>Aline Batista</t>
        </is>
      </c>
      <c r="U970" t="inlineStr">
        <is>
          <t>24/04/2026</t>
        </is>
      </c>
      <c r="V970" t="inlineStr">
        <is>
          <t>01/05/2026</t>
        </is>
      </c>
      <c r="W970">
        <v>40</v>
      </c>
      <c r="AA970" t="inlineStr">
        <is>
          <t>Aberta 30-60 dias</t>
        </is>
      </c>
      <c r="AB970" t="inlineStr">
        <is>
          <t>EMPA</t>
        </is>
      </c>
      <c r="AC970" t="inlineStr">
        <is>
          <t>Aline</t>
        </is>
      </c>
      <c r="AD970" t="inlineStr">
        <is>
          <t>01/07/2026</t>
        </is>
      </c>
      <c r="AE970" t="inlineStr">
        <is>
          <t>05/07/2026</t>
        </is>
      </c>
      <c r="AF970" t="inlineStr">
        <is>
          <t>Cronograma de Pendências EMPA</t>
        </is>
      </c>
    </row>
    <row r="971">
      <c r="A971">
        <v>969</v>
      </c>
      <c r="B971">
        <v>1</v>
      </c>
      <c r="C971" t="inlineStr">
        <is>
          <t>1.2</t>
        </is>
      </c>
      <c r="D971" t="inlineStr">
        <is>
          <t>C40</t>
        </is>
      </c>
      <c r="E971" t="inlineStr">
        <is>
          <t>LE</t>
        </is>
      </c>
      <c r="F971" t="inlineStr">
        <is>
          <t>EMPA</t>
        </is>
      </c>
      <c r="G971" t="inlineStr">
        <is>
          <t>CLP-013</t>
        </is>
      </c>
      <c r="H971" t="inlineStr">
        <is>
          <t>Protocolo</t>
        </is>
      </c>
      <c r="I971">
        <v>6</v>
      </c>
      <c r="J971" t="inlineStr">
        <is>
          <t>Drenagem Superficial</t>
        </is>
      </c>
      <c r="K971" t="inlineStr">
        <is>
          <t>6.7</t>
        </is>
      </c>
      <c r="L971" t="inlineStr">
        <is>
          <t>VPC</t>
        </is>
      </c>
      <c r="M971" t="inlineStr">
        <is>
          <t>Drenagem danificadas</t>
        </is>
      </c>
      <c r="N971" t="inlineStr">
        <is>
          <t>Dispositivo de drenagem com avarias</t>
        </is>
      </c>
      <c r="O971" t="inlineStr">
        <is>
          <t>Tipo A</t>
        </is>
      </c>
      <c r="P971" t="inlineStr">
        <is>
          <t>20+000</t>
        </is>
      </c>
      <c r="Q971" t="inlineStr">
        <is>
          <t>20+050</t>
        </is>
      </c>
      <c r="R971" t="inlineStr">
        <is>
          <t>Aberta</t>
        </is>
      </c>
      <c r="T971" t="inlineStr">
        <is>
          <t>Aline Batista</t>
        </is>
      </c>
      <c r="U971" t="inlineStr">
        <is>
          <t>24/04/2026</t>
        </is>
      </c>
      <c r="V971" t="inlineStr">
        <is>
          <t>01/05/2026</t>
        </is>
      </c>
      <c r="W971">
        <v>40</v>
      </c>
      <c r="AA971" t="inlineStr">
        <is>
          <t>Aberta 30-60 dias</t>
        </is>
      </c>
      <c r="AB971" t="inlineStr">
        <is>
          <t>EMPA</t>
        </is>
      </c>
      <c r="AC971" t="inlineStr">
        <is>
          <t>Aline</t>
        </is>
      </c>
      <c r="AD971" t="inlineStr">
        <is>
          <t>01/07/2026</t>
        </is>
      </c>
      <c r="AE971" t="inlineStr">
        <is>
          <t>05/07/2026</t>
        </is>
      </c>
      <c r="AF971" t="inlineStr">
        <is>
          <t>Prazo premissa VALE</t>
        </is>
      </c>
    </row>
    <row r="972">
      <c r="A972">
        <v>970</v>
      </c>
      <c r="B972">
        <v>1</v>
      </c>
      <c r="C972" t="inlineStr">
        <is>
          <t>1.2</t>
        </is>
      </c>
      <c r="D972" t="inlineStr">
        <is>
          <t>C40</t>
        </is>
      </c>
      <c r="E972" t="inlineStr">
        <is>
          <t>LE/LD</t>
        </is>
      </c>
      <c r="F972" t="inlineStr">
        <is>
          <t>EMPA</t>
        </is>
      </c>
      <c r="G972" t="inlineStr">
        <is>
          <t>CLP-013</t>
        </is>
      </c>
      <c r="H972" t="inlineStr">
        <is>
          <t>Protocolo</t>
        </is>
      </c>
      <c r="I972">
        <v>6</v>
      </c>
      <c r="J972" t="inlineStr">
        <is>
          <t>Drenagem Superficial</t>
        </is>
      </c>
      <c r="K972" t="inlineStr">
        <is>
          <t>6.7</t>
        </is>
      </c>
      <c r="L972" t="inlineStr">
        <is>
          <t>VPC</t>
        </is>
      </c>
      <c r="M972" t="inlineStr">
        <is>
          <t>Drenagem danificadas</t>
        </is>
      </c>
      <c r="N972" t="inlineStr">
        <is>
          <t>Dispositivo de drenagem com avarias</t>
        </is>
      </c>
      <c r="O972" t="inlineStr">
        <is>
          <t>Tipo A</t>
        </is>
      </c>
      <c r="P972" t="inlineStr">
        <is>
          <t>20+040</t>
        </is>
      </c>
      <c r="Q972" t="inlineStr">
        <is>
          <t>20+040</t>
        </is>
      </c>
      <c r="R972" t="inlineStr">
        <is>
          <t>Aberta</t>
        </is>
      </c>
      <c r="T972" t="inlineStr">
        <is>
          <t>Aline Batista</t>
        </is>
      </c>
      <c r="U972" t="inlineStr">
        <is>
          <t>24/04/2026</t>
        </is>
      </c>
      <c r="V972" t="inlineStr">
        <is>
          <t>01/05/2026</t>
        </is>
      </c>
      <c r="W972">
        <v>40</v>
      </c>
      <c r="AA972" t="inlineStr">
        <is>
          <t>Aberta 30-60 dias</t>
        </is>
      </c>
      <c r="AB972" t="inlineStr">
        <is>
          <t>EMPA</t>
        </is>
      </c>
      <c r="AC972" t="inlineStr">
        <is>
          <t>Aline</t>
        </is>
      </c>
      <c r="AD972" t="inlineStr">
        <is>
          <t>01/07/2026</t>
        </is>
      </c>
      <c r="AE972" t="inlineStr">
        <is>
          <t>05/07/2026</t>
        </is>
      </c>
      <c r="AF972" t="inlineStr">
        <is>
          <t>Prazo premissa VALE</t>
        </is>
      </c>
    </row>
    <row r="973">
      <c r="A973">
        <v>971</v>
      </c>
      <c r="B973">
        <v>1</v>
      </c>
      <c r="C973" t="inlineStr">
        <is>
          <t>1.2</t>
        </is>
      </c>
      <c r="D973" t="inlineStr">
        <is>
          <t>C40</t>
        </is>
      </c>
      <c r="E973" t="inlineStr">
        <is>
          <t>LE</t>
        </is>
      </c>
      <c r="F973" t="inlineStr">
        <is>
          <t>EMPA</t>
        </is>
      </c>
      <c r="G973" t="inlineStr">
        <is>
          <t>CLP-013</t>
        </is>
      </c>
      <c r="H973" t="inlineStr">
        <is>
          <t>Protocolo</t>
        </is>
      </c>
      <c r="I973">
        <v>6</v>
      </c>
      <c r="J973" t="inlineStr">
        <is>
          <t>Drenagem Superficial</t>
        </is>
      </c>
      <c r="K973" t="inlineStr">
        <is>
          <t>6.7</t>
        </is>
      </c>
      <c r="L973" t="inlineStr">
        <is>
          <t>VPC</t>
        </is>
      </c>
      <c r="M973" t="inlineStr">
        <is>
          <t>Dispositivo descalçado</t>
        </is>
      </c>
      <c r="N973" t="inlineStr">
        <is>
          <t>Valeta descalçada</t>
        </is>
      </c>
      <c r="O973" t="inlineStr">
        <is>
          <t>Tipo A</t>
        </is>
      </c>
      <c r="P973" t="inlineStr">
        <is>
          <t>19+760</t>
        </is>
      </c>
      <c r="Q973" t="inlineStr">
        <is>
          <t>19+760</t>
        </is>
      </c>
      <c r="R973" t="inlineStr">
        <is>
          <t>Aberta</t>
        </is>
      </c>
      <c r="T973" t="inlineStr">
        <is>
          <t>Aline Batista</t>
        </is>
      </c>
      <c r="U973" t="inlineStr">
        <is>
          <t>24/04/2026</t>
        </is>
      </c>
      <c r="V973" t="inlineStr">
        <is>
          <t>01/05/2026</t>
        </is>
      </c>
      <c r="W973">
        <v>40</v>
      </c>
      <c r="AA973" t="inlineStr">
        <is>
          <t>Aberta 30-60 dias</t>
        </is>
      </c>
      <c r="AB973" t="inlineStr">
        <is>
          <t>EMPA</t>
        </is>
      </c>
      <c r="AC973" t="inlineStr">
        <is>
          <t>Aline</t>
        </is>
      </c>
      <c r="AD973" t="inlineStr">
        <is>
          <t>01/07/2026</t>
        </is>
      </c>
      <c r="AE973" t="inlineStr">
        <is>
          <t>05/07/2026</t>
        </is>
      </c>
      <c r="AF973" t="inlineStr">
        <is>
          <t>Cronograma de Pendências EMPA</t>
        </is>
      </c>
    </row>
    <row r="974">
      <c r="A974">
        <v>972</v>
      </c>
      <c r="B974">
        <v>1</v>
      </c>
      <c r="C974" t="inlineStr">
        <is>
          <t>1.2</t>
        </is>
      </c>
      <c r="D974" t="inlineStr">
        <is>
          <t>C40</t>
        </is>
      </c>
      <c r="E974" t="inlineStr">
        <is>
          <t>LD/LE</t>
        </is>
      </c>
      <c r="F974" t="inlineStr">
        <is>
          <t>EMPA</t>
        </is>
      </c>
      <c r="G974" t="inlineStr">
        <is>
          <t>CLP-013</t>
        </is>
      </c>
      <c r="H974" t="inlineStr">
        <is>
          <t>Protocolo</t>
        </is>
      </c>
      <c r="I974">
        <v>6</v>
      </c>
      <c r="J974" t="inlineStr">
        <is>
          <t>Drenagem Superficial</t>
        </is>
      </c>
      <c r="K974" t="inlineStr">
        <is>
          <t>6.7</t>
        </is>
      </c>
      <c r="L974" t="inlineStr">
        <is>
          <t>Drenagem superficial geral</t>
        </is>
      </c>
      <c r="M974" t="inlineStr">
        <is>
          <t>Revegetação/ Hidrossemeadura</t>
        </is>
      </c>
      <c r="N974" t="inlineStr">
        <is>
          <t>Pendente tratamento dos pontos de pega para transporte do dispositivo pré-moldados de todas as DRA e DDA.</t>
        </is>
      </c>
      <c r="O974" t="inlineStr">
        <is>
          <t>Tipo A</t>
        </is>
      </c>
      <c r="P974" t="inlineStr">
        <is>
          <t>19+760</t>
        </is>
      </c>
      <c r="Q974" t="inlineStr">
        <is>
          <t>19+760</t>
        </is>
      </c>
      <c r="R974" t="inlineStr">
        <is>
          <t>Aberta</t>
        </is>
      </c>
      <c r="T974" t="inlineStr">
        <is>
          <t>Aline Batista</t>
        </is>
      </c>
      <c r="U974" t="inlineStr">
        <is>
          <t>24/04/2026</t>
        </is>
      </c>
      <c r="V974" t="inlineStr">
        <is>
          <t>01/05/2026</t>
        </is>
      </c>
      <c r="W974">
        <v>40</v>
      </c>
      <c r="AA974" t="inlineStr">
        <is>
          <t>Aberta 30-60 dias</t>
        </is>
      </c>
      <c r="AB974" t="inlineStr">
        <is>
          <t>EMPA</t>
        </is>
      </c>
      <c r="AC974" t="inlineStr">
        <is>
          <t>Aline</t>
        </is>
      </c>
      <c r="AD974" t="inlineStr">
        <is>
          <t>01/07/2026</t>
        </is>
      </c>
      <c r="AE974" t="inlineStr">
        <is>
          <t>05/07/2026</t>
        </is>
      </c>
      <c r="AF974" t="inlineStr">
        <is>
          <t>Cronograma de Pendências EMPA</t>
        </is>
      </c>
    </row>
    <row r="975">
      <c r="A975">
        <v>973</v>
      </c>
      <c r="B975">
        <v>1</v>
      </c>
      <c r="C975" t="inlineStr">
        <is>
          <t>1.2</t>
        </is>
      </c>
      <c r="D975" t="inlineStr">
        <is>
          <t>C40</t>
        </is>
      </c>
      <c r="E975" t="inlineStr">
        <is>
          <t>LE/LD</t>
        </is>
      </c>
      <c r="F975" t="inlineStr">
        <is>
          <t>EMPA</t>
        </is>
      </c>
      <c r="G975" t="inlineStr">
        <is>
          <t>CLP-013</t>
        </is>
      </c>
      <c r="H975" t="inlineStr">
        <is>
          <t>Protocolo</t>
        </is>
      </c>
      <c r="I975">
        <v>6</v>
      </c>
      <c r="J975" t="inlineStr">
        <is>
          <t>Drenagem Superficial</t>
        </is>
      </c>
      <c r="K975" t="inlineStr">
        <is>
          <t>6.10</t>
        </is>
      </c>
      <c r="L975" t="inlineStr">
        <is>
          <t>Dispositivo de drenagem</t>
        </is>
      </c>
      <c r="M975" t="inlineStr">
        <is>
          <t>Obstrução do dispositivo</t>
        </is>
      </c>
      <c r="N975" t="inlineStr">
        <is>
          <t>Dispositivo de drenagem obstruído</t>
        </is>
      </c>
      <c r="O975" t="inlineStr">
        <is>
          <t>Tipo A</t>
        </is>
      </c>
      <c r="P975" t="inlineStr">
        <is>
          <t>19+630</t>
        </is>
      </c>
      <c r="Q975" t="inlineStr">
        <is>
          <t>19+630</t>
        </is>
      </c>
      <c r="R975" t="inlineStr">
        <is>
          <t>Aberta</t>
        </is>
      </c>
      <c r="T975" t="inlineStr">
        <is>
          <t>Aline Batista</t>
        </is>
      </c>
      <c r="U975" t="inlineStr">
        <is>
          <t>24/04/2026</t>
        </is>
      </c>
      <c r="V975" t="inlineStr">
        <is>
          <t>01/05/2026</t>
        </is>
      </c>
      <c r="W975">
        <v>40</v>
      </c>
      <c r="AA975" t="inlineStr">
        <is>
          <t>Aberta 30-60 dias</t>
        </is>
      </c>
      <c r="AB975" t="inlineStr">
        <is>
          <t>EMPA</t>
        </is>
      </c>
      <c r="AC975" t="inlineStr">
        <is>
          <t>Aline</t>
        </is>
      </c>
      <c r="AD975" t="inlineStr">
        <is>
          <t>01/07/2026</t>
        </is>
      </c>
      <c r="AE975" t="inlineStr">
        <is>
          <t>05/07/2026</t>
        </is>
      </c>
      <c r="AF975" t="inlineStr">
        <is>
          <t>Cronograma de Pendências EMPA</t>
        </is>
      </c>
    </row>
    <row r="976">
      <c r="A976">
        <v>974</v>
      </c>
      <c r="B976">
        <v>1</v>
      </c>
      <c r="C976" t="inlineStr">
        <is>
          <t>1.2</t>
        </is>
      </c>
      <c r="D976" t="inlineStr">
        <is>
          <t>C40</t>
        </is>
      </c>
      <c r="E976" t="inlineStr">
        <is>
          <t>LE/LD</t>
        </is>
      </c>
      <c r="F976" t="inlineStr">
        <is>
          <t>EMPA</t>
        </is>
      </c>
      <c r="G976" t="inlineStr">
        <is>
          <t>CLP-013</t>
        </is>
      </c>
      <c r="H976" t="inlineStr">
        <is>
          <t>Protocolo</t>
        </is>
      </c>
      <c r="I976">
        <v>6</v>
      </c>
      <c r="J976" t="inlineStr">
        <is>
          <t>Drenagem Superficial</t>
        </is>
      </c>
      <c r="K976" t="inlineStr">
        <is>
          <t>6.10</t>
        </is>
      </c>
      <c r="L976" t="inlineStr">
        <is>
          <t>Dispositivo de drenagem</t>
        </is>
      </c>
      <c r="M976" t="inlineStr">
        <is>
          <t>Obstrução do dispositivo</t>
        </is>
      </c>
      <c r="N976" t="inlineStr">
        <is>
          <t>Dispositivo de drenagem obstruído</t>
        </is>
      </c>
      <c r="O976" t="inlineStr">
        <is>
          <t>Tipo A</t>
        </is>
      </c>
      <c r="P976" t="inlineStr">
        <is>
          <t>20+000</t>
        </is>
      </c>
      <c r="Q976" t="inlineStr">
        <is>
          <t>20+000</t>
        </is>
      </c>
      <c r="R976" t="inlineStr">
        <is>
          <t>Aberta</t>
        </is>
      </c>
      <c r="T976" t="inlineStr">
        <is>
          <t>Aline Batista</t>
        </is>
      </c>
      <c r="U976" t="inlineStr">
        <is>
          <t>24/04/2026</t>
        </is>
      </c>
      <c r="V976" t="inlineStr">
        <is>
          <t>01/05/2026</t>
        </is>
      </c>
      <c r="W976">
        <v>40</v>
      </c>
      <c r="AA976" t="inlineStr">
        <is>
          <t>Aberta 30-60 dias</t>
        </is>
      </c>
      <c r="AB976" t="inlineStr">
        <is>
          <t>EMPA</t>
        </is>
      </c>
      <c r="AC976" t="inlineStr">
        <is>
          <t>Aline</t>
        </is>
      </c>
      <c r="AD976" t="inlineStr">
        <is>
          <t>01/07/2026</t>
        </is>
      </c>
      <c r="AE976" t="inlineStr">
        <is>
          <t>05/07/2026</t>
        </is>
      </c>
      <c r="AF976" t="inlineStr">
        <is>
          <t>Prazo premissa VALE</t>
        </is>
      </c>
    </row>
    <row r="977">
      <c r="A977">
        <v>975</v>
      </c>
      <c r="B977">
        <v>1</v>
      </c>
      <c r="C977" t="inlineStr">
        <is>
          <t>1.2</t>
        </is>
      </c>
      <c r="D977" t="inlineStr">
        <is>
          <t>C40</t>
        </is>
      </c>
      <c r="E977" t="inlineStr">
        <is>
          <t>LD/LE</t>
        </is>
      </c>
      <c r="F977" t="inlineStr">
        <is>
          <t>EMPA</t>
        </is>
      </c>
      <c r="G977" t="inlineStr">
        <is>
          <t>CLP-013</t>
        </is>
      </c>
      <c r="H977" t="inlineStr">
        <is>
          <t>Protocolo</t>
        </is>
      </c>
      <c r="I977">
        <v>6</v>
      </c>
      <c r="J977" t="inlineStr">
        <is>
          <t>Drenagem Superficial</t>
        </is>
      </c>
      <c r="K977" t="inlineStr">
        <is>
          <t>6.10</t>
        </is>
      </c>
      <c r="L977" t="inlineStr">
        <is>
          <t>SZA</t>
        </is>
      </c>
      <c r="M977" t="inlineStr">
        <is>
          <t>Acúmulo de água</t>
        </is>
      </c>
      <c r="N977" t="inlineStr">
        <is>
          <t xml:space="preserve">Água acumulada </t>
        </is>
      </c>
      <c r="O977" t="inlineStr">
        <is>
          <t>Tipo A</t>
        </is>
      </c>
      <c r="P977" t="inlineStr">
        <is>
          <t>19+680</t>
        </is>
      </c>
      <c r="Q977" t="inlineStr">
        <is>
          <t>19+680</t>
        </is>
      </c>
      <c r="R977" t="inlineStr">
        <is>
          <t>Aberta</t>
        </is>
      </c>
      <c r="T977" t="inlineStr">
        <is>
          <t>Aline Batista</t>
        </is>
      </c>
      <c r="U977" t="inlineStr">
        <is>
          <t>24/04/2026</t>
        </is>
      </c>
      <c r="V977" t="inlineStr">
        <is>
          <t>01/05/2026</t>
        </is>
      </c>
      <c r="W977">
        <v>40</v>
      </c>
      <c r="AA977" t="inlineStr">
        <is>
          <t>Aberta 30-60 dias</t>
        </is>
      </c>
      <c r="AB977" t="inlineStr">
        <is>
          <t>EMPA</t>
        </is>
      </c>
      <c r="AC977" t="inlineStr">
        <is>
          <t>Aline</t>
        </is>
      </c>
      <c r="AD977" t="inlineStr">
        <is>
          <t>01/07/2026</t>
        </is>
      </c>
      <c r="AE977" t="inlineStr">
        <is>
          <t>05/07/2026</t>
        </is>
      </c>
      <c r="AF977" t="inlineStr">
        <is>
          <t>Cronograma de Pendências EMPA</t>
        </is>
      </c>
    </row>
    <row r="978">
      <c r="A978">
        <v>976</v>
      </c>
      <c r="B978">
        <v>1</v>
      </c>
      <c r="C978" t="inlineStr">
        <is>
          <t>1.2</t>
        </is>
      </c>
      <c r="D978" t="inlineStr">
        <is>
          <t>C40</t>
        </is>
      </c>
      <c r="E978" t="inlineStr">
        <is>
          <t>LD/LE</t>
        </is>
      </c>
      <c r="F978" t="inlineStr">
        <is>
          <t>EMPA</t>
        </is>
      </c>
      <c r="G978" t="inlineStr">
        <is>
          <t>CLP-013</t>
        </is>
      </c>
      <c r="H978" t="inlineStr">
        <is>
          <t>Protocolo</t>
        </is>
      </c>
      <c r="I978">
        <v>6</v>
      </c>
      <c r="J978" t="inlineStr">
        <is>
          <t>Drenagem Superficial</t>
        </is>
      </c>
      <c r="K978" t="inlineStr">
        <is>
          <t>6.10</t>
        </is>
      </c>
      <c r="L978" t="inlineStr">
        <is>
          <t>SZA</t>
        </is>
      </c>
      <c r="M978" t="inlineStr">
        <is>
          <t>Obstrução do dispositivo</t>
        </is>
      </c>
      <c r="N978" t="inlineStr">
        <is>
          <t>Dispositivo de drenagem obstruído</t>
        </is>
      </c>
      <c r="O978" t="inlineStr">
        <is>
          <t>Tipo A</t>
        </is>
      </c>
      <c r="P978" t="inlineStr">
        <is>
          <t>19+600</t>
        </is>
      </c>
      <c r="Q978" t="inlineStr">
        <is>
          <t>21+020</t>
        </is>
      </c>
      <c r="R978" t="inlineStr">
        <is>
          <t>Aberta</t>
        </is>
      </c>
      <c r="T978" t="inlineStr">
        <is>
          <t>Aline Batista</t>
        </is>
      </c>
      <c r="U978" t="inlineStr">
        <is>
          <t>24/04/2026</t>
        </is>
      </c>
      <c r="V978" t="inlineStr">
        <is>
          <t>01/05/2026</t>
        </is>
      </c>
      <c r="W978">
        <v>40</v>
      </c>
      <c r="AA978" t="inlineStr">
        <is>
          <t>Aberta 30-60 dias</t>
        </is>
      </c>
      <c r="AB978" t="inlineStr">
        <is>
          <t>EMPA</t>
        </is>
      </c>
      <c r="AC978" t="inlineStr">
        <is>
          <t>Aline</t>
        </is>
      </c>
      <c r="AD978" t="inlineStr">
        <is>
          <t>01/07/2026</t>
        </is>
      </c>
      <c r="AE978" t="inlineStr">
        <is>
          <t>05/07/2026</t>
        </is>
      </c>
      <c r="AF978" t="inlineStr">
        <is>
          <t>Cronograma de Pendências EMPA</t>
        </is>
      </c>
    </row>
    <row r="979">
      <c r="A979">
        <v>977</v>
      </c>
      <c r="B979">
        <v>1</v>
      </c>
      <c r="C979" t="inlineStr">
        <is>
          <t>1.2</t>
        </is>
      </c>
      <c r="D979" t="inlineStr">
        <is>
          <t>C03</t>
        </is>
      </c>
      <c r="E979" t="inlineStr">
        <is>
          <t>LD     Aça Norte</t>
        </is>
      </c>
      <c r="F979" t="inlineStr">
        <is>
          <t>GSA</t>
        </is>
      </c>
      <c r="G979" t="inlineStr">
        <is>
          <t>CLP-014</t>
        </is>
      </c>
      <c r="H979" t="inlineStr">
        <is>
          <t>Protocolo</t>
        </is>
      </c>
      <c r="I979">
        <v>4</v>
      </c>
      <c r="J979" t="inlineStr">
        <is>
          <t>Terraplenagem</t>
        </is>
      </c>
      <c r="K979" t="inlineStr">
        <is>
          <t>4.09</t>
        </is>
      </c>
      <c r="L979" t="inlineStr">
        <is>
          <t>ADME</t>
        </is>
      </c>
      <c r="M979" t="inlineStr">
        <is>
          <t>Erosões</t>
        </is>
      </c>
      <c r="N979" t="inlineStr">
        <is>
          <t>Processos erosivos e acesso à ADME requer repasse de hidrossemeadura.</t>
        </is>
      </c>
      <c r="O979" t="inlineStr">
        <is>
          <t>Tipo A</t>
        </is>
      </c>
      <c r="P979" t="inlineStr">
        <is>
          <t>0+960</t>
        </is>
      </c>
      <c r="Q979" t="inlineStr">
        <is>
          <t>0+960</t>
        </is>
      </c>
      <c r="R979" t="inlineStr">
        <is>
          <t>Aberta</t>
        </is>
      </c>
      <c r="T979" t="inlineStr">
        <is>
          <t>Aline Batista</t>
        </is>
      </c>
      <c r="U979" t="inlineStr">
        <is>
          <t>24/04/2026</t>
        </is>
      </c>
      <c r="V979" t="inlineStr">
        <is>
          <t>01/05/2026</t>
        </is>
      </c>
      <c r="W979">
        <v>40</v>
      </c>
      <c r="AA979" t="inlineStr">
        <is>
          <t>Aberta 30-60 dias</t>
        </is>
      </c>
      <c r="AB979" t="inlineStr">
        <is>
          <t>GSA</t>
        </is>
      </c>
      <c r="AC979" t="inlineStr">
        <is>
          <t>Aline</t>
        </is>
      </c>
      <c r="AD979" t="inlineStr">
        <is>
          <t>15/06/2026</t>
        </is>
      </c>
      <c r="AE979" t="inlineStr">
        <is>
          <t>30/06/2026</t>
        </is>
      </c>
      <c r="AF979" t="inlineStr">
        <is>
          <t>Prazo Premissa VALE</t>
        </is>
      </c>
    </row>
    <row r="980">
      <c r="A980">
        <v>978</v>
      </c>
      <c r="B980">
        <v>1</v>
      </c>
      <c r="C980" t="inlineStr">
        <is>
          <t>1.2</t>
        </is>
      </c>
      <c r="D980" t="inlineStr">
        <is>
          <t>C03</t>
        </is>
      </c>
      <c r="E980" t="inlineStr">
        <is>
          <t>LE    Alça Norte</t>
        </is>
      </c>
      <c r="F980" t="inlineStr">
        <is>
          <t>GSA</t>
        </is>
      </c>
      <c r="G980" t="inlineStr">
        <is>
          <t>CLP-014</t>
        </is>
      </c>
      <c r="H980" t="inlineStr">
        <is>
          <t>Protocolo</t>
        </is>
      </c>
      <c r="I980">
        <v>4</v>
      </c>
      <c r="J980" t="inlineStr">
        <is>
          <t>Terraplenagem</t>
        </is>
      </c>
      <c r="K980" t="inlineStr">
        <is>
          <t>4.11</t>
        </is>
      </c>
      <c r="L980" t="inlineStr">
        <is>
          <t>Talude</t>
        </is>
      </c>
      <c r="M980" t="inlineStr">
        <is>
          <t>Erosões</t>
        </is>
      </c>
      <c r="N980" t="inlineStr">
        <is>
          <t>Presença de erosão na banqueta, pendente retirada de bidim na lateral do aterro.</t>
        </is>
      </c>
      <c r="O980" t="inlineStr">
        <is>
          <t>Tipo A</t>
        </is>
      </c>
      <c r="P980" t="inlineStr">
        <is>
          <t>1+070</t>
        </is>
      </c>
      <c r="Q980" t="inlineStr">
        <is>
          <t>1+070</t>
        </is>
      </c>
      <c r="R980" t="inlineStr">
        <is>
          <t>Aberta</t>
        </is>
      </c>
      <c r="T980" t="inlineStr">
        <is>
          <t>Aline Batista</t>
        </is>
      </c>
      <c r="U980" t="inlineStr">
        <is>
          <t>24/04/2026</t>
        </is>
      </c>
      <c r="V980" t="inlineStr">
        <is>
          <t>01/05/2026</t>
        </is>
      </c>
      <c r="W980">
        <v>40</v>
      </c>
      <c r="AA980" t="inlineStr">
        <is>
          <t>Aberta 30-60 dias</t>
        </is>
      </c>
      <c r="AB980" t="inlineStr">
        <is>
          <t>GSA</t>
        </is>
      </c>
      <c r="AC980" t="inlineStr">
        <is>
          <t>Aline</t>
        </is>
      </c>
      <c r="AD980" t="inlineStr">
        <is>
          <t>15/06/2026</t>
        </is>
      </c>
      <c r="AE980" t="inlineStr">
        <is>
          <t>30/06/2026</t>
        </is>
      </c>
      <c r="AF980" t="inlineStr">
        <is>
          <t>Prazo Premissa VALE</t>
        </is>
      </c>
    </row>
    <row r="981">
      <c r="A981">
        <v>979</v>
      </c>
      <c r="B981">
        <v>1</v>
      </c>
      <c r="C981" t="inlineStr">
        <is>
          <t>1.2</t>
        </is>
      </c>
      <c r="D981" t="inlineStr">
        <is>
          <t>C02/C03</t>
        </is>
      </c>
      <c r="E981" t="inlineStr">
        <is>
          <t>EIXO Alça Norte</t>
        </is>
      </c>
      <c r="F981" t="inlineStr">
        <is>
          <t>GSA</t>
        </is>
      </c>
      <c r="G981" t="inlineStr">
        <is>
          <t>CLP-014</t>
        </is>
      </c>
      <c r="H981" t="inlineStr">
        <is>
          <t>Fiscalização</t>
        </is>
      </c>
      <c r="I981">
        <v>4</v>
      </c>
      <c r="J981" t="inlineStr">
        <is>
          <t>Terraplenagem</t>
        </is>
      </c>
      <c r="K981" t="inlineStr">
        <is>
          <t>4.19</t>
        </is>
      </c>
      <c r="L981" t="inlineStr">
        <is>
          <t>Lastro</t>
        </is>
      </c>
      <c r="M981" t="inlineStr">
        <is>
          <t>Contaminação</t>
        </is>
      </c>
      <c r="N981" t="inlineStr">
        <is>
          <t>Contaminação do lastro por materiais finos</t>
        </is>
      </c>
      <c r="O981" t="inlineStr">
        <is>
          <t>Tipo A</t>
        </is>
      </c>
      <c r="P981" t="inlineStr">
        <is>
          <t>0+400</t>
        </is>
      </c>
      <c r="Q981" t="inlineStr">
        <is>
          <t>1+600</t>
        </is>
      </c>
      <c r="R981" t="inlineStr">
        <is>
          <t>Aberta</t>
        </is>
      </c>
      <c r="T981" t="inlineStr">
        <is>
          <t>Aline Batista</t>
        </is>
      </c>
      <c r="U981" t="inlineStr">
        <is>
          <t>24/04/2026</t>
        </is>
      </c>
      <c r="V981" t="inlineStr">
        <is>
          <t>01/05/2026</t>
        </is>
      </c>
      <c r="W981">
        <v>40</v>
      </c>
      <c r="AA981" t="inlineStr">
        <is>
          <t>Aberta 30-60 dias</t>
        </is>
      </c>
      <c r="AB981" t="inlineStr">
        <is>
          <t>GSA</t>
        </is>
      </c>
      <c r="AC981" t="inlineStr">
        <is>
          <t>Aline</t>
        </is>
      </c>
      <c r="AD981" t="inlineStr">
        <is>
          <t>15/06/2026</t>
        </is>
      </c>
      <c r="AE981" t="inlineStr">
        <is>
          <t>30/06/2026</t>
        </is>
      </c>
      <c r="AF981" t="inlineStr">
        <is>
          <t>Prazo Premissa VALE</t>
        </is>
      </c>
    </row>
    <row r="982">
      <c r="A982">
        <v>980</v>
      </c>
      <c r="B982">
        <v>1</v>
      </c>
      <c r="C982" t="inlineStr">
        <is>
          <t>1.2</t>
        </is>
      </c>
      <c r="D982" t="inlineStr">
        <is>
          <t>C09</t>
        </is>
      </c>
      <c r="E982" t="inlineStr">
        <is>
          <t xml:space="preserve"> Alça Norte</t>
        </is>
      </c>
      <c r="F982" t="inlineStr">
        <is>
          <t>GSA</t>
        </is>
      </c>
      <c r="G982" t="inlineStr">
        <is>
          <t>CLP-014</t>
        </is>
      </c>
      <c r="H982" t="inlineStr">
        <is>
          <t>Protocolo</t>
        </is>
      </c>
      <c r="I982">
        <v>4</v>
      </c>
      <c r="J982" t="inlineStr">
        <is>
          <t>Terraplenagem</t>
        </is>
      </c>
      <c r="K982" t="inlineStr">
        <is>
          <t>4.19</t>
        </is>
      </c>
      <c r="L982" t="inlineStr">
        <is>
          <t>Talude</t>
        </is>
      </c>
      <c r="M982" t="inlineStr">
        <is>
          <t>Conformação</t>
        </is>
      </c>
      <c r="N982" t="inlineStr">
        <is>
          <t>Falta de conformação entre o dispositivo de drenagem e o talude/plataforma</t>
        </is>
      </c>
      <c r="O982" t="inlineStr">
        <is>
          <t>Tipo A</t>
        </is>
      </c>
      <c r="P982" t="inlineStr">
        <is>
          <t>1+850</t>
        </is>
      </c>
      <c r="Q982">
        <v>1850</v>
      </c>
      <c r="R982" t="inlineStr">
        <is>
          <t>Aberta</t>
        </is>
      </c>
      <c r="T982" t="inlineStr">
        <is>
          <t>Aline Batista</t>
        </is>
      </c>
      <c r="U982" t="inlineStr">
        <is>
          <t>24/04/2026</t>
        </is>
      </c>
      <c r="V982" t="inlineStr">
        <is>
          <t>01/05/2026</t>
        </is>
      </c>
      <c r="W982">
        <v>40</v>
      </c>
      <c r="AA982" t="inlineStr">
        <is>
          <t>Aberta 30-60 dias</t>
        </is>
      </c>
      <c r="AB982" t="inlineStr">
        <is>
          <t>GSA</t>
        </is>
      </c>
      <c r="AC982" t="inlineStr">
        <is>
          <t>Aline</t>
        </is>
      </c>
      <c r="AD982" t="inlineStr">
        <is>
          <t>15/06/2026</t>
        </is>
      </c>
      <c r="AE982" t="inlineStr">
        <is>
          <t>30/06/2026</t>
        </is>
      </c>
      <c r="AF982" t="inlineStr">
        <is>
          <t>Prazo Premissa VALE</t>
        </is>
      </c>
    </row>
    <row r="983">
      <c r="A983">
        <v>981</v>
      </c>
      <c r="B983">
        <v>1</v>
      </c>
      <c r="C983" t="inlineStr">
        <is>
          <t>1.2</t>
        </is>
      </c>
      <c r="D983" t="inlineStr">
        <is>
          <t>C09</t>
        </is>
      </c>
      <c r="E983" t="inlineStr">
        <is>
          <t xml:space="preserve"> Alça Norte</t>
        </is>
      </c>
      <c r="F983" t="inlineStr">
        <is>
          <t>GSA</t>
        </is>
      </c>
      <c r="G983" t="inlineStr">
        <is>
          <t>CLP-014</t>
        </is>
      </c>
      <c r="H983" t="inlineStr">
        <is>
          <t>Protocolo</t>
        </is>
      </c>
      <c r="I983">
        <v>4</v>
      </c>
      <c r="J983" t="inlineStr">
        <is>
          <t>Terraplenagem</t>
        </is>
      </c>
      <c r="K983" t="inlineStr">
        <is>
          <t>4.19</t>
        </is>
      </c>
      <c r="L983" t="inlineStr">
        <is>
          <t>Talude</t>
        </is>
      </c>
      <c r="M983" t="inlineStr">
        <is>
          <t>Conformação</t>
        </is>
      </c>
      <c r="N983" t="inlineStr">
        <is>
          <t>Falta de conformação entre o dispositivo de drenagem e o talude/plataforma</t>
        </is>
      </c>
      <c r="O983" t="inlineStr">
        <is>
          <t>Tipo A</t>
        </is>
      </c>
      <c r="P983" t="inlineStr">
        <is>
          <t>2+100</t>
        </is>
      </c>
      <c r="Q983">
        <v>2100</v>
      </c>
      <c r="R983" t="inlineStr">
        <is>
          <t>Aberta</t>
        </is>
      </c>
      <c r="T983" t="inlineStr">
        <is>
          <t>Aline Batista</t>
        </is>
      </c>
      <c r="U983" t="inlineStr">
        <is>
          <t>24/04/2026</t>
        </is>
      </c>
      <c r="V983" t="inlineStr">
        <is>
          <t>01/05/2026</t>
        </is>
      </c>
      <c r="W983">
        <v>40</v>
      </c>
      <c r="AA983" t="inlineStr">
        <is>
          <t>Aberta 30-60 dias</t>
        </is>
      </c>
      <c r="AB983" t="inlineStr">
        <is>
          <t>GSA</t>
        </is>
      </c>
      <c r="AC983" t="inlineStr">
        <is>
          <t>Aline</t>
        </is>
      </c>
      <c r="AD983" t="inlineStr">
        <is>
          <t>15/06/2026</t>
        </is>
      </c>
      <c r="AE983" t="inlineStr">
        <is>
          <t>30/06/2026</t>
        </is>
      </c>
      <c r="AF983" t="inlineStr">
        <is>
          <t>Prazo Premissa VALE</t>
        </is>
      </c>
    </row>
    <row r="984">
      <c r="A984">
        <v>982</v>
      </c>
      <c r="B984">
        <v>1</v>
      </c>
      <c r="C984" t="inlineStr">
        <is>
          <t>1.2</t>
        </is>
      </c>
      <c r="D984" t="inlineStr">
        <is>
          <t>C09</t>
        </is>
      </c>
      <c r="E984" t="inlineStr">
        <is>
          <t>LD   Alça Norte</t>
        </is>
      </c>
      <c r="F984" t="inlineStr">
        <is>
          <t>GSA</t>
        </is>
      </c>
      <c r="G984" t="inlineStr">
        <is>
          <t>CLP-014</t>
        </is>
      </c>
      <c r="H984" t="inlineStr">
        <is>
          <t>Fiscalização</t>
        </is>
      </c>
      <c r="I984">
        <v>4</v>
      </c>
      <c r="J984" t="inlineStr">
        <is>
          <t>Terraplenagem</t>
        </is>
      </c>
      <c r="K984" t="inlineStr">
        <is>
          <t>4.20</t>
        </is>
      </c>
      <c r="L984" t="inlineStr">
        <is>
          <t>Talude</t>
        </is>
      </c>
      <c r="M984" t="inlineStr">
        <is>
          <t>Erosões</t>
        </is>
      </c>
      <c r="N984" t="inlineStr">
        <is>
          <t>Processo erosivo no canal associado ao acúmulo de material sedimentar, resultando na obstrução do escoamento</t>
        </is>
      </c>
      <c r="O984" t="inlineStr">
        <is>
          <t>Tipo A</t>
        </is>
      </c>
      <c r="P984" t="inlineStr">
        <is>
          <t>1+720</t>
        </is>
      </c>
      <c r="Q984" t="inlineStr">
        <is>
          <t>1+720</t>
        </is>
      </c>
      <c r="R984" t="inlineStr">
        <is>
          <t>Aberta</t>
        </is>
      </c>
      <c r="T984" t="inlineStr">
        <is>
          <t>Aline Batista</t>
        </is>
      </c>
      <c r="U984" t="inlineStr">
        <is>
          <t>24/04/2026</t>
        </is>
      </c>
      <c r="V984" t="inlineStr">
        <is>
          <t>01/05/2026</t>
        </is>
      </c>
      <c r="W984">
        <v>40</v>
      </c>
      <c r="AA984" t="inlineStr">
        <is>
          <t>Aberta 30-60 dias</t>
        </is>
      </c>
      <c r="AB984" t="inlineStr">
        <is>
          <t>GSA</t>
        </is>
      </c>
      <c r="AC984" t="inlineStr">
        <is>
          <t>Aline</t>
        </is>
      </c>
      <c r="AD984" t="inlineStr">
        <is>
          <t>15/06/2026</t>
        </is>
      </c>
      <c r="AE984" t="inlineStr">
        <is>
          <t>30/06/2026</t>
        </is>
      </c>
      <c r="AF984" t="inlineStr">
        <is>
          <t>Prazo Premissa VALE</t>
        </is>
      </c>
    </row>
    <row r="985">
      <c r="A985">
        <v>983</v>
      </c>
      <c r="B985">
        <v>1</v>
      </c>
      <c r="C985" t="inlineStr">
        <is>
          <t>1.2</t>
        </is>
      </c>
      <c r="D985" t="inlineStr">
        <is>
          <t>C02/C03/C09</t>
        </is>
      </c>
      <c r="E985" t="inlineStr">
        <is>
          <t>EIXO Alça Norte</t>
        </is>
      </c>
      <c r="F985" t="inlineStr">
        <is>
          <t>GSA</t>
        </is>
      </c>
      <c r="G985" t="inlineStr">
        <is>
          <t>CLP-014</t>
        </is>
      </c>
      <c r="H985" t="inlineStr">
        <is>
          <t>Protocolo</t>
        </is>
      </c>
      <c r="I985">
        <v>4</v>
      </c>
      <c r="J985" t="inlineStr">
        <is>
          <t>Terraplenagem</t>
        </is>
      </c>
      <c r="K985" t="inlineStr">
        <is>
          <t>4.32</t>
        </is>
      </c>
      <c r="L985" t="inlineStr">
        <is>
          <t>PN provisória</t>
        </is>
      </c>
      <c r="M985" t="inlineStr">
        <is>
          <t>Regularização e recuperação de área</t>
        </is>
      </c>
      <c r="N985" t="inlineStr">
        <is>
          <t>Necessidade de realização do desmonte adequado da Passagem em Nível provisória ao término das atividades, com a devida recomposição e restabelecimento das condições originais de integridade e funcionalidade da via permanente.</t>
        </is>
      </c>
      <c r="O985" t="inlineStr">
        <is>
          <t>Tipo C</t>
        </is>
      </c>
      <c r="P985" t="inlineStr">
        <is>
          <t>0+480</t>
        </is>
      </c>
      <c r="Q985" t="inlineStr">
        <is>
          <t>1+520</t>
        </is>
      </c>
      <c r="R985" t="inlineStr">
        <is>
          <t>Aberta</t>
        </is>
      </c>
      <c r="T985" t="inlineStr">
        <is>
          <t>Aline Batista</t>
        </is>
      </c>
      <c r="U985" t="inlineStr">
        <is>
          <t>24/04/2026</t>
        </is>
      </c>
      <c r="V985" t="inlineStr">
        <is>
          <t>24/05/2026</t>
        </is>
      </c>
      <c r="W985">
        <v>17</v>
      </c>
      <c r="AA985" t="inlineStr">
        <is>
          <t>Aberta 30-60 dias</t>
        </is>
      </c>
      <c r="AB985" t="inlineStr">
        <is>
          <t>SOMAFEL</t>
        </is>
      </c>
      <c r="AC985" t="inlineStr">
        <is>
          <t>Luiz Claudio</t>
        </is>
      </c>
      <c r="AE985" t="inlineStr">
        <is>
          <t>10/09/2026</t>
        </is>
      </c>
      <c r="AF985" t="inlineStr">
        <is>
          <t>Prazo Premissa VALE</t>
        </is>
      </c>
    </row>
    <row r="986">
      <c r="A986">
        <v>984</v>
      </c>
      <c r="B986">
        <v>1</v>
      </c>
      <c r="C986" t="inlineStr">
        <is>
          <t>1.2</t>
        </is>
      </c>
      <c r="D986" t="inlineStr">
        <is>
          <t>C04</t>
        </is>
      </c>
      <c r="E986" t="inlineStr">
        <is>
          <t>LE    Alça Norte</t>
        </is>
      </c>
      <c r="F986" t="inlineStr">
        <is>
          <t>GSA</t>
        </is>
      </c>
      <c r="G986" t="inlineStr">
        <is>
          <t>CLP-014</t>
        </is>
      </c>
      <c r="H986" t="inlineStr">
        <is>
          <t>Protocolo</t>
        </is>
      </c>
      <c r="I986">
        <v>4</v>
      </c>
      <c r="J986" t="inlineStr">
        <is>
          <t>Terraplenagem</t>
        </is>
      </c>
      <c r="K986" t="inlineStr">
        <is>
          <t>4.32</t>
        </is>
      </c>
      <c r="L986" t="inlineStr">
        <is>
          <t>Resíduos de obra</t>
        </is>
      </c>
      <c r="M986" t="inlineStr">
        <is>
          <t>Limpeza/ remoção de material</t>
        </is>
      </c>
      <c r="N986" t="inlineStr">
        <is>
          <t>Presença de resíduos.</t>
        </is>
      </c>
      <c r="O986" t="inlineStr">
        <is>
          <t>Tipo C</t>
        </is>
      </c>
      <c r="P986" t="inlineStr">
        <is>
          <t>1+900</t>
        </is>
      </c>
      <c r="Q986" t="inlineStr">
        <is>
          <t>1+900</t>
        </is>
      </c>
      <c r="R986" t="inlineStr">
        <is>
          <t>Aberta</t>
        </is>
      </c>
      <c r="T986" t="inlineStr">
        <is>
          <t>Aline Batista</t>
        </is>
      </c>
      <c r="U986" t="inlineStr">
        <is>
          <t>24/04/2026</t>
        </is>
      </c>
      <c r="V986" t="inlineStr">
        <is>
          <t>24/05/2026</t>
        </is>
      </c>
      <c r="W986">
        <v>17</v>
      </c>
      <c r="AA986" t="inlineStr">
        <is>
          <t>Aberta 30-60 dias</t>
        </is>
      </c>
      <c r="AB986" t="inlineStr">
        <is>
          <t>GSA</t>
        </is>
      </c>
      <c r="AC986" t="inlineStr">
        <is>
          <t>Aline</t>
        </is>
      </c>
      <c r="AD986" t="inlineStr">
        <is>
          <t>15/06/2026</t>
        </is>
      </c>
      <c r="AE986" t="inlineStr">
        <is>
          <t>30/06/2026</t>
        </is>
      </c>
      <c r="AF986" t="inlineStr">
        <is>
          <t>Prazo Premissa VALE</t>
        </is>
      </c>
    </row>
    <row r="987">
      <c r="A987">
        <v>985</v>
      </c>
      <c r="B987">
        <v>1</v>
      </c>
      <c r="C987" t="inlineStr">
        <is>
          <t>1.2</t>
        </is>
      </c>
      <c r="D987" t="inlineStr">
        <is>
          <t>C05</t>
        </is>
      </c>
      <c r="E987" t="inlineStr">
        <is>
          <t>LE  Alça Norte/ Sul</t>
        </is>
      </c>
      <c r="F987" t="inlineStr">
        <is>
          <t>GSA</t>
        </is>
      </c>
      <c r="G987" t="inlineStr">
        <is>
          <t>CLP-014</t>
        </is>
      </c>
      <c r="H987" t="inlineStr">
        <is>
          <t>Protocolo</t>
        </is>
      </c>
      <c r="I987">
        <v>6</v>
      </c>
      <c r="J987" t="inlineStr">
        <is>
          <t>Drenagem Superficial</t>
        </is>
      </c>
      <c r="K987" t="inlineStr">
        <is>
          <t>6.1</t>
        </is>
      </c>
      <c r="L987" t="inlineStr">
        <is>
          <t>Drenagem superficial</t>
        </is>
      </c>
      <c r="M987" t="inlineStr">
        <is>
          <t>Conformação</t>
        </is>
      </c>
      <c r="N987" t="inlineStr">
        <is>
          <t>Ausência de preenchimento dos espaços entre a sarjeta e a face dos taludes em rocha, conforme SIT_2025_5591.</t>
        </is>
      </c>
      <c r="O987" t="inlineStr">
        <is>
          <t>Tipo A</t>
        </is>
      </c>
      <c r="P987" t="inlineStr">
        <is>
          <t>2+160</t>
        </is>
      </c>
      <c r="Q987" t="inlineStr">
        <is>
          <t>2+160</t>
        </is>
      </c>
      <c r="R987" t="inlineStr">
        <is>
          <t>Aberta</t>
        </is>
      </c>
      <c r="T987" t="inlineStr">
        <is>
          <t>Aline Batista</t>
        </is>
      </c>
      <c r="U987" t="inlineStr">
        <is>
          <t>24/04/2026</t>
        </is>
      </c>
      <c r="V987" t="inlineStr">
        <is>
          <t>01/05/2026</t>
        </is>
      </c>
      <c r="W987">
        <v>40</v>
      </c>
      <c r="AA987" t="inlineStr">
        <is>
          <t>Aberta 30-60 dias</t>
        </is>
      </c>
      <c r="AB987" t="inlineStr">
        <is>
          <t>GSA</t>
        </is>
      </c>
      <c r="AC987" t="inlineStr">
        <is>
          <t>Aline</t>
        </is>
      </c>
      <c r="AD987" t="inlineStr">
        <is>
          <t>15/06/2026</t>
        </is>
      </c>
      <c r="AE987" t="inlineStr">
        <is>
          <t>30/06/2026</t>
        </is>
      </c>
      <c r="AF987" t="inlineStr">
        <is>
          <t>Prazo Premissa VALE</t>
        </is>
      </c>
    </row>
    <row r="988">
      <c r="A988">
        <v>986</v>
      </c>
      <c r="B988">
        <v>1</v>
      </c>
      <c r="C988" t="inlineStr">
        <is>
          <t>1.2</t>
        </is>
      </c>
      <c r="D988" t="inlineStr">
        <is>
          <t>C04</t>
        </is>
      </c>
      <c r="E988" t="inlineStr">
        <is>
          <t xml:space="preserve">LE
Alça Sul</t>
        </is>
      </c>
      <c r="F988" t="inlineStr">
        <is>
          <t>GSA</t>
        </is>
      </c>
      <c r="G988" t="inlineStr">
        <is>
          <t>CLP-014</t>
        </is>
      </c>
      <c r="H988" t="inlineStr">
        <is>
          <t>Fiscalização</t>
        </is>
      </c>
      <c r="I988">
        <v>6</v>
      </c>
      <c r="J988" t="inlineStr">
        <is>
          <t>Drenagem Superficial</t>
        </is>
      </c>
      <c r="K988" t="inlineStr">
        <is>
          <t>6.3</t>
        </is>
      </c>
      <c r="L988" t="inlineStr">
        <is>
          <t>DDA</t>
        </is>
      </c>
      <c r="M988" t="inlineStr">
        <is>
          <t>Erosões</t>
        </is>
      </c>
      <c r="N988" t="inlineStr">
        <is>
          <t>Processo erosivo causado por falta de descida d’água.</t>
        </is>
      </c>
      <c r="O988" t="inlineStr">
        <is>
          <t>Tipo A</t>
        </is>
      </c>
      <c r="P988" t="inlineStr">
        <is>
          <t>1+600</t>
        </is>
      </c>
      <c r="Q988" t="inlineStr">
        <is>
          <t>1+600</t>
        </is>
      </c>
      <c r="R988" t="inlineStr">
        <is>
          <t>Aberta</t>
        </is>
      </c>
      <c r="T988" t="inlineStr">
        <is>
          <t>Aline Batista</t>
        </is>
      </c>
      <c r="U988" t="inlineStr">
        <is>
          <t>24/04/2026</t>
        </is>
      </c>
      <c r="V988" t="inlineStr">
        <is>
          <t>01/05/2026</t>
        </is>
      </c>
      <c r="W988">
        <v>40</v>
      </c>
      <c r="AA988" t="inlineStr">
        <is>
          <t>Aberta 30-60 dias</t>
        </is>
      </c>
      <c r="AB988" t="inlineStr">
        <is>
          <t>GSA</t>
        </is>
      </c>
      <c r="AC988" t="inlineStr">
        <is>
          <t>Aline</t>
        </is>
      </c>
      <c r="AD988" t="inlineStr">
        <is>
          <t>15/06/2026</t>
        </is>
      </c>
      <c r="AE988" t="inlineStr">
        <is>
          <t>30/06/2026</t>
        </is>
      </c>
      <c r="AF988" t="inlineStr">
        <is>
          <t>Prazo Premissa VALE</t>
        </is>
      </c>
    </row>
    <row r="989">
      <c r="A989">
        <v>987</v>
      </c>
      <c r="B989">
        <v>1</v>
      </c>
      <c r="C989" t="inlineStr">
        <is>
          <t>1.2</t>
        </is>
      </c>
      <c r="D989" t="inlineStr">
        <is>
          <t>C02</t>
        </is>
      </c>
      <c r="E989" t="inlineStr">
        <is>
          <t>LD Alça Sul</t>
        </is>
      </c>
      <c r="F989" t="inlineStr">
        <is>
          <t>GSA</t>
        </is>
      </c>
      <c r="G989" t="inlineStr">
        <is>
          <t>CLP-014</t>
        </is>
      </c>
      <c r="H989" t="inlineStr">
        <is>
          <t>Protocolo</t>
        </is>
      </c>
      <c r="I989">
        <v>6</v>
      </c>
      <c r="J989" t="inlineStr">
        <is>
          <t>Drenagem Superficial</t>
        </is>
      </c>
      <c r="K989" t="inlineStr">
        <is>
          <t>6.6</t>
        </is>
      </c>
      <c r="L989" t="inlineStr">
        <is>
          <t>DDA</t>
        </is>
      </c>
      <c r="M989" t="inlineStr">
        <is>
          <t>Erosões</t>
        </is>
      </c>
      <c r="N989" t="inlineStr">
        <is>
          <t>Erosão ao lado da parede da descida d´água, pendência de hidrossemeadura.</t>
        </is>
      </c>
      <c r="O989" t="inlineStr">
        <is>
          <t>Tipo A</t>
        </is>
      </c>
      <c r="P989" t="inlineStr">
        <is>
          <t>0+390</t>
        </is>
      </c>
      <c r="Q989" t="inlineStr">
        <is>
          <t>0+390</t>
        </is>
      </c>
      <c r="R989" t="inlineStr">
        <is>
          <t>Aberta</t>
        </is>
      </c>
      <c r="T989" t="inlineStr">
        <is>
          <t>Aline Batista</t>
        </is>
      </c>
      <c r="U989" t="inlineStr">
        <is>
          <t>24/04/2026</t>
        </is>
      </c>
      <c r="V989" t="inlineStr">
        <is>
          <t>01/05/2026</t>
        </is>
      </c>
      <c r="W989">
        <v>40</v>
      </c>
      <c r="AA989" t="inlineStr">
        <is>
          <t>Aberta 30-60 dias</t>
        </is>
      </c>
      <c r="AB989" t="inlineStr">
        <is>
          <t>GSA</t>
        </is>
      </c>
      <c r="AC989" t="inlineStr">
        <is>
          <t>Aline</t>
        </is>
      </c>
      <c r="AD989" t="inlineStr">
        <is>
          <t>15/06/2026</t>
        </is>
      </c>
      <c r="AE989" t="inlineStr">
        <is>
          <t>30/06/2026</t>
        </is>
      </c>
      <c r="AF989" t="inlineStr">
        <is>
          <t>Prazo Premissa VALE</t>
        </is>
      </c>
    </row>
    <row r="990">
      <c r="A990">
        <v>988</v>
      </c>
      <c r="B990">
        <v>1</v>
      </c>
      <c r="C990" t="inlineStr">
        <is>
          <t>1.2</t>
        </is>
      </c>
      <c r="D990" t="inlineStr">
        <is>
          <t>C02</t>
        </is>
      </c>
      <c r="E990" t="inlineStr">
        <is>
          <t>LD/LE Aça Norte</t>
        </is>
      </c>
      <c r="F990" t="inlineStr">
        <is>
          <t>GSA</t>
        </is>
      </c>
      <c r="G990" t="inlineStr">
        <is>
          <t>CLP-014</t>
        </is>
      </c>
      <c r="H990" t="inlineStr">
        <is>
          <t>Fiscalização</t>
        </is>
      </c>
      <c r="I990">
        <v>6</v>
      </c>
      <c r="J990" t="inlineStr">
        <is>
          <t>Drenagem Superficial</t>
        </is>
      </c>
      <c r="K990" t="inlineStr">
        <is>
          <t>6.10</t>
        </is>
      </c>
      <c r="L990" t="inlineStr">
        <is>
          <t>VPC</t>
        </is>
      </c>
      <c r="M990" t="inlineStr">
        <is>
          <t>Obstrução do dispositivo</t>
        </is>
      </c>
      <c r="N990" t="inlineStr">
        <is>
          <t>Drenagem obstruída por acúmulo de material</t>
        </is>
      </c>
      <c r="O990" t="inlineStr">
        <is>
          <t>Tipo A</t>
        </is>
      </c>
      <c r="P990" t="inlineStr">
        <is>
          <t>0+480</t>
        </is>
      </c>
      <c r="Q990" t="inlineStr">
        <is>
          <t>0+480</t>
        </is>
      </c>
      <c r="R990" t="inlineStr">
        <is>
          <t>Aberta</t>
        </is>
      </c>
      <c r="T990" t="inlineStr">
        <is>
          <t>Aline Batista</t>
        </is>
      </c>
      <c r="U990" t="inlineStr">
        <is>
          <t>24/04/2026</t>
        </is>
      </c>
      <c r="V990" t="inlineStr">
        <is>
          <t>01/05/2026</t>
        </is>
      </c>
      <c r="W990">
        <v>40</v>
      </c>
      <c r="AA990" t="inlineStr">
        <is>
          <t>Aberta 30-60 dias</t>
        </is>
      </c>
      <c r="AB990" t="inlineStr">
        <is>
          <t>GSA</t>
        </is>
      </c>
      <c r="AC990" t="inlineStr">
        <is>
          <t>Aline</t>
        </is>
      </c>
      <c r="AD990" t="inlineStr">
        <is>
          <t>15/06/2026</t>
        </is>
      </c>
      <c r="AE990" t="inlineStr">
        <is>
          <t>30/06/2026</t>
        </is>
      </c>
      <c r="AF990" t="inlineStr">
        <is>
          <t>Prazo Premissa VALE</t>
        </is>
      </c>
    </row>
    <row r="991">
      <c r="A991">
        <v>989</v>
      </c>
      <c r="B991">
        <v>1</v>
      </c>
      <c r="C991" t="inlineStr">
        <is>
          <t>1.2</t>
        </is>
      </c>
      <c r="D991" t="inlineStr">
        <is>
          <t>C03</t>
        </is>
      </c>
      <c r="E991" t="inlineStr">
        <is>
          <t>LD     Aça Norte</t>
        </is>
      </c>
      <c r="F991" t="inlineStr">
        <is>
          <t>GSA</t>
        </is>
      </c>
      <c r="G991" t="inlineStr">
        <is>
          <t>CLP-014</t>
        </is>
      </c>
      <c r="H991" t="inlineStr">
        <is>
          <t>Fiscalização</t>
        </is>
      </c>
      <c r="I991">
        <v>6</v>
      </c>
      <c r="J991" t="inlineStr">
        <is>
          <t>Drenagem Superficial</t>
        </is>
      </c>
      <c r="K991" t="inlineStr">
        <is>
          <t>6.10</t>
        </is>
      </c>
      <c r="L991" t="inlineStr">
        <is>
          <t>VPC</t>
        </is>
      </c>
      <c r="M991" t="inlineStr">
        <is>
          <t>Drenagem danificadas</t>
        </is>
      </c>
      <c r="N991" t="inlineStr">
        <is>
          <t>Canaleta danificada, obstruída.</t>
        </is>
      </c>
      <c r="O991" t="inlineStr">
        <is>
          <t>Tipo A</t>
        </is>
      </c>
      <c r="P991" t="inlineStr">
        <is>
          <t>0+960</t>
        </is>
      </c>
      <c r="Q991" t="inlineStr">
        <is>
          <t>0+960</t>
        </is>
      </c>
      <c r="R991" t="inlineStr">
        <is>
          <t>Aberta</t>
        </is>
      </c>
      <c r="T991" t="inlineStr">
        <is>
          <t>Aline Batista</t>
        </is>
      </c>
      <c r="U991" t="inlineStr">
        <is>
          <t>24/04/2026</t>
        </is>
      </c>
      <c r="V991" t="inlineStr">
        <is>
          <t>01/05/2026</t>
        </is>
      </c>
      <c r="W991">
        <v>40</v>
      </c>
      <c r="AA991" t="inlineStr">
        <is>
          <t>Aberta 30-60 dias</t>
        </is>
      </c>
      <c r="AB991" t="inlineStr">
        <is>
          <t>GSA</t>
        </is>
      </c>
      <c r="AC991" t="inlineStr">
        <is>
          <t>Aline</t>
        </is>
      </c>
      <c r="AD991" t="inlineStr">
        <is>
          <t>15/06/2026</t>
        </is>
      </c>
      <c r="AE991" t="inlineStr">
        <is>
          <t>30/06/2026</t>
        </is>
      </c>
      <c r="AF991" t="inlineStr">
        <is>
          <t>Prazo Premissa VALE</t>
        </is>
      </c>
    </row>
    <row r="992">
      <c r="A992">
        <v>990</v>
      </c>
      <c r="B992">
        <v>1</v>
      </c>
      <c r="C992" t="inlineStr">
        <is>
          <t>1.2</t>
        </is>
      </c>
      <c r="D992" t="inlineStr">
        <is>
          <t>A03</t>
        </is>
      </c>
      <c r="E992" t="inlineStr">
        <is>
          <t>LE      Aça Norte</t>
        </is>
      </c>
      <c r="F992" t="inlineStr">
        <is>
          <t>GSA</t>
        </is>
      </c>
      <c r="G992" t="inlineStr">
        <is>
          <t>CLP-014</t>
        </is>
      </c>
      <c r="H992" t="inlineStr">
        <is>
          <t>Fiscalização</t>
        </is>
      </c>
      <c r="I992">
        <v>6</v>
      </c>
      <c r="J992" t="inlineStr">
        <is>
          <t>Drenagem Superficial</t>
        </is>
      </c>
      <c r="K992" t="inlineStr">
        <is>
          <t>6.10</t>
        </is>
      </c>
      <c r="L992" t="inlineStr">
        <is>
          <t>CZB</t>
        </is>
      </c>
      <c r="M992" t="inlineStr">
        <is>
          <t>Obstrução do dispositivo</t>
        </is>
      </c>
      <c r="N992" t="inlineStr">
        <is>
          <t>Dispositivo obstruído</t>
        </is>
      </c>
      <c r="O992" t="inlineStr">
        <is>
          <t>Tipo A</t>
        </is>
      </c>
      <c r="P992" t="inlineStr">
        <is>
          <t>1+070</t>
        </is>
      </c>
      <c r="Q992" t="inlineStr">
        <is>
          <t>1+070</t>
        </is>
      </c>
      <c r="R992" t="inlineStr">
        <is>
          <t>Aberta</t>
        </is>
      </c>
      <c r="T992" t="inlineStr">
        <is>
          <t>Aline Batista</t>
        </is>
      </c>
      <c r="U992" t="inlineStr">
        <is>
          <t>24/04/2026</t>
        </is>
      </c>
      <c r="V992" t="inlineStr">
        <is>
          <t>01/05/2026</t>
        </is>
      </c>
      <c r="W992">
        <v>40</v>
      </c>
      <c r="AA992" t="inlineStr">
        <is>
          <t>Aberta 30-60 dias</t>
        </is>
      </c>
      <c r="AB992" t="inlineStr">
        <is>
          <t>GSA</t>
        </is>
      </c>
      <c r="AC992" t="inlineStr">
        <is>
          <t>Aline</t>
        </is>
      </c>
      <c r="AD992" t="inlineStr">
        <is>
          <t>15/06/2026</t>
        </is>
      </c>
      <c r="AE992" t="inlineStr">
        <is>
          <t>30/06/2026</t>
        </is>
      </c>
      <c r="AF992" t="inlineStr">
        <is>
          <t>Prazo Premissa VALE</t>
        </is>
      </c>
    </row>
    <row r="993">
      <c r="A993">
        <v>991</v>
      </c>
      <c r="B993">
        <v>1</v>
      </c>
      <c r="C993" t="inlineStr">
        <is>
          <t>1.2</t>
        </is>
      </c>
      <c r="D993" t="inlineStr">
        <is>
          <t>GERAL</t>
        </is>
      </c>
      <c r="E993" t="inlineStr">
        <is>
          <t>-</t>
        </is>
      </c>
      <c r="F993" t="inlineStr">
        <is>
          <t>GSA</t>
        </is>
      </c>
      <c r="G993" t="inlineStr">
        <is>
          <t>CLP-014</t>
        </is>
      </c>
      <c r="H993" t="inlineStr">
        <is>
          <t>Protocolo</t>
        </is>
      </c>
      <c r="I993">
        <v>6</v>
      </c>
      <c r="J993" t="inlineStr">
        <is>
          <t>Drenagem Superficial</t>
        </is>
      </c>
      <c r="K993" t="inlineStr">
        <is>
          <t>6.16</t>
        </is>
      </c>
      <c r="L993" t="inlineStr">
        <is>
          <t>RNC</t>
        </is>
      </c>
      <c r="M993" t="inlineStr">
        <is>
          <t>Documental</t>
        </is>
      </c>
      <c r="N993" t="inlineStr">
        <is>
          <t>Consta em aberto o registro RNC-08020/25</t>
        </is>
      </c>
      <c r="O993" t="inlineStr">
        <is>
          <t>Tipo B</t>
        </is>
      </c>
      <c r="P993" t="inlineStr">
        <is>
          <t>0+400</t>
        </is>
      </c>
      <c r="Q993" t="inlineStr">
        <is>
          <t>2+160</t>
        </is>
      </c>
      <c r="R993" t="inlineStr">
        <is>
          <t>Aberta</t>
        </is>
      </c>
      <c r="T993" t="inlineStr">
        <is>
          <t>Aline Batista</t>
        </is>
      </c>
      <c r="U993" t="inlineStr">
        <is>
          <t>24/04/2026</t>
        </is>
      </c>
      <c r="V993" t="inlineStr">
        <is>
          <t>09/05/2026</t>
        </is>
      </c>
      <c r="W993">
        <v>32</v>
      </c>
      <c r="AA993" t="inlineStr">
        <is>
          <t>Aberta 30-60 dias</t>
        </is>
      </c>
      <c r="AB993" t="inlineStr">
        <is>
          <t>GSA</t>
        </is>
      </c>
      <c r="AC993" t="inlineStr">
        <is>
          <t>Aline</t>
        </is>
      </c>
      <c r="AD993" t="inlineStr">
        <is>
          <t>15/06/2026</t>
        </is>
      </c>
      <c r="AE993" t="inlineStr">
        <is>
          <t>30/06/2026</t>
        </is>
      </c>
      <c r="AF993" t="inlineStr">
        <is>
          <t>Prazo Premissa VALE</t>
        </is>
      </c>
    </row>
    <row r="994">
      <c r="A994">
        <v>992</v>
      </c>
      <c r="B994">
        <v>1</v>
      </c>
      <c r="C994" t="inlineStr">
        <is>
          <t>1.1</t>
        </is>
      </c>
      <c r="D994" t="inlineStr">
        <is>
          <t>C09</t>
        </is>
      </c>
      <c r="E994" t="inlineStr">
        <is>
          <t>LD Alça Norte</t>
        </is>
      </c>
      <c r="F994" t="inlineStr">
        <is>
          <t>VALE</t>
        </is>
      </c>
      <c r="G994" t="inlineStr">
        <is>
          <t>CLP-015</t>
        </is>
      </c>
      <c r="H994" t="inlineStr">
        <is>
          <t>Fiscalização</t>
        </is>
      </c>
      <c r="I994">
        <v>2</v>
      </c>
      <c r="J994" t="inlineStr">
        <is>
          <t>Bueiros</t>
        </is>
      </c>
      <c r="K994" t="inlineStr">
        <is>
          <t>2.11</t>
        </is>
      </c>
      <c r="L994" t="inlineStr">
        <is>
          <t>Bueiro</t>
        </is>
      </c>
      <c r="M994" t="inlineStr">
        <is>
          <t>Assoreamento</t>
        </is>
      </c>
      <c r="N994" t="inlineStr">
        <is>
          <t>Assoreamento do bueiro com cota de fundo abaixo do nível do solo adjacente, comprometendo o fluxo.</t>
        </is>
      </c>
      <c r="O994" t="inlineStr">
        <is>
          <t>Tipo A</t>
        </is>
      </c>
      <c r="P994" t="inlineStr">
        <is>
          <t>1+720</t>
        </is>
      </c>
      <c r="Q994" t="inlineStr">
        <is>
          <t>1+720</t>
        </is>
      </c>
      <c r="R994" t="inlineStr">
        <is>
          <t>Aberta</t>
        </is>
      </c>
      <c r="T994" t="inlineStr">
        <is>
          <t>Aline Batista</t>
        </is>
      </c>
      <c r="U994" t="inlineStr">
        <is>
          <t>24/04/2026</t>
        </is>
      </c>
      <c r="V994" t="inlineStr">
        <is>
          <t>01/05/2026</t>
        </is>
      </c>
      <c r="W994">
        <v>40</v>
      </c>
      <c r="AA994" t="inlineStr">
        <is>
          <t>Aberta 30-60 dias</t>
        </is>
      </c>
      <c r="AB994" t="inlineStr">
        <is>
          <t>GSA</t>
        </is>
      </c>
      <c r="AC994" t="inlineStr">
        <is>
          <t>Aline</t>
        </is>
      </c>
      <c r="AD994" t="inlineStr">
        <is>
          <t>15/06/2026</t>
        </is>
      </c>
      <c r="AE994" t="inlineStr">
        <is>
          <t>30/06/2026</t>
        </is>
      </c>
      <c r="AF994" t="inlineStr">
        <is>
          <t>Prazo Premissa VALE</t>
        </is>
      </c>
    </row>
    <row r="995">
      <c r="A995">
        <v>993</v>
      </c>
      <c r="B995">
        <v>1</v>
      </c>
      <c r="C995" t="inlineStr">
        <is>
          <t>1.1</t>
        </is>
      </c>
      <c r="D995" t="inlineStr">
        <is>
          <t>C07</t>
        </is>
      </c>
      <c r="E995" t="inlineStr">
        <is>
          <t>LE/LD Alça Norte</t>
        </is>
      </c>
      <c r="F995" t="inlineStr">
        <is>
          <t>VALE</t>
        </is>
      </c>
      <c r="G995" t="inlineStr">
        <is>
          <t>CLP-015</t>
        </is>
      </c>
      <c r="H995" t="inlineStr">
        <is>
          <t>Implantação</t>
        </is>
      </c>
      <c r="I995">
        <v>4</v>
      </c>
      <c r="J995" t="inlineStr">
        <is>
          <t>Terraplenagem</t>
        </is>
      </c>
      <c r="K995" t="inlineStr">
        <is>
          <t>4.11</t>
        </is>
      </c>
      <c r="L995" t="inlineStr">
        <is>
          <t>Talude</t>
        </is>
      </c>
      <c r="M995" t="inlineStr">
        <is>
          <t>Revegetação/ Hidrossemeadura</t>
        </is>
      </c>
      <c r="N995" t="inlineStr">
        <is>
          <t>Pendente coveamento e aplicação de hidrossemeadura.</t>
        </is>
      </c>
      <c r="O995" t="inlineStr">
        <is>
          <t>Tipo A</t>
        </is>
      </c>
      <c r="P995" t="inlineStr">
        <is>
          <t>0+520</t>
        </is>
      </c>
      <c r="Q995" t="inlineStr">
        <is>
          <t>0+900</t>
        </is>
      </c>
      <c r="R995" t="inlineStr">
        <is>
          <t>Aberta</t>
        </is>
      </c>
      <c r="T995" t="inlineStr">
        <is>
          <t>Aline Batista</t>
        </is>
      </c>
      <c r="U995" t="inlineStr">
        <is>
          <t>24/04/2026</t>
        </is>
      </c>
      <c r="V995" t="inlineStr">
        <is>
          <t>01/05/2026</t>
        </is>
      </c>
      <c r="W995">
        <v>40</v>
      </c>
      <c r="AA995" t="inlineStr">
        <is>
          <t>Aberta 30-60 dias</t>
        </is>
      </c>
      <c r="AB995" t="inlineStr">
        <is>
          <t>GSA</t>
        </is>
      </c>
      <c r="AC995" t="inlineStr">
        <is>
          <t>Aline</t>
        </is>
      </c>
      <c r="AD995" t="inlineStr">
        <is>
          <t>15/06/2026</t>
        </is>
      </c>
      <c r="AE995" t="inlineStr">
        <is>
          <t>30/06/2026</t>
        </is>
      </c>
      <c r="AF995" t="inlineStr">
        <is>
          <t>Prazo Premissa VALE</t>
        </is>
      </c>
    </row>
    <row r="996">
      <c r="A996">
        <v>994</v>
      </c>
      <c r="B996">
        <v>1</v>
      </c>
      <c r="C996" t="inlineStr">
        <is>
          <t>1.1</t>
        </is>
      </c>
      <c r="D996" t="inlineStr">
        <is>
          <t>C07</t>
        </is>
      </c>
      <c r="E996" t="inlineStr">
        <is>
          <t>LE/LD Alça Norte</t>
        </is>
      </c>
      <c r="F996" t="inlineStr">
        <is>
          <t>VALE</t>
        </is>
      </c>
      <c r="G996" t="inlineStr">
        <is>
          <t>CLP-015</t>
        </is>
      </c>
      <c r="H996" t="inlineStr">
        <is>
          <t>Protocolo</t>
        </is>
      </c>
      <c r="I996">
        <v>4</v>
      </c>
      <c r="J996" t="inlineStr">
        <is>
          <t>Terraplenagem</t>
        </is>
      </c>
      <c r="K996" t="inlineStr">
        <is>
          <t>4.11</t>
        </is>
      </c>
      <c r="L996" t="inlineStr">
        <is>
          <t>Talude</t>
        </is>
      </c>
      <c r="M996" t="inlineStr">
        <is>
          <t>Revegetação/ Hidrossemeadura</t>
        </is>
      </c>
      <c r="N996" t="inlineStr">
        <is>
          <t>Pendente coveamento e aplicação de hidrossemeadura.</t>
        </is>
      </c>
      <c r="O996" t="inlineStr">
        <is>
          <t>Tipo A</t>
        </is>
      </c>
      <c r="P996" t="inlineStr">
        <is>
          <t>0+660</t>
        </is>
      </c>
      <c r="Q996" t="inlineStr">
        <is>
          <t xml:space="preserve"> 0+800</t>
        </is>
      </c>
      <c r="R996" t="inlineStr">
        <is>
          <t>Aberta</t>
        </is>
      </c>
      <c r="T996" t="inlineStr">
        <is>
          <t>Aline Batista</t>
        </is>
      </c>
      <c r="U996" t="inlineStr">
        <is>
          <t>24/04/2026</t>
        </is>
      </c>
      <c r="V996" t="inlineStr">
        <is>
          <t>01/05/2026</t>
        </is>
      </c>
      <c r="W996">
        <v>40</v>
      </c>
      <c r="AA996" t="inlineStr">
        <is>
          <t>Aberta 30-60 dias</t>
        </is>
      </c>
      <c r="AB996" t="inlineStr">
        <is>
          <t>GSA</t>
        </is>
      </c>
      <c r="AC996" t="inlineStr">
        <is>
          <t>Aline</t>
        </is>
      </c>
      <c r="AD996" t="inlineStr">
        <is>
          <t>15/06/2026</t>
        </is>
      </c>
      <c r="AE996" t="inlineStr">
        <is>
          <t>30/06/2026</t>
        </is>
      </c>
      <c r="AF996" t="inlineStr">
        <is>
          <t>Prazo Premissa VALE</t>
        </is>
      </c>
    </row>
    <row r="997">
      <c r="A997">
        <v>995</v>
      </c>
      <c r="B997">
        <v>1</v>
      </c>
      <c r="C997" t="inlineStr">
        <is>
          <t>1.1</t>
        </is>
      </c>
      <c r="D997" t="inlineStr">
        <is>
          <t>C07</t>
        </is>
      </c>
      <c r="E997" t="inlineStr">
        <is>
          <t>LE    Alça Norte</t>
        </is>
      </c>
      <c r="F997" t="inlineStr">
        <is>
          <t>VALE</t>
        </is>
      </c>
      <c r="G997" t="inlineStr">
        <is>
          <t>CLP-015</t>
        </is>
      </c>
      <c r="H997" t="inlineStr">
        <is>
          <t>Fiscalização</t>
        </is>
      </c>
      <c r="I997">
        <v>4</v>
      </c>
      <c r="J997" t="inlineStr">
        <is>
          <t>Terraplenagem</t>
        </is>
      </c>
      <c r="K997" t="inlineStr">
        <is>
          <t>4.11</t>
        </is>
      </c>
      <c r="L997" t="inlineStr">
        <is>
          <t>Talude</t>
        </is>
      </c>
      <c r="M997" t="inlineStr">
        <is>
          <t>Erosões</t>
        </is>
      </c>
      <c r="N997" t="inlineStr">
        <is>
          <t>Presença de erosão com ausência de coveamento e aplicação de hidrossemeadura.</t>
        </is>
      </c>
      <c r="O997" t="inlineStr">
        <is>
          <t>Tipo A</t>
        </is>
      </c>
      <c r="P997" t="inlineStr">
        <is>
          <t>0+860</t>
        </is>
      </c>
      <c r="Q997" t="inlineStr">
        <is>
          <t>0+860</t>
        </is>
      </c>
      <c r="R997" t="inlineStr">
        <is>
          <t>Aberta</t>
        </is>
      </c>
      <c r="T997" t="inlineStr">
        <is>
          <t>Aline Batista</t>
        </is>
      </c>
      <c r="U997" t="inlineStr">
        <is>
          <t>24/04/2026</t>
        </is>
      </c>
      <c r="V997" t="inlineStr">
        <is>
          <t>01/05/2026</t>
        </is>
      </c>
      <c r="W997">
        <v>40</v>
      </c>
      <c r="AA997" t="inlineStr">
        <is>
          <t>Aberta 30-60 dias</t>
        </is>
      </c>
      <c r="AB997" t="inlineStr">
        <is>
          <t>GSA</t>
        </is>
      </c>
      <c r="AC997" t="inlineStr">
        <is>
          <t>Aline</t>
        </is>
      </c>
      <c r="AD997" t="inlineStr">
        <is>
          <t>15/06/2026</t>
        </is>
      </c>
      <c r="AE997" t="inlineStr">
        <is>
          <t>30/06/2026</t>
        </is>
      </c>
      <c r="AF997" t="inlineStr">
        <is>
          <t>Prazo Premissa VALE</t>
        </is>
      </c>
    </row>
    <row r="998">
      <c r="A998">
        <v>996</v>
      </c>
      <c r="B998">
        <v>1</v>
      </c>
      <c r="C998" t="inlineStr">
        <is>
          <t>1.1</t>
        </is>
      </c>
      <c r="D998" t="inlineStr">
        <is>
          <t>C07</t>
        </is>
      </c>
      <c r="E998" t="inlineStr">
        <is>
          <t>LD   Alça sul</t>
        </is>
      </c>
      <c r="F998" t="inlineStr">
        <is>
          <t>VALE</t>
        </is>
      </c>
      <c r="G998" t="inlineStr">
        <is>
          <t>CLP-015</t>
        </is>
      </c>
      <c r="H998" t="inlineStr">
        <is>
          <t>Protocolo</t>
        </is>
      </c>
      <c r="I998">
        <v>4</v>
      </c>
      <c r="J998" t="inlineStr">
        <is>
          <t>Terraplenagem</t>
        </is>
      </c>
      <c r="K998" t="inlineStr">
        <is>
          <t>4.11</t>
        </is>
      </c>
      <c r="L998" t="inlineStr">
        <is>
          <t>Talude</t>
        </is>
      </c>
      <c r="M998" t="inlineStr">
        <is>
          <t>Revegetação/ Hidrossemeadura</t>
        </is>
      </c>
      <c r="N998" t="inlineStr">
        <is>
          <t>Ausência de coveamento, falta de aplicação  de biomanta e falha na germinação de hidrossemeadura.</t>
        </is>
      </c>
      <c r="O998" t="inlineStr">
        <is>
          <t>Tipo A</t>
        </is>
      </c>
      <c r="P998" t="inlineStr">
        <is>
          <t>0+980</t>
        </is>
      </c>
      <c r="Q998" t="inlineStr">
        <is>
          <t>1+570</t>
        </is>
      </c>
      <c r="R998" t="inlineStr">
        <is>
          <t>Aberta</t>
        </is>
      </c>
      <c r="T998" t="inlineStr">
        <is>
          <t>Aline Batista</t>
        </is>
      </c>
      <c r="U998" t="inlineStr">
        <is>
          <t>24/04/2026</t>
        </is>
      </c>
      <c r="V998" t="inlineStr">
        <is>
          <t>01/05/2026</t>
        </is>
      </c>
      <c r="W998">
        <v>40</v>
      </c>
      <c r="AA998" t="inlineStr">
        <is>
          <t>Aberta 30-60 dias</t>
        </is>
      </c>
      <c r="AB998" t="inlineStr">
        <is>
          <t>GSA</t>
        </is>
      </c>
      <c r="AC998" t="inlineStr">
        <is>
          <t>Aline</t>
        </is>
      </c>
      <c r="AD998" t="inlineStr">
        <is>
          <t>15/06/2026</t>
        </is>
      </c>
      <c r="AE998" t="inlineStr">
        <is>
          <t>30/06/2026</t>
        </is>
      </c>
      <c r="AF998" t="inlineStr">
        <is>
          <t>Prazo Premissa VALE</t>
        </is>
      </c>
    </row>
    <row r="999">
      <c r="A999">
        <v>997</v>
      </c>
      <c r="B999">
        <v>1</v>
      </c>
      <c r="C999" t="inlineStr">
        <is>
          <t>1.1</t>
        </is>
      </c>
      <c r="D999" t="inlineStr">
        <is>
          <t>C07</t>
        </is>
      </c>
      <c r="E999" t="inlineStr">
        <is>
          <t>LD   Alça Norte</t>
        </is>
      </c>
      <c r="F999" t="inlineStr">
        <is>
          <t>VALE</t>
        </is>
      </c>
      <c r="G999" t="inlineStr">
        <is>
          <t>CLP-015</t>
        </is>
      </c>
      <c r="H999" t="inlineStr">
        <is>
          <t>Protocolo</t>
        </is>
      </c>
      <c r="I999">
        <v>4</v>
      </c>
      <c r="J999" t="inlineStr">
        <is>
          <t>Terraplenagem</t>
        </is>
      </c>
      <c r="K999" t="inlineStr">
        <is>
          <t>4.11</t>
        </is>
      </c>
      <c r="L999" t="inlineStr">
        <is>
          <t>Talude</t>
        </is>
      </c>
      <c r="M999" t="inlineStr">
        <is>
          <t>Revegetação/ Hidrossemeadura</t>
        </is>
      </c>
      <c r="N999" t="inlineStr">
        <is>
          <t>Falta de aplicação  de biomanta e falha na germinação de hidrossemeadura.</t>
        </is>
      </c>
      <c r="O999" t="inlineStr">
        <is>
          <t>Tipo A</t>
        </is>
      </c>
      <c r="P999" t="inlineStr">
        <is>
          <t>1+600</t>
        </is>
      </c>
      <c r="Q999" t="inlineStr">
        <is>
          <t>1+740</t>
        </is>
      </c>
      <c r="R999" t="inlineStr">
        <is>
          <t>Aberta</t>
        </is>
      </c>
      <c r="T999" t="inlineStr">
        <is>
          <t>Aline Batista</t>
        </is>
      </c>
      <c r="U999" t="inlineStr">
        <is>
          <t>24/04/2026</t>
        </is>
      </c>
      <c r="V999" t="inlineStr">
        <is>
          <t>01/05/2026</t>
        </is>
      </c>
      <c r="W999">
        <v>40</v>
      </c>
      <c r="AA999" t="inlineStr">
        <is>
          <t>Aberta 30-60 dias</t>
        </is>
      </c>
      <c r="AB999" t="inlineStr">
        <is>
          <t>GSA</t>
        </is>
      </c>
      <c r="AC999" t="inlineStr">
        <is>
          <t>Aline</t>
        </is>
      </c>
      <c r="AD999" t="inlineStr">
        <is>
          <t>15/06/2026</t>
        </is>
      </c>
      <c r="AE999" t="inlineStr">
        <is>
          <t>30/06/2026</t>
        </is>
      </c>
      <c r="AF999" t="inlineStr">
        <is>
          <t>Prazo Premissa VALE</t>
        </is>
      </c>
    </row>
    <row r="1000">
      <c r="A1000">
        <v>998</v>
      </c>
      <c r="B1000">
        <v>1</v>
      </c>
      <c r="C1000" t="inlineStr">
        <is>
          <t>1.1</t>
        </is>
      </c>
      <c r="D1000" t="inlineStr">
        <is>
          <t>C09</t>
        </is>
      </c>
      <c r="E1000" t="inlineStr">
        <is>
          <t>LD   Alça Sul</t>
        </is>
      </c>
      <c r="F1000" t="inlineStr">
        <is>
          <t>VALE</t>
        </is>
      </c>
      <c r="G1000" t="inlineStr">
        <is>
          <t>CLP-015</t>
        </is>
      </c>
      <c r="H1000" t="inlineStr">
        <is>
          <t>Protocolo</t>
        </is>
      </c>
      <c r="I1000">
        <v>4</v>
      </c>
      <c r="J1000" t="inlineStr">
        <is>
          <t>Terraplenagem</t>
        </is>
      </c>
      <c r="K1000" t="inlineStr">
        <is>
          <t>4.11</t>
        </is>
      </c>
      <c r="L1000" t="inlineStr">
        <is>
          <t>Talude</t>
        </is>
      </c>
      <c r="M1000" t="inlineStr">
        <is>
          <t>Revegetação/ Hidrossemeadura</t>
        </is>
      </c>
      <c r="N1000" t="inlineStr">
        <is>
          <t>Ausência de coveamento, falta de aplicação  de biomanta e hidrossemeadura, pendente conformação e presença de erosões no talude.</t>
        </is>
      </c>
      <c r="O1000" t="inlineStr">
        <is>
          <t>Tipo A</t>
        </is>
      </c>
      <c r="P1000" t="inlineStr">
        <is>
          <t>1+520</t>
        </is>
      </c>
      <c r="Q1000" t="inlineStr">
        <is>
          <t>0+280</t>
        </is>
      </c>
      <c r="R1000" t="inlineStr">
        <is>
          <t>Aberta</t>
        </is>
      </c>
      <c r="T1000" t="inlineStr">
        <is>
          <t>Aline Batista</t>
        </is>
      </c>
      <c r="U1000" t="inlineStr">
        <is>
          <t>24/04/2026</t>
        </is>
      </c>
      <c r="V1000" t="inlineStr">
        <is>
          <t>01/05/2026</t>
        </is>
      </c>
      <c r="W1000">
        <v>40</v>
      </c>
      <c r="AA1000" t="inlineStr">
        <is>
          <t>Aberta 30-60 dias</t>
        </is>
      </c>
      <c r="AB1000" t="inlineStr">
        <is>
          <t>GSA</t>
        </is>
      </c>
      <c r="AC1000" t="inlineStr">
        <is>
          <t>Aline</t>
        </is>
      </c>
      <c r="AD1000" t="inlineStr">
        <is>
          <t>15/06/2026</t>
        </is>
      </c>
      <c r="AE1000" t="inlineStr">
        <is>
          <t>30/06/2026</t>
        </is>
      </c>
      <c r="AF1000" t="inlineStr">
        <is>
          <t>Prazo Premissa VALE</t>
        </is>
      </c>
    </row>
    <row r="1001">
      <c r="A1001">
        <v>999</v>
      </c>
      <c r="B1001">
        <v>1</v>
      </c>
      <c r="C1001" t="inlineStr">
        <is>
          <t>1.1</t>
        </is>
      </c>
      <c r="D1001" t="inlineStr">
        <is>
          <t>A07/C08/A08/C09</t>
        </is>
      </c>
      <c r="E1001" t="inlineStr">
        <is>
          <t>LD   Alça Sul</t>
        </is>
      </c>
      <c r="F1001" t="inlineStr">
        <is>
          <t>VALE</t>
        </is>
      </c>
      <c r="G1001" t="inlineStr">
        <is>
          <t>CLP-015</t>
        </is>
      </c>
      <c r="H1001" t="inlineStr">
        <is>
          <t>Protocolo</t>
        </is>
      </c>
      <c r="I1001">
        <v>4</v>
      </c>
      <c r="J1001" t="inlineStr">
        <is>
          <t>Terraplenagem</t>
        </is>
      </c>
      <c r="K1001" t="inlineStr">
        <is>
          <t>4.11</t>
        </is>
      </c>
      <c r="L1001" t="inlineStr">
        <is>
          <t>Talude</t>
        </is>
      </c>
      <c r="M1001" t="inlineStr">
        <is>
          <t>Revegetação/ Hidrossemeadura</t>
        </is>
      </c>
      <c r="N1001" t="inlineStr">
        <is>
          <t>Falhas na proteção vegetal dos taludes (hidrossemeadura)</t>
        </is>
      </c>
      <c r="O1001" t="inlineStr">
        <is>
          <t>Tipo A</t>
        </is>
      </c>
      <c r="P1001" t="inlineStr">
        <is>
          <t>0+900</t>
        </is>
      </c>
      <c r="Q1001" t="inlineStr">
        <is>
          <t>2+220</t>
        </is>
      </c>
      <c r="R1001" t="inlineStr">
        <is>
          <t>Aberta</t>
        </is>
      </c>
      <c r="T1001" t="inlineStr">
        <is>
          <t>Aline Batista</t>
        </is>
      </c>
      <c r="U1001" t="inlineStr">
        <is>
          <t>24/04/2026</t>
        </is>
      </c>
      <c r="V1001" t="inlineStr">
        <is>
          <t>01/05/2026</t>
        </is>
      </c>
      <c r="W1001">
        <v>40</v>
      </c>
      <c r="AA1001" t="inlineStr">
        <is>
          <t>Aberta 30-60 dias</t>
        </is>
      </c>
      <c r="AB1001" t="inlineStr">
        <is>
          <t>GSA</t>
        </is>
      </c>
      <c r="AC1001" t="inlineStr">
        <is>
          <t>Aline</t>
        </is>
      </c>
      <c r="AD1001" t="inlineStr">
        <is>
          <t>15/06/2026</t>
        </is>
      </c>
      <c r="AE1001" t="inlineStr">
        <is>
          <t>30/06/2026</t>
        </is>
      </c>
      <c r="AF1001" t="inlineStr">
        <is>
          <t>Prazo Premissa VALE</t>
        </is>
      </c>
    </row>
    <row r="1002">
      <c r="A1002">
        <v>1000</v>
      </c>
      <c r="B1002">
        <v>1</v>
      </c>
      <c r="C1002" t="inlineStr">
        <is>
          <t>1.1</t>
        </is>
      </c>
      <c r="D1002" t="inlineStr">
        <is>
          <t>C07</t>
        </is>
      </c>
      <c r="E1002" t="inlineStr">
        <is>
          <t>LD   Alça Sul</t>
        </is>
      </c>
      <c r="F1002" t="inlineStr">
        <is>
          <t>VALE</t>
        </is>
      </c>
      <c r="G1002" t="inlineStr">
        <is>
          <t>CLP-015</t>
        </is>
      </c>
      <c r="H1002" t="inlineStr">
        <is>
          <t>Protocolo</t>
        </is>
      </c>
      <c r="I1002">
        <v>4</v>
      </c>
      <c r="J1002" t="inlineStr">
        <is>
          <t>Terraplenagem</t>
        </is>
      </c>
      <c r="K1002" t="inlineStr">
        <is>
          <t>4.11</t>
        </is>
      </c>
      <c r="L1002" t="inlineStr">
        <is>
          <t>Talude</t>
        </is>
      </c>
      <c r="M1002" t="inlineStr">
        <is>
          <t>Revegetação/ Hidrossemeadura</t>
        </is>
      </c>
      <c r="N1002" t="inlineStr">
        <is>
          <t>Falhas na proteção vegetal dos taludes (hidrossemeadura)</t>
        </is>
      </c>
      <c r="O1002" t="inlineStr">
        <is>
          <t>Tipo A</t>
        </is>
      </c>
      <c r="P1002" t="inlineStr">
        <is>
          <t>0+990</t>
        </is>
      </c>
      <c r="Q1002" t="inlineStr">
        <is>
          <t>0+990</t>
        </is>
      </c>
      <c r="R1002" t="inlineStr">
        <is>
          <t>Aberta</t>
        </is>
      </c>
      <c r="T1002" t="inlineStr">
        <is>
          <t>Aline Batista</t>
        </is>
      </c>
      <c r="U1002" t="inlineStr">
        <is>
          <t>24/04/2026</t>
        </is>
      </c>
      <c r="V1002" t="inlineStr">
        <is>
          <t>01/05/2026</t>
        </is>
      </c>
      <c r="W1002">
        <v>40</v>
      </c>
      <c r="AA1002" t="inlineStr">
        <is>
          <t>Aberta 30-60 dias</t>
        </is>
      </c>
      <c r="AB1002" t="inlineStr">
        <is>
          <t>GSA</t>
        </is>
      </c>
      <c r="AC1002" t="inlineStr">
        <is>
          <t>Aline</t>
        </is>
      </c>
      <c r="AD1002" t="inlineStr">
        <is>
          <t>15/06/2026</t>
        </is>
      </c>
      <c r="AE1002" t="inlineStr">
        <is>
          <t>30/06/2026</t>
        </is>
      </c>
      <c r="AF1002" t="inlineStr">
        <is>
          <t>Prazo Premissa VALE</t>
        </is>
      </c>
    </row>
    <row r="1003">
      <c r="A1003">
        <v>1001</v>
      </c>
      <c r="B1003">
        <v>1</v>
      </c>
      <c r="C1003" t="inlineStr">
        <is>
          <t>1.1</t>
        </is>
      </c>
      <c r="D1003" t="inlineStr">
        <is>
          <t>C06</t>
        </is>
      </c>
      <c r="E1003" t="inlineStr">
        <is>
          <t>LD   Alça Sul</t>
        </is>
      </c>
      <c r="F1003" t="inlineStr">
        <is>
          <t>VALE</t>
        </is>
      </c>
      <c r="G1003" t="inlineStr">
        <is>
          <t>CLP-015</t>
        </is>
      </c>
      <c r="H1003" t="inlineStr">
        <is>
          <t>Protocolo</t>
        </is>
      </c>
      <c r="I1003">
        <v>4</v>
      </c>
      <c r="J1003" t="inlineStr">
        <is>
          <t>Terraplenagem</t>
        </is>
      </c>
      <c r="K1003" t="inlineStr">
        <is>
          <t>4.11</t>
        </is>
      </c>
      <c r="L1003" t="inlineStr">
        <is>
          <t>Plataforma</t>
        </is>
      </c>
      <c r="M1003" t="inlineStr">
        <is>
          <t>Regularização e recuperação de área</t>
        </is>
      </c>
      <c r="N1003" t="inlineStr">
        <is>
          <t>Recuperação de área com solo exposto.</t>
        </is>
      </c>
      <c r="O1003" t="inlineStr">
        <is>
          <t>Tipo A</t>
        </is>
      </c>
      <c r="P1003" t="inlineStr">
        <is>
          <t>0+020</t>
        </is>
      </c>
      <c r="Q1003" t="inlineStr">
        <is>
          <t>0+020</t>
        </is>
      </c>
      <c r="R1003" t="inlineStr">
        <is>
          <t>Aberta</t>
        </is>
      </c>
      <c r="T1003" t="inlineStr">
        <is>
          <t>Aline Batista</t>
        </is>
      </c>
      <c r="U1003" t="inlineStr">
        <is>
          <t>24/04/2026</t>
        </is>
      </c>
      <c r="V1003" t="inlineStr">
        <is>
          <t>01/05/2026</t>
        </is>
      </c>
      <c r="W1003">
        <v>40</v>
      </c>
      <c r="AA1003" t="inlineStr">
        <is>
          <t>Aberta 30-60 dias</t>
        </is>
      </c>
      <c r="AB1003" t="inlineStr">
        <is>
          <t>GSA</t>
        </is>
      </c>
      <c r="AC1003" t="inlineStr">
        <is>
          <t>Aline</t>
        </is>
      </c>
      <c r="AE1003" t="inlineStr">
        <is>
          <t>12/06/2026</t>
        </is>
      </c>
      <c r="AF1003" t="inlineStr">
        <is>
          <t>Reavaliar necessidade de realização desta pendência junto ao MA</t>
        </is>
      </c>
    </row>
    <row r="1004">
      <c r="A1004">
        <v>1002</v>
      </c>
      <c r="B1004">
        <v>1</v>
      </c>
      <c r="C1004" t="inlineStr">
        <is>
          <t>1.1</t>
        </is>
      </c>
      <c r="D1004" t="inlineStr">
        <is>
          <t>C09</t>
        </is>
      </c>
      <c r="E1004" t="inlineStr">
        <is>
          <t>LD   Alça Sul</t>
        </is>
      </c>
      <c r="F1004" t="inlineStr">
        <is>
          <t>VALE</t>
        </is>
      </c>
      <c r="G1004" t="inlineStr">
        <is>
          <t>CLP-015</t>
        </is>
      </c>
      <c r="H1004" t="inlineStr">
        <is>
          <t>Protocolo</t>
        </is>
      </c>
      <c r="I1004">
        <v>4</v>
      </c>
      <c r="J1004" t="inlineStr">
        <is>
          <t>Terraplenagem</t>
        </is>
      </c>
      <c r="K1004" t="inlineStr">
        <is>
          <t>4.11</t>
        </is>
      </c>
      <c r="L1004" t="inlineStr">
        <is>
          <t>Talude</t>
        </is>
      </c>
      <c r="M1004" t="inlineStr">
        <is>
          <t>Regularização e recuperação de área</t>
        </is>
      </c>
      <c r="N1004" t="inlineStr">
        <is>
          <t>Recuperação e aplicação de hidrossemeadura</t>
        </is>
      </c>
      <c r="O1004" t="inlineStr">
        <is>
          <t>Tipo A</t>
        </is>
      </c>
      <c r="P1004" t="inlineStr">
        <is>
          <t xml:space="preserve">1+550 </t>
        </is>
      </c>
      <c r="Q1004" t="inlineStr">
        <is>
          <t>1+580</t>
        </is>
      </c>
      <c r="R1004" t="inlineStr">
        <is>
          <t>Aberta</t>
        </is>
      </c>
      <c r="T1004" t="inlineStr">
        <is>
          <t>Aline Batista</t>
        </is>
      </c>
      <c r="U1004" t="inlineStr">
        <is>
          <t>24/04/2026</t>
        </is>
      </c>
      <c r="V1004" t="inlineStr">
        <is>
          <t>01/05/2026</t>
        </is>
      </c>
      <c r="W1004">
        <v>40</v>
      </c>
      <c r="AA1004" t="inlineStr">
        <is>
          <t>Aberta 30-60 dias</t>
        </is>
      </c>
      <c r="AB1004" t="inlineStr">
        <is>
          <t>GSA</t>
        </is>
      </c>
      <c r="AC1004" t="inlineStr">
        <is>
          <t>Aline</t>
        </is>
      </c>
      <c r="AD1004" t="inlineStr">
        <is>
          <t>15/06/2026</t>
        </is>
      </c>
      <c r="AE1004" t="inlineStr">
        <is>
          <t>30/06/2026</t>
        </is>
      </c>
      <c r="AF1004" t="inlineStr">
        <is>
          <t>Prazo Premissa VALE</t>
        </is>
      </c>
    </row>
    <row r="1005">
      <c r="A1005">
        <v>1003</v>
      </c>
      <c r="B1005">
        <v>1</v>
      </c>
      <c r="C1005" t="inlineStr">
        <is>
          <t>1.1</t>
        </is>
      </c>
      <c r="D1005" t="inlineStr">
        <is>
          <t>C09</t>
        </is>
      </c>
      <c r="E1005" t="inlineStr">
        <is>
          <t>LD   Alça Sul</t>
        </is>
      </c>
      <c r="F1005" t="inlineStr">
        <is>
          <t>VALE</t>
        </is>
      </c>
      <c r="G1005" t="inlineStr">
        <is>
          <t>CLP-015</t>
        </is>
      </c>
      <c r="H1005" t="inlineStr">
        <is>
          <t>Protocolo</t>
        </is>
      </c>
      <c r="I1005">
        <v>4</v>
      </c>
      <c r="J1005" t="inlineStr">
        <is>
          <t>Terraplenagem</t>
        </is>
      </c>
      <c r="K1005" t="inlineStr">
        <is>
          <t>4.11</t>
        </is>
      </c>
      <c r="L1005" t="inlineStr">
        <is>
          <t>Talude</t>
        </is>
      </c>
      <c r="M1005" t="inlineStr">
        <is>
          <t>Revegetação/ Hidrossemeadura</t>
        </is>
      </c>
      <c r="N1005" t="inlineStr">
        <is>
          <t>Falhas na proteção vegetal dos taludes (hidrossemeadura) e processos erosivos</t>
        </is>
      </c>
      <c r="O1005" t="inlineStr">
        <is>
          <t>Tipo A</t>
        </is>
      </c>
      <c r="P1005" t="inlineStr">
        <is>
          <t>1+680</t>
        </is>
      </c>
      <c r="Q1005">
        <v>1680</v>
      </c>
      <c r="R1005" t="inlineStr">
        <is>
          <t>Aberta</t>
        </is>
      </c>
      <c r="T1005" t="inlineStr">
        <is>
          <t>Aline Batista</t>
        </is>
      </c>
      <c r="U1005" t="inlineStr">
        <is>
          <t>24/04/2026</t>
        </is>
      </c>
      <c r="V1005" t="inlineStr">
        <is>
          <t>01/05/2026</t>
        </is>
      </c>
      <c r="W1005">
        <v>40</v>
      </c>
      <c r="AA1005" t="inlineStr">
        <is>
          <t>Aberta 30-60 dias</t>
        </is>
      </c>
      <c r="AB1005" t="inlineStr">
        <is>
          <t>GSA</t>
        </is>
      </c>
      <c r="AC1005" t="inlineStr">
        <is>
          <t>Aline</t>
        </is>
      </c>
      <c r="AD1005" t="inlineStr">
        <is>
          <t>15/06/2026</t>
        </is>
      </c>
      <c r="AE1005" t="inlineStr">
        <is>
          <t>30/06/2026</t>
        </is>
      </c>
      <c r="AF1005" t="inlineStr">
        <is>
          <t>Prazo Premissa VALE</t>
        </is>
      </c>
    </row>
    <row r="1006">
      <c r="A1006">
        <v>1004</v>
      </c>
      <c r="B1006">
        <v>1</v>
      </c>
      <c r="C1006" t="inlineStr">
        <is>
          <t>1.1</t>
        </is>
      </c>
      <c r="D1006" t="inlineStr">
        <is>
          <t>C09</t>
        </is>
      </c>
      <c r="E1006" t="inlineStr">
        <is>
          <t>EIXO Alça Norte</t>
        </is>
      </c>
      <c r="F1006" t="inlineStr">
        <is>
          <t>VALE</t>
        </is>
      </c>
      <c r="G1006" t="inlineStr">
        <is>
          <t>CLP-015</t>
        </is>
      </c>
      <c r="H1006" t="inlineStr">
        <is>
          <t>Protocolo</t>
        </is>
      </c>
      <c r="I1006">
        <v>4</v>
      </c>
      <c r="J1006" t="inlineStr">
        <is>
          <t>Terraplenagem</t>
        </is>
      </c>
      <c r="K1006" t="inlineStr">
        <is>
          <t>4.11</t>
        </is>
      </c>
      <c r="L1006" t="inlineStr">
        <is>
          <t>Lastro</t>
        </is>
      </c>
      <c r="M1006" t="inlineStr">
        <is>
          <t>Contaminação</t>
        </is>
      </c>
      <c r="N1006" t="inlineStr">
        <is>
          <t>Contaminação do lastro e presença de vegetação</t>
        </is>
      </c>
      <c r="O1006" t="inlineStr">
        <is>
          <t>Tipo C</t>
        </is>
      </c>
      <c r="P1006" t="inlineStr">
        <is>
          <t>1+850</t>
        </is>
      </c>
      <c r="Q1006" t="inlineStr">
        <is>
          <t>1+850</t>
        </is>
      </c>
      <c r="R1006" t="inlineStr">
        <is>
          <t>Aberta</t>
        </is>
      </c>
      <c r="T1006" t="inlineStr">
        <is>
          <t>Aline Batista</t>
        </is>
      </c>
      <c r="U1006" t="inlineStr">
        <is>
          <t>24/04/2026</t>
        </is>
      </c>
      <c r="V1006" t="inlineStr">
        <is>
          <t>24/05/2026</t>
        </is>
      </c>
      <c r="W1006">
        <v>17</v>
      </c>
      <c r="AA1006" t="inlineStr">
        <is>
          <t>Aberta 30-60 dias</t>
        </is>
      </c>
      <c r="AB1006" t="inlineStr">
        <is>
          <t>VALE</t>
        </is>
      </c>
      <c r="AC1006" t="inlineStr">
        <is>
          <t>Aline</t>
        </is>
      </c>
      <c r="AE1006" t="inlineStr">
        <is>
          <t>23/06/2026</t>
        </is>
      </c>
      <c r="AF1006" t="inlineStr">
        <is>
          <t>Verificar complexidade da contaminação para definição do executante</t>
        </is>
      </c>
    </row>
    <row r="1007">
      <c r="A1007">
        <v>1005</v>
      </c>
      <c r="B1007">
        <v>1</v>
      </c>
      <c r="C1007" t="inlineStr">
        <is>
          <t>1.1</t>
        </is>
      </c>
      <c r="D1007" t="inlineStr">
        <is>
          <t>A07/C08/A08/C09</t>
        </is>
      </c>
      <c r="E1007" t="inlineStr">
        <is>
          <t>LE/LD    Alça Norte Sul</t>
        </is>
      </c>
      <c r="F1007" t="inlineStr">
        <is>
          <t>VALE</t>
        </is>
      </c>
      <c r="G1007" t="inlineStr">
        <is>
          <t>CLP-015</t>
        </is>
      </c>
      <c r="H1007" t="inlineStr">
        <is>
          <t>Protocolo</t>
        </is>
      </c>
      <c r="I1007">
        <v>4</v>
      </c>
      <c r="J1007" t="inlineStr">
        <is>
          <t>Terraplenagem</t>
        </is>
      </c>
      <c r="K1007" t="inlineStr">
        <is>
          <t>4.11</t>
        </is>
      </c>
      <c r="L1007" t="inlineStr">
        <is>
          <t>Plataforma</t>
        </is>
      </c>
      <c r="M1007" t="inlineStr">
        <is>
          <t>Material orgânico</t>
        </is>
      </c>
      <c r="N1007" t="inlineStr">
        <is>
          <t>EXCESSO DE VEGETAÇÃO SOBRE A PLATAFORMA</t>
        </is>
      </c>
      <c r="O1007" t="inlineStr">
        <is>
          <t>Tipo A</t>
        </is>
      </c>
      <c r="P1007" t="inlineStr">
        <is>
          <t>0+000</t>
        </is>
      </c>
      <c r="Q1007" t="inlineStr">
        <is>
          <t xml:space="preserve">2+200 </t>
        </is>
      </c>
      <c r="R1007" t="inlineStr">
        <is>
          <t>Aberta</t>
        </is>
      </c>
      <c r="T1007" t="inlineStr">
        <is>
          <t>Aline Batista</t>
        </is>
      </c>
      <c r="U1007" t="inlineStr">
        <is>
          <t>24/04/2026</t>
        </is>
      </c>
      <c r="V1007" t="inlineStr">
        <is>
          <t>01/05/2026</t>
        </is>
      </c>
      <c r="W1007">
        <v>40</v>
      </c>
      <c r="AA1007" t="inlineStr">
        <is>
          <t>Aberta 30-60 dias</t>
        </is>
      </c>
      <c r="AB1007" t="inlineStr">
        <is>
          <t>GSA</t>
        </is>
      </c>
      <c r="AC1007" t="inlineStr">
        <is>
          <t>Aline</t>
        </is>
      </c>
      <c r="AD1007" t="inlineStr">
        <is>
          <t>15/06/2026</t>
        </is>
      </c>
      <c r="AE1007" t="inlineStr">
        <is>
          <t>30/06/2026</t>
        </is>
      </c>
      <c r="AF1007" t="inlineStr">
        <is>
          <t>Prazo Premissa VALE</t>
        </is>
      </c>
    </row>
    <row r="1008">
      <c r="A1008">
        <v>1006</v>
      </c>
      <c r="B1008">
        <v>1</v>
      </c>
      <c r="C1008" t="inlineStr">
        <is>
          <t>1.1</t>
        </is>
      </c>
      <c r="D1008" t="inlineStr">
        <is>
          <t>C07</t>
        </is>
      </c>
      <c r="E1008" t="inlineStr">
        <is>
          <t>LE Alça Norte</t>
        </is>
      </c>
      <c r="F1008" t="inlineStr">
        <is>
          <t>VALE</t>
        </is>
      </c>
      <c r="G1008" t="inlineStr">
        <is>
          <t>CLP-015</t>
        </is>
      </c>
      <c r="H1008" t="inlineStr">
        <is>
          <t>Protocolo</t>
        </is>
      </c>
      <c r="I1008">
        <v>4</v>
      </c>
      <c r="J1008" t="inlineStr">
        <is>
          <t>Terraplenagem</t>
        </is>
      </c>
      <c r="K1008" t="inlineStr">
        <is>
          <t>4.19</t>
        </is>
      </c>
      <c r="L1008" t="inlineStr">
        <is>
          <t>Plataforma</t>
        </is>
      </c>
      <c r="M1008" t="inlineStr">
        <is>
          <t>Limpeza/ remoção de material</t>
        </is>
      </c>
      <c r="N1008" t="inlineStr">
        <is>
          <t>Material proveniente de limpeza disposto inadequadamente na plataforma.</t>
        </is>
      </c>
      <c r="O1008" t="inlineStr">
        <is>
          <t>Tipo A</t>
        </is>
      </c>
      <c r="P1008" t="inlineStr">
        <is>
          <t>0+520</t>
        </is>
      </c>
      <c r="Q1008" t="inlineStr">
        <is>
          <t>0+520</t>
        </is>
      </c>
      <c r="R1008" t="inlineStr">
        <is>
          <t>Aberta</t>
        </is>
      </c>
      <c r="T1008" t="inlineStr">
        <is>
          <t>Aline Batista</t>
        </is>
      </c>
      <c r="U1008" t="inlineStr">
        <is>
          <t>24/04/2026</t>
        </is>
      </c>
      <c r="V1008" t="inlineStr">
        <is>
          <t>01/05/2026</t>
        </is>
      </c>
      <c r="W1008">
        <v>40</v>
      </c>
      <c r="AA1008" t="inlineStr">
        <is>
          <t>Aberta 30-60 dias</t>
        </is>
      </c>
      <c r="AB1008" t="inlineStr">
        <is>
          <t>GSA</t>
        </is>
      </c>
      <c r="AC1008" t="inlineStr">
        <is>
          <t>Aline</t>
        </is>
      </c>
      <c r="AD1008" t="inlineStr">
        <is>
          <t>15/06/2026</t>
        </is>
      </c>
      <c r="AE1008" t="inlineStr">
        <is>
          <t>30/06/2026</t>
        </is>
      </c>
      <c r="AF1008" t="inlineStr">
        <is>
          <t>Prazo Premissa VALE</t>
        </is>
      </c>
    </row>
    <row r="1009">
      <c r="A1009">
        <v>1007</v>
      </c>
      <c r="B1009">
        <v>1</v>
      </c>
      <c r="C1009" t="inlineStr">
        <is>
          <t>1.1</t>
        </is>
      </c>
      <c r="D1009" t="inlineStr">
        <is>
          <t>C09</t>
        </is>
      </c>
      <c r="E1009" t="inlineStr">
        <is>
          <t>LD Alça Norte</t>
        </is>
      </c>
      <c r="F1009" t="inlineStr">
        <is>
          <t>VALE</t>
        </is>
      </c>
      <c r="G1009" t="inlineStr">
        <is>
          <t>CLP-015</t>
        </is>
      </c>
      <c r="H1009" t="inlineStr">
        <is>
          <t>Protocolo</t>
        </is>
      </c>
      <c r="I1009">
        <v>4</v>
      </c>
      <c r="J1009" t="inlineStr">
        <is>
          <t>Terraplenagem</t>
        </is>
      </c>
      <c r="K1009" t="inlineStr">
        <is>
          <t>4.19</t>
        </is>
      </c>
      <c r="L1009" t="inlineStr">
        <is>
          <t>Plataforma</t>
        </is>
      </c>
      <c r="M1009" t="inlineStr">
        <is>
          <t>Limpeza/ remoção de material</t>
        </is>
      </c>
      <c r="N1009" t="inlineStr">
        <is>
          <t>Material proveniente de limpeza disposto inadequadamente na plataforma.</t>
        </is>
      </c>
      <c r="O1009" t="inlineStr">
        <is>
          <t>Tipo A</t>
        </is>
      </c>
      <c r="P1009" t="inlineStr">
        <is>
          <t>1+540</t>
        </is>
      </c>
      <c r="Q1009" t="inlineStr">
        <is>
          <t>1+540</t>
        </is>
      </c>
      <c r="R1009" t="inlineStr">
        <is>
          <t>Aberta</t>
        </is>
      </c>
      <c r="T1009" t="inlineStr">
        <is>
          <t>Aline Batista</t>
        </is>
      </c>
      <c r="U1009" t="inlineStr">
        <is>
          <t>24/04/2026</t>
        </is>
      </c>
      <c r="V1009" t="inlineStr">
        <is>
          <t>01/05/2026</t>
        </is>
      </c>
      <c r="W1009">
        <v>40</v>
      </c>
      <c r="AA1009" t="inlineStr">
        <is>
          <t>Aberta 30-60 dias</t>
        </is>
      </c>
      <c r="AB1009" t="inlineStr">
        <is>
          <t>GSA</t>
        </is>
      </c>
      <c r="AC1009" t="inlineStr">
        <is>
          <t>Aline</t>
        </is>
      </c>
      <c r="AD1009" t="inlineStr">
        <is>
          <t>15/06/2026</t>
        </is>
      </c>
      <c r="AE1009" t="inlineStr">
        <is>
          <t>30/06/2026</t>
        </is>
      </c>
      <c r="AF1009" t="inlineStr">
        <is>
          <t>Prazo Premissa VALE</t>
        </is>
      </c>
    </row>
    <row r="1010">
      <c r="A1010">
        <v>1008</v>
      </c>
      <c r="B1010">
        <v>1</v>
      </c>
      <c r="C1010" t="inlineStr">
        <is>
          <t>1.1</t>
        </is>
      </c>
      <c r="D1010" t="inlineStr">
        <is>
          <t>C07</t>
        </is>
      </c>
      <c r="E1010" t="inlineStr">
        <is>
          <t>LD Alça Norte</t>
        </is>
      </c>
      <c r="F1010" t="inlineStr">
        <is>
          <t>VALE</t>
        </is>
      </c>
      <c r="G1010" t="inlineStr">
        <is>
          <t>CLP-015</t>
        </is>
      </c>
      <c r="H1010" t="inlineStr">
        <is>
          <t>Protocolo</t>
        </is>
      </c>
      <c r="I1010">
        <v>4</v>
      </c>
      <c r="J1010" t="inlineStr">
        <is>
          <t>Terraplenagem</t>
        </is>
      </c>
      <c r="K1010" t="inlineStr">
        <is>
          <t>4.19</t>
        </is>
      </c>
      <c r="L1010" t="inlineStr">
        <is>
          <t>Plataforma</t>
        </is>
      </c>
      <c r="M1010" t="inlineStr">
        <is>
          <t>Limpeza/ remoção de material</t>
        </is>
      </c>
      <c r="N1010" t="inlineStr">
        <is>
          <t>Material proveniente de limpeza disposto inadequadamente na plataforma.</t>
        </is>
      </c>
      <c r="O1010" t="inlineStr">
        <is>
          <t>Tipo A</t>
        </is>
      </c>
      <c r="P1010" t="inlineStr">
        <is>
          <t>0+600</t>
        </is>
      </c>
      <c r="Q1010" t="inlineStr">
        <is>
          <t>0+600</t>
        </is>
      </c>
      <c r="R1010" t="inlineStr">
        <is>
          <t>Aberta</t>
        </is>
      </c>
      <c r="T1010" t="inlineStr">
        <is>
          <t>Aline Batista</t>
        </is>
      </c>
      <c r="U1010" t="inlineStr">
        <is>
          <t>24/04/2026</t>
        </is>
      </c>
      <c r="V1010" t="inlineStr">
        <is>
          <t>01/05/2026</t>
        </is>
      </c>
      <c r="W1010">
        <v>40</v>
      </c>
      <c r="AA1010" t="inlineStr">
        <is>
          <t>Aberta 30-60 dias</t>
        </is>
      </c>
      <c r="AB1010" t="inlineStr">
        <is>
          <t>GSA</t>
        </is>
      </c>
      <c r="AC1010" t="inlineStr">
        <is>
          <t>Aline</t>
        </is>
      </c>
      <c r="AD1010" t="inlineStr">
        <is>
          <t>15/06/2026</t>
        </is>
      </c>
      <c r="AE1010" t="inlineStr">
        <is>
          <t>30/06/2026</t>
        </is>
      </c>
      <c r="AF1010" t="inlineStr">
        <is>
          <t>Prazo Premissa VALE</t>
        </is>
      </c>
    </row>
    <row r="1011">
      <c r="A1011">
        <v>1009</v>
      </c>
      <c r="B1011">
        <v>1</v>
      </c>
      <c r="C1011" t="inlineStr">
        <is>
          <t>1.1</t>
        </is>
      </c>
      <c r="D1011" t="inlineStr">
        <is>
          <t>C07</t>
        </is>
      </c>
      <c r="E1011" t="inlineStr">
        <is>
          <t>LD Alça Norte</t>
        </is>
      </c>
      <c r="F1011" t="inlineStr">
        <is>
          <t>VALE</t>
        </is>
      </c>
      <c r="G1011" t="inlineStr">
        <is>
          <t>CLP-015</t>
        </is>
      </c>
      <c r="H1011" t="inlineStr">
        <is>
          <t>Protocolo</t>
        </is>
      </c>
      <c r="I1011">
        <v>4</v>
      </c>
      <c r="J1011" t="inlineStr">
        <is>
          <t>Terraplenagem</t>
        </is>
      </c>
      <c r="K1011" t="inlineStr">
        <is>
          <t>4.19</t>
        </is>
      </c>
      <c r="L1011" t="inlineStr">
        <is>
          <t>Plataforma</t>
        </is>
      </c>
      <c r="M1011" t="inlineStr">
        <is>
          <t>Limpeza/ remoção de material</t>
        </is>
      </c>
      <c r="N1011" t="inlineStr">
        <is>
          <t>Material proveniente de limpeza disposto inadequadamente na plataforma</t>
        </is>
      </c>
      <c r="O1011" t="inlineStr">
        <is>
          <t>Tipo A</t>
        </is>
      </c>
      <c r="P1011" t="inlineStr">
        <is>
          <t>0+660</t>
        </is>
      </c>
      <c r="Q1011" t="inlineStr">
        <is>
          <t>0+660</t>
        </is>
      </c>
      <c r="R1011" t="inlineStr">
        <is>
          <t>Aberta</t>
        </is>
      </c>
      <c r="T1011" t="inlineStr">
        <is>
          <t>Aline Batista</t>
        </is>
      </c>
      <c r="U1011" t="inlineStr">
        <is>
          <t>24/04/2026</t>
        </is>
      </c>
      <c r="V1011" t="inlineStr">
        <is>
          <t>01/05/2026</t>
        </is>
      </c>
      <c r="W1011">
        <v>40</v>
      </c>
      <c r="AA1011" t="inlineStr">
        <is>
          <t>Aberta 30-60 dias</t>
        </is>
      </c>
      <c r="AB1011" t="inlineStr">
        <is>
          <t>GSA</t>
        </is>
      </c>
      <c r="AC1011" t="inlineStr">
        <is>
          <t>Aline</t>
        </is>
      </c>
      <c r="AD1011" t="inlineStr">
        <is>
          <t>15/06/2026</t>
        </is>
      </c>
      <c r="AE1011" t="inlineStr">
        <is>
          <t>30/06/2026</t>
        </is>
      </c>
      <c r="AF1011" t="inlineStr">
        <is>
          <t>Prazo Premissa VALE</t>
        </is>
      </c>
    </row>
    <row r="1012">
      <c r="A1012">
        <v>1010</v>
      </c>
      <c r="B1012">
        <v>1</v>
      </c>
      <c r="C1012" t="inlineStr">
        <is>
          <t>1.1</t>
        </is>
      </c>
      <c r="D1012" t="inlineStr">
        <is>
          <t>A07</t>
        </is>
      </c>
      <c r="E1012" t="inlineStr">
        <is>
          <t>LE    Alça Norte</t>
        </is>
      </c>
      <c r="F1012" t="inlineStr">
        <is>
          <t>VALE</t>
        </is>
      </c>
      <c r="G1012" t="inlineStr">
        <is>
          <t>CLP-015</t>
        </is>
      </c>
      <c r="H1012" t="inlineStr">
        <is>
          <t>Protocolo</t>
        </is>
      </c>
      <c r="I1012">
        <v>4</v>
      </c>
      <c r="J1012" t="inlineStr">
        <is>
          <t>Terraplenagem</t>
        </is>
      </c>
      <c r="K1012" t="inlineStr">
        <is>
          <t>4.20</t>
        </is>
      </c>
      <c r="L1012" t="inlineStr">
        <is>
          <t>Talude</t>
        </is>
      </c>
      <c r="M1012" t="inlineStr">
        <is>
          <t>Erosões</t>
        </is>
      </c>
      <c r="N1012" t="inlineStr">
        <is>
          <t>Ravinamento com principio de erosão no talude.</t>
        </is>
      </c>
      <c r="O1012" t="inlineStr">
        <is>
          <t>Tipo A</t>
        </is>
      </c>
      <c r="P1012" t="inlineStr">
        <is>
          <t>1+070</t>
        </is>
      </c>
      <c r="Q1012" t="inlineStr">
        <is>
          <t>1+070</t>
        </is>
      </c>
      <c r="R1012" t="inlineStr">
        <is>
          <t>Aberta</t>
        </is>
      </c>
      <c r="T1012" t="inlineStr">
        <is>
          <t>Aline Batista</t>
        </is>
      </c>
      <c r="U1012" t="inlineStr">
        <is>
          <t>24/04/2026</t>
        </is>
      </c>
      <c r="V1012" t="inlineStr">
        <is>
          <t>01/05/2026</t>
        </is>
      </c>
      <c r="W1012">
        <v>40</v>
      </c>
      <c r="AA1012" t="inlineStr">
        <is>
          <t>Aberta 30-60 dias</t>
        </is>
      </c>
      <c r="AB1012" t="inlineStr">
        <is>
          <t>GSA</t>
        </is>
      </c>
      <c r="AC1012" t="inlineStr">
        <is>
          <t>Aline</t>
        </is>
      </c>
      <c r="AD1012" t="inlineStr">
        <is>
          <t>15/06/2026</t>
        </is>
      </c>
      <c r="AE1012" t="inlineStr">
        <is>
          <t>30/06/2026</t>
        </is>
      </c>
      <c r="AF1012" t="inlineStr">
        <is>
          <t>Prazo Premissa VALE</t>
        </is>
      </c>
    </row>
    <row r="1013">
      <c r="A1013">
        <v>1011</v>
      </c>
      <c r="B1013">
        <v>1</v>
      </c>
      <c r="C1013" t="inlineStr">
        <is>
          <t>1.1</t>
        </is>
      </c>
      <c r="D1013" t="inlineStr">
        <is>
          <t>C09</t>
        </is>
      </c>
      <c r="E1013" t="inlineStr">
        <is>
          <t>LE   Alça Sul</t>
        </is>
      </c>
      <c r="F1013" t="inlineStr">
        <is>
          <t>VALE</t>
        </is>
      </c>
      <c r="G1013" t="inlineStr">
        <is>
          <t>CLP-015</t>
        </is>
      </c>
      <c r="H1013" t="inlineStr">
        <is>
          <t>Protocolo</t>
        </is>
      </c>
      <c r="I1013">
        <v>4</v>
      </c>
      <c r="J1013" t="inlineStr">
        <is>
          <t>Terraplenagem</t>
        </is>
      </c>
      <c r="K1013" t="inlineStr">
        <is>
          <t>4.20</t>
        </is>
      </c>
      <c r="L1013" t="inlineStr">
        <is>
          <t>Talude</t>
        </is>
      </c>
      <c r="M1013" t="inlineStr">
        <is>
          <t>Erosões</t>
        </is>
      </c>
      <c r="N1013" t="inlineStr">
        <is>
          <t xml:space="preserve">Erosão no talude. </t>
        </is>
      </c>
      <c r="O1013" t="inlineStr">
        <is>
          <t>Tipo A</t>
        </is>
      </c>
      <c r="P1013" t="inlineStr">
        <is>
          <t>1+610</t>
        </is>
      </c>
      <c r="Q1013" t="inlineStr">
        <is>
          <t>1+610</t>
        </is>
      </c>
      <c r="R1013" t="inlineStr">
        <is>
          <t>Aberta</t>
        </is>
      </c>
      <c r="T1013" t="inlineStr">
        <is>
          <t>Aline Batista</t>
        </is>
      </c>
      <c r="U1013" t="inlineStr">
        <is>
          <t>24/04/2026</t>
        </is>
      </c>
      <c r="V1013" t="inlineStr">
        <is>
          <t>01/05/2026</t>
        </is>
      </c>
      <c r="W1013">
        <v>40</v>
      </c>
      <c r="AA1013" t="inlineStr">
        <is>
          <t>Aberta 30-60 dias</t>
        </is>
      </c>
      <c r="AB1013" t="inlineStr">
        <is>
          <t>GSA</t>
        </is>
      </c>
      <c r="AC1013" t="inlineStr">
        <is>
          <t>Aline</t>
        </is>
      </c>
      <c r="AD1013" t="inlineStr">
        <is>
          <t>15/06/2026</t>
        </is>
      </c>
      <c r="AE1013" t="inlineStr">
        <is>
          <t>30/06/2026</t>
        </is>
      </c>
      <c r="AF1013" t="inlineStr">
        <is>
          <t>Prazo Premissa VALE</t>
        </is>
      </c>
    </row>
    <row r="1014">
      <c r="A1014">
        <v>1012</v>
      </c>
      <c r="B1014">
        <v>1</v>
      </c>
      <c r="C1014" t="inlineStr">
        <is>
          <t>1.1</t>
        </is>
      </c>
      <c r="D1014" t="inlineStr">
        <is>
          <t>C09</t>
        </is>
      </c>
      <c r="E1014" t="inlineStr">
        <is>
          <t>LD   Alça Sul</t>
        </is>
      </c>
      <c r="F1014" t="inlineStr">
        <is>
          <t>VALE</t>
        </is>
      </c>
      <c r="G1014" t="inlineStr">
        <is>
          <t>CLP-015</t>
        </is>
      </c>
      <c r="H1014" t="inlineStr">
        <is>
          <t>Protocolo</t>
        </is>
      </c>
      <c r="I1014">
        <v>4</v>
      </c>
      <c r="J1014" t="inlineStr">
        <is>
          <t>Terraplenagem</t>
        </is>
      </c>
      <c r="K1014" t="inlineStr">
        <is>
          <t>4.20</t>
        </is>
      </c>
      <c r="L1014" t="inlineStr">
        <is>
          <t>Acesso</t>
        </is>
      </c>
      <c r="M1014" t="inlineStr">
        <is>
          <t>Erosões</t>
        </is>
      </c>
      <c r="N1014" t="inlineStr">
        <is>
          <t>Processos erosivos no acesso à comunidade.</t>
        </is>
      </c>
      <c r="O1014" t="inlineStr">
        <is>
          <t>Tipo A</t>
        </is>
      </c>
      <c r="P1014" t="inlineStr">
        <is>
          <t>2+200</t>
        </is>
      </c>
      <c r="Q1014" t="inlineStr">
        <is>
          <t>2+200</t>
        </is>
      </c>
      <c r="R1014" t="inlineStr">
        <is>
          <t>Aberta</t>
        </is>
      </c>
      <c r="T1014" t="inlineStr">
        <is>
          <t>Aline Batista</t>
        </is>
      </c>
      <c r="U1014" t="inlineStr">
        <is>
          <t>24/04/2026</t>
        </is>
      </c>
      <c r="V1014" t="inlineStr">
        <is>
          <t>01/05/2026</t>
        </is>
      </c>
      <c r="W1014">
        <v>40</v>
      </c>
      <c r="AA1014" t="inlineStr">
        <is>
          <t>Aberta 30-60 dias</t>
        </is>
      </c>
      <c r="AB1014" t="inlineStr">
        <is>
          <t>GSA</t>
        </is>
      </c>
      <c r="AC1014" t="inlineStr">
        <is>
          <t>Aline</t>
        </is>
      </c>
      <c r="AD1014" t="inlineStr">
        <is>
          <t>15/06/2026</t>
        </is>
      </c>
      <c r="AE1014" t="inlineStr">
        <is>
          <t>30/06/2026</t>
        </is>
      </c>
      <c r="AF1014" t="inlineStr">
        <is>
          <t>Prazo Premissa VALE</t>
        </is>
      </c>
    </row>
    <row r="1015">
      <c r="A1015">
        <v>1013</v>
      </c>
      <c r="B1015">
        <v>1</v>
      </c>
      <c r="C1015" t="inlineStr">
        <is>
          <t>1.1</t>
        </is>
      </c>
      <c r="D1015" t="inlineStr">
        <is>
          <t>A06</t>
        </is>
      </c>
      <c r="E1015" t="inlineStr">
        <is>
          <t>LE    Alça Norte</t>
        </is>
      </c>
      <c r="F1015" t="inlineStr">
        <is>
          <t>VALE</t>
        </is>
      </c>
      <c r="G1015" t="inlineStr">
        <is>
          <t>CLP-015</t>
        </is>
      </c>
      <c r="H1015" t="inlineStr">
        <is>
          <t>Protocolo</t>
        </is>
      </c>
      <c r="I1015">
        <v>4</v>
      </c>
      <c r="J1015" t="inlineStr">
        <is>
          <t>Terraplenagem</t>
        </is>
      </c>
      <c r="K1015" t="inlineStr">
        <is>
          <t>4.23</t>
        </is>
      </c>
      <c r="L1015" t="inlineStr">
        <is>
          <t>Plataforma</t>
        </is>
      </c>
      <c r="M1015" t="inlineStr">
        <is>
          <t>Acúmulo de água</t>
        </is>
      </c>
      <c r="N1015" t="inlineStr">
        <is>
          <t>Presença de acúmulo de água na plataforma adjacente à via permanente, decorrente da obstrução dos dispositivos de drenagem.</t>
        </is>
      </c>
      <c r="O1015" t="inlineStr">
        <is>
          <t>Tipo A</t>
        </is>
      </c>
      <c r="P1015" t="inlineStr">
        <is>
          <t>0+370</t>
        </is>
      </c>
      <c r="Q1015" t="inlineStr">
        <is>
          <t>0+370</t>
        </is>
      </c>
      <c r="R1015" t="inlineStr">
        <is>
          <t>Aberta</t>
        </is>
      </c>
      <c r="T1015" t="inlineStr">
        <is>
          <t>Aline Batista</t>
        </is>
      </c>
      <c r="U1015" t="inlineStr">
        <is>
          <t>24/04/2026</t>
        </is>
      </c>
      <c r="V1015" t="inlineStr">
        <is>
          <t>01/05/2026</t>
        </is>
      </c>
      <c r="W1015">
        <v>40</v>
      </c>
      <c r="AA1015" t="inlineStr">
        <is>
          <t>Aberta 30-60 dias</t>
        </is>
      </c>
      <c r="AB1015" t="inlineStr">
        <is>
          <t>GSA</t>
        </is>
      </c>
      <c r="AC1015" t="inlineStr">
        <is>
          <t>Aline</t>
        </is>
      </c>
      <c r="AD1015" t="inlineStr">
        <is>
          <t>15/06/2026</t>
        </is>
      </c>
      <c r="AE1015" t="inlineStr">
        <is>
          <t>30/06/2026</t>
        </is>
      </c>
      <c r="AF1015" t="inlineStr">
        <is>
          <t>Prazo Premissa VALE</t>
        </is>
      </c>
    </row>
    <row r="1016">
      <c r="A1016">
        <v>1014</v>
      </c>
      <c r="B1016">
        <v>1</v>
      </c>
      <c r="C1016" t="inlineStr">
        <is>
          <t>1.1</t>
        </is>
      </c>
      <c r="D1016" t="inlineStr">
        <is>
          <t>A06</t>
        </is>
      </c>
      <c r="F1016" t="inlineStr">
        <is>
          <t>VALE</t>
        </is>
      </c>
      <c r="G1016" t="inlineStr">
        <is>
          <t>CLP-015</t>
        </is>
      </c>
      <c r="H1016" t="inlineStr">
        <is>
          <t>Protocolo</t>
        </is>
      </c>
      <c r="I1016">
        <v>4</v>
      </c>
      <c r="J1016" t="inlineStr">
        <is>
          <t>Terraplenagem</t>
        </is>
      </c>
      <c r="K1016" t="inlineStr">
        <is>
          <t>4.23</t>
        </is>
      </c>
      <c r="L1016" t="inlineStr">
        <is>
          <t>Plataforma</t>
        </is>
      </c>
      <c r="M1016" t="inlineStr">
        <is>
          <t>Acúmulo de água</t>
        </is>
      </c>
      <c r="N1016" t="inlineStr">
        <is>
          <t>Presença de acúmulo de água na plataforma adjacente à via permanente, decorrente da obstrução dos dispositivos de drenagem.</t>
        </is>
      </c>
      <c r="O1016" t="inlineStr">
        <is>
          <t>Tipo A</t>
        </is>
      </c>
      <c r="P1016" t="inlineStr">
        <is>
          <t>0+420</t>
        </is>
      </c>
      <c r="Q1016" t="inlineStr">
        <is>
          <t>0+420</t>
        </is>
      </c>
      <c r="R1016" t="inlineStr">
        <is>
          <t>Aberta</t>
        </is>
      </c>
      <c r="T1016" t="inlineStr">
        <is>
          <t>Aline Batista</t>
        </is>
      </c>
      <c r="U1016" t="inlineStr">
        <is>
          <t>24/04/2026</t>
        </is>
      </c>
      <c r="V1016" t="inlineStr">
        <is>
          <t>01/05/2026</t>
        </is>
      </c>
      <c r="W1016">
        <v>40</v>
      </c>
      <c r="AA1016" t="inlineStr">
        <is>
          <t>Aberta 30-60 dias</t>
        </is>
      </c>
      <c r="AB1016" t="inlineStr">
        <is>
          <t>GSA</t>
        </is>
      </c>
      <c r="AC1016" t="inlineStr">
        <is>
          <t>Aline</t>
        </is>
      </c>
      <c r="AD1016" t="inlineStr">
        <is>
          <t>15/06/2026</t>
        </is>
      </c>
      <c r="AE1016" t="inlineStr">
        <is>
          <t>30/06/2026</t>
        </is>
      </c>
      <c r="AF1016" t="inlineStr">
        <is>
          <t>Prazo Premissa VALE</t>
        </is>
      </c>
    </row>
    <row r="1017">
      <c r="A1017">
        <v>1015</v>
      </c>
      <c r="B1017">
        <v>1</v>
      </c>
      <c r="C1017" t="inlineStr">
        <is>
          <t>1.1</t>
        </is>
      </c>
      <c r="D1017" t="inlineStr">
        <is>
          <t>GERAL</t>
        </is>
      </c>
      <c r="E1017" t="inlineStr">
        <is>
          <t>LE/LD    Alça Norte</t>
        </is>
      </c>
      <c r="F1017" t="inlineStr">
        <is>
          <t>VALE</t>
        </is>
      </c>
      <c r="G1017" t="inlineStr">
        <is>
          <t>CLP-015</t>
        </is>
      </c>
      <c r="H1017" t="inlineStr">
        <is>
          <t>Protocolo</t>
        </is>
      </c>
      <c r="I1017">
        <v>4</v>
      </c>
      <c r="J1017" t="inlineStr">
        <is>
          <t>Terraplenagem</t>
        </is>
      </c>
      <c r="K1017" t="inlineStr">
        <is>
          <t>4.25</t>
        </is>
      </c>
      <c r="L1017" t="inlineStr">
        <is>
          <t>Colchão drenante</t>
        </is>
      </c>
      <c r="M1017" t="inlineStr">
        <is>
          <t>Colmatação colchão drenante</t>
        </is>
      </c>
      <c r="N1017" t="inlineStr">
        <is>
          <t>Colmatação de colchão drenante devido excesso de finos proveniente de limpeza de sarjeta.</t>
        </is>
      </c>
      <c r="O1017" t="inlineStr">
        <is>
          <t>Tipo A</t>
        </is>
      </c>
      <c r="P1017" t="inlineStr">
        <is>
          <t>21+500</t>
        </is>
      </c>
      <c r="Q1017" t="inlineStr">
        <is>
          <t>35+100</t>
        </is>
      </c>
      <c r="R1017" t="inlineStr">
        <is>
          <t>Aberta</t>
        </is>
      </c>
      <c r="T1017" t="inlineStr">
        <is>
          <t>Aline Batista</t>
        </is>
      </c>
      <c r="U1017" t="inlineStr">
        <is>
          <t>24/04/2026</t>
        </is>
      </c>
      <c r="V1017" t="inlineStr">
        <is>
          <t>01/05/2026</t>
        </is>
      </c>
      <c r="W1017">
        <v>40</v>
      </c>
      <c r="AA1017" t="inlineStr">
        <is>
          <t>Aberta 30-60 dias</t>
        </is>
      </c>
      <c r="AB1017" t="inlineStr">
        <is>
          <t>VALE</t>
        </is>
      </c>
      <c r="AC1017" t="inlineStr">
        <is>
          <t>Enriko</t>
        </is>
      </c>
      <c r="AE1017" t="inlineStr">
        <is>
          <t>24/07/2026</t>
        </is>
      </c>
      <c r="AF1017" t="inlineStr">
        <is>
          <t>Avaliar com a engenharia a funcionalidade do colchão drenante</t>
        </is>
      </c>
    </row>
    <row r="1018">
      <c r="A1018">
        <v>1016</v>
      </c>
      <c r="B1018">
        <v>1</v>
      </c>
      <c r="C1018" t="inlineStr">
        <is>
          <t>1.1</t>
        </is>
      </c>
      <c r="D1018" t="inlineStr">
        <is>
          <t>C09</t>
        </is>
      </c>
      <c r="E1018" t="inlineStr">
        <is>
          <t>LE/LD    Alça Norte</t>
        </is>
      </c>
      <c r="F1018" t="inlineStr">
        <is>
          <t>VALE</t>
        </is>
      </c>
      <c r="G1018" t="inlineStr">
        <is>
          <t>CLP-015</t>
        </is>
      </c>
      <c r="H1018" t="inlineStr">
        <is>
          <t>Protocolo</t>
        </is>
      </c>
      <c r="I1018">
        <v>4</v>
      </c>
      <c r="J1018" t="inlineStr">
        <is>
          <t>Terraplenagem</t>
        </is>
      </c>
      <c r="K1018" t="inlineStr">
        <is>
          <t>4.25</t>
        </is>
      </c>
      <c r="L1018" t="inlineStr">
        <is>
          <t>Plataforma</t>
        </is>
      </c>
      <c r="M1018" t="inlineStr">
        <is>
          <t>Limpeza/ remoção de material</t>
        </is>
      </c>
      <c r="N1018" t="inlineStr">
        <is>
          <t>Material proveniente da limpeza de sarjeta disposto inadequadamente sobre a plataforma e talude</t>
        </is>
      </c>
      <c r="O1018" t="inlineStr">
        <is>
          <t>Tipo A</t>
        </is>
      </c>
      <c r="P1018" t="inlineStr">
        <is>
          <t>1+500</t>
        </is>
      </c>
      <c r="Q1018" t="inlineStr">
        <is>
          <t>1+500</t>
        </is>
      </c>
      <c r="R1018" t="inlineStr">
        <is>
          <t>Aberta</t>
        </is>
      </c>
      <c r="T1018" t="inlineStr">
        <is>
          <t>Aline Batista</t>
        </is>
      </c>
      <c r="U1018" t="inlineStr">
        <is>
          <t>24/04/2026</t>
        </is>
      </c>
      <c r="V1018" t="inlineStr">
        <is>
          <t>01/05/2026</t>
        </is>
      </c>
      <c r="W1018">
        <v>40</v>
      </c>
      <c r="AA1018" t="inlineStr">
        <is>
          <t>Aberta 30-60 dias</t>
        </is>
      </c>
      <c r="AB1018" t="inlineStr">
        <is>
          <t>GSA</t>
        </is>
      </c>
      <c r="AC1018" t="inlineStr">
        <is>
          <t>Aline</t>
        </is>
      </c>
      <c r="AD1018" t="inlineStr">
        <is>
          <t>15/06/2026</t>
        </is>
      </c>
      <c r="AE1018" t="inlineStr">
        <is>
          <t>30/06/2026</t>
        </is>
      </c>
      <c r="AF1018" t="inlineStr">
        <is>
          <t>Prazo Premissa VALE</t>
        </is>
      </c>
    </row>
    <row r="1019">
      <c r="A1019">
        <v>1017</v>
      </c>
      <c r="B1019">
        <v>1</v>
      </c>
      <c r="C1019" t="inlineStr">
        <is>
          <t>1.1</t>
        </is>
      </c>
      <c r="D1019" t="inlineStr">
        <is>
          <t>C06</t>
        </is>
      </c>
      <c r="E1019" t="inlineStr">
        <is>
          <t>LD Alça Norte</t>
        </is>
      </c>
      <c r="F1019" t="inlineStr">
        <is>
          <t>VALE</t>
        </is>
      </c>
      <c r="G1019" t="inlineStr">
        <is>
          <t>CLP-015</t>
        </is>
      </c>
      <c r="H1019" t="inlineStr">
        <is>
          <t>Implantação</t>
        </is>
      </c>
      <c r="I1019">
        <v>4</v>
      </c>
      <c r="J1019" t="inlineStr">
        <is>
          <t>Terraplenagem</t>
        </is>
      </c>
      <c r="K1019" t="inlineStr">
        <is>
          <t>4.32</t>
        </is>
      </c>
      <c r="L1019" t="inlineStr">
        <is>
          <t>Dormentes</t>
        </is>
      </c>
      <c r="M1019" t="inlineStr">
        <is>
          <t>Limpeza/ remoção de material</t>
        </is>
      </c>
      <c r="N1019" t="inlineStr">
        <is>
          <t>Presença de dormentes dispostos na lateral direita da via.</t>
        </is>
      </c>
      <c r="O1019" t="inlineStr">
        <is>
          <t>Tipo C</t>
        </is>
      </c>
      <c r="P1019" t="inlineStr">
        <is>
          <t>0+200</t>
        </is>
      </c>
      <c r="Q1019" t="inlineStr">
        <is>
          <t>0+200</t>
        </is>
      </c>
      <c r="R1019" t="inlineStr">
        <is>
          <t>Aberta</t>
        </is>
      </c>
      <c r="T1019" t="inlineStr">
        <is>
          <t>Aline Batista</t>
        </is>
      </c>
      <c r="U1019" t="inlineStr">
        <is>
          <t>24/04/2026</t>
        </is>
      </c>
      <c r="V1019" t="inlineStr">
        <is>
          <t>24/05/2026</t>
        </is>
      </c>
      <c r="W1019">
        <v>17</v>
      </c>
      <c r="AA1019" t="inlineStr">
        <is>
          <t>Aberta 30-60 dias</t>
        </is>
      </c>
      <c r="AB1019" t="inlineStr">
        <is>
          <t>SOMAFEL</t>
        </is>
      </c>
      <c r="AC1019" t="inlineStr">
        <is>
          <t>Luiz Cláudio</t>
        </is>
      </c>
      <c r="AE1019" t="inlineStr">
        <is>
          <t>15/09/2026</t>
        </is>
      </c>
      <c r="AF1019" t="inlineStr">
        <is>
          <t>Prazo Premissa VALE</t>
        </is>
      </c>
    </row>
    <row r="1020">
      <c r="A1020">
        <v>1018</v>
      </c>
      <c r="B1020">
        <v>1</v>
      </c>
      <c r="C1020" t="inlineStr">
        <is>
          <t>1.1</t>
        </is>
      </c>
      <c r="D1020" t="inlineStr">
        <is>
          <t>A08</t>
        </is>
      </c>
      <c r="E1020" t="inlineStr">
        <is>
          <t>LD    Alça sul</t>
        </is>
      </c>
      <c r="F1020" t="inlineStr">
        <is>
          <t>VALE</t>
        </is>
      </c>
      <c r="G1020" t="inlineStr">
        <is>
          <t>CLP-015</t>
        </is>
      </c>
      <c r="H1020" t="inlineStr">
        <is>
          <t>Protocolo</t>
        </is>
      </c>
      <c r="I1020">
        <v>4</v>
      </c>
      <c r="J1020" t="inlineStr">
        <is>
          <t>Terraplenagem</t>
        </is>
      </c>
      <c r="K1020" t="inlineStr">
        <is>
          <t>4.32</t>
        </is>
      </c>
      <c r="L1020" t="inlineStr">
        <is>
          <t>PN provisória</t>
        </is>
      </c>
      <c r="M1020" t="inlineStr">
        <is>
          <t>Regularização e recuperação de área</t>
        </is>
      </c>
      <c r="N1020" t="inlineStr">
        <is>
          <t>Necessidade de realização do desmonte adequado da Passagem em Nível provisória ao término das atividades, com a devida recomposição e restabelecimento das condições originais de integridade e funcionalidade da via permanente.</t>
        </is>
      </c>
      <c r="O1020" t="inlineStr">
        <is>
          <t>Tipo C</t>
        </is>
      </c>
      <c r="P1020" t="inlineStr">
        <is>
          <t>1+300</t>
        </is>
      </c>
      <c r="Q1020" t="inlineStr">
        <is>
          <t>1+300</t>
        </is>
      </c>
      <c r="R1020" t="inlineStr">
        <is>
          <t>Aberta</t>
        </is>
      </c>
      <c r="T1020" t="inlineStr">
        <is>
          <t>Aline Batista</t>
        </is>
      </c>
      <c r="U1020" t="inlineStr">
        <is>
          <t>24/04/2026</t>
        </is>
      </c>
      <c r="V1020" t="inlineStr">
        <is>
          <t>24/05/2026</t>
        </is>
      </c>
      <c r="W1020">
        <v>17</v>
      </c>
      <c r="AA1020" t="inlineStr">
        <is>
          <t>Aberta 30-60 dias</t>
        </is>
      </c>
      <c r="AB1020" t="inlineStr">
        <is>
          <t>SOMAFEL</t>
        </is>
      </c>
      <c r="AC1020" t="inlineStr">
        <is>
          <t>Luiz Cláudio</t>
        </is>
      </c>
      <c r="AE1020" t="inlineStr">
        <is>
          <t>15/09/2026</t>
        </is>
      </c>
      <c r="AF1020" t="inlineStr">
        <is>
          <t>Prazo Premissa VALE</t>
        </is>
      </c>
    </row>
    <row r="1021">
      <c r="A1021">
        <v>1019</v>
      </c>
      <c r="B1021">
        <v>1</v>
      </c>
      <c r="C1021" t="inlineStr">
        <is>
          <t>1.3</t>
        </is>
      </c>
      <c r="D1021" t="inlineStr">
        <is>
          <t>A47</t>
        </is>
      </c>
      <c r="E1021" t="inlineStr">
        <is>
          <t>LE</t>
        </is>
      </c>
      <c r="F1021" t="inlineStr">
        <is>
          <t>VALE</t>
        </is>
      </c>
      <c r="G1021" t="inlineStr">
        <is>
          <t>CLP-015</t>
        </is>
      </c>
      <c r="H1021" t="inlineStr">
        <is>
          <t>Protocolo</t>
        </is>
      </c>
      <c r="I1021">
        <v>2</v>
      </c>
      <c r="J1021" t="inlineStr">
        <is>
          <t>Bueiros</t>
        </is>
      </c>
      <c r="K1021" t="inlineStr">
        <is>
          <t>2.15</t>
        </is>
      </c>
      <c r="L1021" t="inlineStr">
        <is>
          <t>Resíduos de obra</t>
        </is>
      </c>
      <c r="M1021" t="inlineStr">
        <is>
          <t>Limpeza/ remoção de material</t>
        </is>
      </c>
      <c r="N1021" t="inlineStr">
        <is>
          <t>Pendente retirada de tubos de concreto.</t>
        </is>
      </c>
      <c r="O1021" t="inlineStr">
        <is>
          <t>Tipo A</t>
        </is>
      </c>
      <c r="P1021" t="inlineStr">
        <is>
          <t>28+150</t>
        </is>
      </c>
      <c r="Q1021">
        <v>28150</v>
      </c>
      <c r="R1021" t="inlineStr">
        <is>
          <t>Aberta</t>
        </is>
      </c>
      <c r="T1021" t="inlineStr">
        <is>
          <t>Aline Batista</t>
        </is>
      </c>
      <c r="U1021" t="inlineStr">
        <is>
          <t>24/04/2026</t>
        </is>
      </c>
      <c r="V1021" t="inlineStr">
        <is>
          <t>01/05/2026</t>
        </is>
      </c>
      <c r="W1021">
        <v>40</v>
      </c>
      <c r="AA1021" t="inlineStr">
        <is>
          <t>Aberta 30-60 dias</t>
        </is>
      </c>
      <c r="AB1021" t="inlineStr">
        <is>
          <t>ABS</t>
        </is>
      </c>
      <c r="AC1021" t="inlineStr">
        <is>
          <t>Aline</t>
        </is>
      </c>
      <c r="AD1021" t="inlineStr">
        <is>
          <t>15/06/2026</t>
        </is>
      </c>
      <c r="AE1021" t="inlineStr">
        <is>
          <t>30/06/2026</t>
        </is>
      </c>
      <c r="AF1021" t="inlineStr">
        <is>
          <t>Apoio do Planejamento</t>
        </is>
      </c>
    </row>
    <row r="1022">
      <c r="A1022">
        <v>1020</v>
      </c>
      <c r="B1022">
        <v>1</v>
      </c>
      <c r="C1022" t="inlineStr">
        <is>
          <t>1.3</t>
        </is>
      </c>
      <c r="D1022" t="inlineStr">
        <is>
          <t>A48</t>
        </is>
      </c>
      <c r="E1022" t="inlineStr">
        <is>
          <t>LE</t>
        </is>
      </c>
      <c r="F1022" t="inlineStr">
        <is>
          <t>VALE</t>
        </is>
      </c>
      <c r="G1022" t="inlineStr">
        <is>
          <t>CLP-015</t>
        </is>
      </c>
      <c r="H1022" t="inlineStr">
        <is>
          <t>Protocolo</t>
        </is>
      </c>
      <c r="I1022">
        <v>2</v>
      </c>
      <c r="J1022" t="inlineStr">
        <is>
          <t>Bueiros</t>
        </is>
      </c>
      <c r="K1022" t="inlineStr">
        <is>
          <t>2.15</t>
        </is>
      </c>
      <c r="L1022" t="inlineStr">
        <is>
          <t>Resíduos de obra</t>
        </is>
      </c>
      <c r="M1022" t="inlineStr">
        <is>
          <t>Limpeza/ remoção de material</t>
        </is>
      </c>
      <c r="N1022" t="inlineStr">
        <is>
          <t>Aduelas da passagem molhada dispostas em local inadequado.</t>
        </is>
      </c>
      <c r="O1022" t="inlineStr">
        <is>
          <t>Tipo C</t>
        </is>
      </c>
      <c r="P1022" t="inlineStr">
        <is>
          <t>30+820</t>
        </is>
      </c>
      <c r="Q1022" t="inlineStr">
        <is>
          <t>30+820</t>
        </is>
      </c>
      <c r="R1022" t="inlineStr">
        <is>
          <t>Aberta</t>
        </is>
      </c>
      <c r="T1022" t="inlineStr">
        <is>
          <t>Aline Batista</t>
        </is>
      </c>
      <c r="U1022" t="inlineStr">
        <is>
          <t>24/04/2026</t>
        </is>
      </c>
      <c r="V1022" t="inlineStr">
        <is>
          <t>24/05/2026</t>
        </is>
      </c>
      <c r="W1022">
        <v>17</v>
      </c>
      <c r="AA1022" t="inlineStr">
        <is>
          <t>Aberta 30-60 dias</t>
        </is>
      </c>
      <c r="AB1022" t="inlineStr">
        <is>
          <t>ABS</t>
        </is>
      </c>
      <c r="AC1022" t="inlineStr">
        <is>
          <t>Aline</t>
        </is>
      </c>
      <c r="AD1022" t="inlineStr">
        <is>
          <t>15/06/2026</t>
        </is>
      </c>
      <c r="AE1022" t="inlineStr">
        <is>
          <t>30/06/2026</t>
        </is>
      </c>
      <c r="AF1022" t="inlineStr">
        <is>
          <t>Apoio do Planejamento</t>
        </is>
      </c>
    </row>
    <row r="1023">
      <c r="A1023">
        <v>1021</v>
      </c>
      <c r="B1023">
        <v>1</v>
      </c>
      <c r="C1023" t="inlineStr">
        <is>
          <t>1.3</t>
        </is>
      </c>
      <c r="D1023" t="inlineStr">
        <is>
          <t>A46</t>
        </is>
      </c>
      <c r="E1023" t="inlineStr">
        <is>
          <t>LD</t>
        </is>
      </c>
      <c r="F1023" t="inlineStr">
        <is>
          <t>VALE</t>
        </is>
      </c>
      <c r="G1023" t="inlineStr">
        <is>
          <t>CLP-015</t>
        </is>
      </c>
      <c r="H1023" t="inlineStr">
        <is>
          <t>Protocolo</t>
        </is>
      </c>
      <c r="I1023">
        <v>2</v>
      </c>
      <c r="J1023" t="inlineStr">
        <is>
          <t>Bueiros</t>
        </is>
      </c>
      <c r="K1023" t="inlineStr">
        <is>
          <t>2.15</t>
        </is>
      </c>
      <c r="L1023" t="inlineStr">
        <is>
          <t>Aduela</t>
        </is>
      </c>
      <c r="M1023" t="inlineStr">
        <is>
          <t>Limpeza/ remoção de material</t>
        </is>
      </c>
      <c r="N1023" t="inlineStr">
        <is>
          <t>Aduelas dispostas em local inadequado.</t>
        </is>
      </c>
      <c r="O1023" t="inlineStr">
        <is>
          <t>Tipo A</t>
        </is>
      </c>
      <c r="P1023" t="inlineStr">
        <is>
          <t>23+350</t>
        </is>
      </c>
      <c r="Q1023">
        <v>23350</v>
      </c>
      <c r="R1023" t="inlineStr">
        <is>
          <t>Aberta</t>
        </is>
      </c>
      <c r="T1023" t="inlineStr">
        <is>
          <t>Aline Batista</t>
        </is>
      </c>
      <c r="U1023" t="inlineStr">
        <is>
          <t>24/04/2026</t>
        </is>
      </c>
      <c r="V1023" t="inlineStr">
        <is>
          <t>01/05/2026</t>
        </is>
      </c>
      <c r="W1023">
        <v>40</v>
      </c>
      <c r="AA1023" t="inlineStr">
        <is>
          <t>Aberta 30-60 dias</t>
        </is>
      </c>
      <c r="AB1023" t="inlineStr">
        <is>
          <t>ABS</t>
        </is>
      </c>
      <c r="AC1023" t="inlineStr">
        <is>
          <t>Aline</t>
        </is>
      </c>
      <c r="AD1023" t="inlineStr">
        <is>
          <t>15/06/2026</t>
        </is>
      </c>
      <c r="AE1023" t="inlineStr">
        <is>
          <t>30/06/2026</t>
        </is>
      </c>
      <c r="AF1023" t="inlineStr">
        <is>
          <t>Apoio do Planejamento</t>
        </is>
      </c>
    </row>
    <row r="1024">
      <c r="A1024">
        <v>1022</v>
      </c>
      <c r="B1024">
        <v>1</v>
      </c>
      <c r="C1024" t="inlineStr">
        <is>
          <t>1.2</t>
        </is>
      </c>
      <c r="D1024" t="inlineStr">
        <is>
          <t>A46</t>
        </is>
      </c>
      <c r="E1024" t="inlineStr">
        <is>
          <t>LE</t>
        </is>
      </c>
      <c r="F1024" t="inlineStr">
        <is>
          <t>EMPA</t>
        </is>
      </c>
      <c r="G1024" t="inlineStr">
        <is>
          <t>CLP-016</t>
        </is>
      </c>
      <c r="H1024" t="inlineStr">
        <is>
          <t>Protocolo</t>
        </is>
      </c>
      <c r="I1024">
        <v>1</v>
      </c>
      <c r="J1024" t="inlineStr">
        <is>
          <t>Obras Complementares</t>
        </is>
      </c>
      <c r="K1024" t="inlineStr">
        <is>
          <t>1.3</t>
        </is>
      </c>
      <c r="L1024" t="inlineStr">
        <is>
          <t>Cerca</t>
        </is>
      </c>
      <c r="M1024" t="inlineStr">
        <is>
          <t>Cercamento danificado</t>
        </is>
      </c>
      <c r="N1024" t="inlineStr">
        <is>
          <t>Cerca danificada com presença de erosão.</t>
        </is>
      </c>
      <c r="O1024" t="inlineStr">
        <is>
          <t>Tipo A</t>
        </is>
      </c>
      <c r="P1024" t="inlineStr">
        <is>
          <t>23+220</t>
        </is>
      </c>
      <c r="Q1024">
        <v>23220</v>
      </c>
      <c r="R1024" t="inlineStr">
        <is>
          <t>Aberta</t>
        </is>
      </c>
      <c r="T1024" t="inlineStr">
        <is>
          <t>Aline Batista</t>
        </is>
      </c>
      <c r="U1024" t="inlineStr">
        <is>
          <t>15/05/2026</t>
        </is>
      </c>
      <c r="V1024" t="inlineStr">
        <is>
          <t>22/05/2026</t>
        </is>
      </c>
      <c r="W1024">
        <v>19</v>
      </c>
      <c r="AA1024" t="inlineStr">
        <is>
          <t>Aberta -30 dias</t>
        </is>
      </c>
      <c r="AB1024" t="inlineStr">
        <is>
          <t>EMPA</t>
        </is>
      </c>
      <c r="AC1024" t="inlineStr">
        <is>
          <t>Aline</t>
        </is>
      </c>
      <c r="AD1024" t="inlineStr">
        <is>
          <t>20/07/2026</t>
        </is>
      </c>
      <c r="AE1024" t="inlineStr">
        <is>
          <t>31/07/2026</t>
        </is>
      </c>
      <c r="AF1024" t="inlineStr">
        <is>
          <t>Prazo premissa VALE</t>
        </is>
      </c>
    </row>
    <row r="1025">
      <c r="A1025">
        <v>1023</v>
      </c>
      <c r="B1025">
        <v>1</v>
      </c>
      <c r="C1025" t="inlineStr">
        <is>
          <t>1.2</t>
        </is>
      </c>
      <c r="D1025" t="inlineStr">
        <is>
          <t>C43</t>
        </is>
      </c>
      <c r="E1025" t="inlineStr">
        <is>
          <t>LE</t>
        </is>
      </c>
      <c r="F1025" t="inlineStr">
        <is>
          <t>EMPA</t>
        </is>
      </c>
      <c r="G1025" t="inlineStr">
        <is>
          <t>CLP-016</t>
        </is>
      </c>
      <c r="H1025" t="inlineStr">
        <is>
          <t>Protocolo</t>
        </is>
      </c>
      <c r="I1025">
        <v>1</v>
      </c>
      <c r="J1025" t="inlineStr">
        <is>
          <t>Obras Complementares</t>
        </is>
      </c>
      <c r="K1025" t="inlineStr">
        <is>
          <t>1.3</t>
        </is>
      </c>
      <c r="L1025" t="inlineStr">
        <is>
          <t>Cerca</t>
        </is>
      </c>
      <c r="M1025" t="inlineStr">
        <is>
          <t>Cercamento danificado</t>
        </is>
      </c>
      <c r="N1025" t="inlineStr">
        <is>
          <t>Cerca danificada.</t>
        </is>
      </c>
      <c r="O1025" t="inlineStr">
        <is>
          <t>Tipo A</t>
        </is>
      </c>
      <c r="P1025" t="inlineStr">
        <is>
          <t>24+300</t>
        </is>
      </c>
      <c r="Q1025">
        <v>24400</v>
      </c>
      <c r="R1025" t="inlineStr">
        <is>
          <t>Aberta</t>
        </is>
      </c>
      <c r="T1025" t="inlineStr">
        <is>
          <t>Aline Batista</t>
        </is>
      </c>
      <c r="U1025" t="inlineStr">
        <is>
          <t>15/05/2026</t>
        </is>
      </c>
      <c r="V1025" t="inlineStr">
        <is>
          <t>22/05/2026</t>
        </is>
      </c>
      <c r="W1025">
        <v>19</v>
      </c>
      <c r="AA1025" t="inlineStr">
        <is>
          <t>Aberta -30 dias</t>
        </is>
      </c>
      <c r="AB1025" t="inlineStr">
        <is>
          <t>EMPA</t>
        </is>
      </c>
      <c r="AC1025" t="inlineStr">
        <is>
          <t>Aline</t>
        </is>
      </c>
      <c r="AD1025" t="inlineStr">
        <is>
          <t>20/07/2026</t>
        </is>
      </c>
      <c r="AE1025" t="inlineStr">
        <is>
          <t>31/07/2026</t>
        </is>
      </c>
      <c r="AF1025" t="inlineStr">
        <is>
          <t>Prazo premissa VALE</t>
        </is>
      </c>
    </row>
    <row r="1026">
      <c r="A1026">
        <v>1024</v>
      </c>
      <c r="B1026">
        <v>1</v>
      </c>
      <c r="C1026" t="inlineStr">
        <is>
          <t>1.2</t>
        </is>
      </c>
      <c r="D1026" t="inlineStr">
        <is>
          <t>A46</t>
        </is>
      </c>
      <c r="E1026" t="inlineStr">
        <is>
          <t>LD</t>
        </is>
      </c>
      <c r="F1026" t="inlineStr">
        <is>
          <t>EMPA</t>
        </is>
      </c>
      <c r="G1026" t="inlineStr">
        <is>
          <t>CLP-016</t>
        </is>
      </c>
      <c r="H1026" t="inlineStr">
        <is>
          <t>Protocolo</t>
        </is>
      </c>
      <c r="I1026">
        <v>1</v>
      </c>
      <c r="J1026" t="inlineStr">
        <is>
          <t>Obras Complementares</t>
        </is>
      </c>
      <c r="K1026" t="inlineStr">
        <is>
          <t>1.3</t>
        </is>
      </c>
      <c r="L1026" t="inlineStr">
        <is>
          <t>Cerca</t>
        </is>
      </c>
      <c r="M1026" t="inlineStr">
        <is>
          <t>Cercamento danificado</t>
        </is>
      </c>
      <c r="N1026" t="inlineStr">
        <is>
          <t>Cerca soterrada por material disposto na lateral do acesso.</t>
        </is>
      </c>
      <c r="O1026" t="inlineStr">
        <is>
          <t>Tipo A</t>
        </is>
      </c>
      <c r="P1026" t="inlineStr">
        <is>
          <t>23+200</t>
        </is>
      </c>
      <c r="Q1026">
        <v>23300</v>
      </c>
      <c r="R1026" t="inlineStr">
        <is>
          <t>Aberta</t>
        </is>
      </c>
      <c r="T1026" t="inlineStr">
        <is>
          <t>Aline Batista</t>
        </is>
      </c>
      <c r="U1026" t="inlineStr">
        <is>
          <t>15/05/2026</t>
        </is>
      </c>
      <c r="V1026" t="inlineStr">
        <is>
          <t>22/05/2026</t>
        </is>
      </c>
      <c r="W1026">
        <v>19</v>
      </c>
      <c r="AA1026" t="inlineStr">
        <is>
          <t>Aberta -30 dias</t>
        </is>
      </c>
      <c r="AB1026" t="inlineStr">
        <is>
          <t>EMPA</t>
        </is>
      </c>
      <c r="AC1026" t="inlineStr">
        <is>
          <t>Aline</t>
        </is>
      </c>
      <c r="AD1026" t="inlineStr">
        <is>
          <t>16/07/2026</t>
        </is>
      </c>
      <c r="AE1026" t="inlineStr">
        <is>
          <t>21/07/2026</t>
        </is>
      </c>
      <c r="AF1026" t="inlineStr">
        <is>
          <t>Prazo Premissa VALE</t>
        </is>
      </c>
    </row>
    <row r="1027">
      <c r="A1027">
        <v>1025</v>
      </c>
      <c r="B1027">
        <v>1</v>
      </c>
      <c r="C1027" t="inlineStr">
        <is>
          <t>1.2</t>
        </is>
      </c>
      <c r="D1027" t="inlineStr">
        <is>
          <t>GERAL</t>
        </is>
      </c>
      <c r="E1027" t="inlineStr">
        <is>
          <t>-</t>
        </is>
      </c>
      <c r="F1027" t="inlineStr">
        <is>
          <t>EMPA</t>
        </is>
      </c>
      <c r="G1027" t="inlineStr">
        <is>
          <t>CLP-016</t>
        </is>
      </c>
      <c r="H1027" t="inlineStr">
        <is>
          <t>Protocolo</t>
        </is>
      </c>
      <c r="I1027">
        <v>1</v>
      </c>
      <c r="J1027" t="inlineStr">
        <is>
          <t>Obras Complementares</t>
        </is>
      </c>
      <c r="K1027" t="inlineStr">
        <is>
          <t>1.6</t>
        </is>
      </c>
      <c r="L1027" t="inlineStr">
        <is>
          <t>As Built</t>
        </is>
      </c>
      <c r="M1027" t="inlineStr">
        <is>
          <t>Documental</t>
        </is>
      </c>
      <c r="N1027" t="inlineStr">
        <is>
          <t>As Built pendente de aprovação.</t>
        </is>
      </c>
      <c r="O1027" t="inlineStr">
        <is>
          <t>Tipo B</t>
        </is>
      </c>
      <c r="P1027" t="inlineStr">
        <is>
          <t>-</t>
        </is>
      </c>
      <c r="Q1027" t="inlineStr">
        <is>
          <t>-</t>
        </is>
      </c>
      <c r="R1027" t="inlineStr">
        <is>
          <t>Aberta</t>
        </is>
      </c>
      <c r="T1027" t="inlineStr">
        <is>
          <t>Aline Batista</t>
        </is>
      </c>
      <c r="U1027" t="inlineStr">
        <is>
          <t>15/05/2026</t>
        </is>
      </c>
      <c r="V1027" t="inlineStr">
        <is>
          <t>30/05/2026</t>
        </is>
      </c>
      <c r="W1027">
        <v>11</v>
      </c>
      <c r="AA1027" t="inlineStr">
        <is>
          <t>Aberta -30 dias</t>
        </is>
      </c>
      <c r="AB1027" t="inlineStr">
        <is>
          <t>EMPA</t>
        </is>
      </c>
      <c r="AC1027" t="inlineStr">
        <is>
          <t>Aline</t>
        </is>
      </c>
      <c r="AE1027" t="inlineStr">
        <is>
          <t>19/06/2026</t>
        </is>
      </c>
      <c r="AF1027" t="inlineStr">
        <is>
          <t>Ata de reunião de RM p/ BK</t>
        </is>
      </c>
    </row>
    <row r="1028">
      <c r="A1028">
        <v>1026</v>
      </c>
      <c r="B1028">
        <v>1</v>
      </c>
      <c r="C1028" t="inlineStr">
        <is>
          <t>1.2</t>
        </is>
      </c>
      <c r="D1028" t="inlineStr">
        <is>
          <t>C43</t>
        </is>
      </c>
      <c r="E1028" t="inlineStr">
        <is>
          <t>-</t>
        </is>
      </c>
      <c r="F1028" t="inlineStr">
        <is>
          <t>EMPA</t>
        </is>
      </c>
      <c r="G1028" t="inlineStr">
        <is>
          <t>CLP-016</t>
        </is>
      </c>
      <c r="H1028" t="inlineStr">
        <is>
          <t>Protocolo</t>
        </is>
      </c>
      <c r="I1028">
        <v>2</v>
      </c>
      <c r="J1028" t="inlineStr">
        <is>
          <t>Bueiros</t>
        </is>
      </c>
      <c r="K1028" t="inlineStr">
        <is>
          <t>2.10</t>
        </is>
      </c>
      <c r="L1028" t="inlineStr">
        <is>
          <t>BSCC</t>
        </is>
      </c>
      <c r="M1028" t="inlineStr">
        <is>
          <t>Obstrução do dispositivo</t>
        </is>
      </c>
      <c r="N1028" t="inlineStr">
        <is>
          <t>Bueiro obstruido rejunte não finalizado.</t>
        </is>
      </c>
      <c r="O1028" t="inlineStr">
        <is>
          <t>Tipo A</t>
        </is>
      </c>
      <c r="P1028" t="inlineStr">
        <is>
          <t>23+550</t>
        </is>
      </c>
      <c r="Q1028">
        <v>23550</v>
      </c>
      <c r="R1028" t="inlineStr">
        <is>
          <t>Aberta</t>
        </is>
      </c>
      <c r="T1028" t="inlineStr">
        <is>
          <t>Aline Batista</t>
        </is>
      </c>
      <c r="U1028" t="inlineStr">
        <is>
          <t>15/05/2026</t>
        </is>
      </c>
      <c r="V1028" t="inlineStr">
        <is>
          <t>22/05/2026</t>
        </is>
      </c>
      <c r="W1028">
        <v>19</v>
      </c>
      <c r="AA1028" t="inlineStr">
        <is>
          <t>Aberta -30 dias</t>
        </is>
      </c>
      <c r="AB1028" t="inlineStr">
        <is>
          <t>EMPA</t>
        </is>
      </c>
      <c r="AC1028" t="inlineStr">
        <is>
          <t>Aline</t>
        </is>
      </c>
      <c r="AD1028" t="inlineStr">
        <is>
          <t>16/07/2026</t>
        </is>
      </c>
      <c r="AE1028" t="inlineStr">
        <is>
          <t>21/07/2026</t>
        </is>
      </c>
      <c r="AF1028" t="inlineStr">
        <is>
          <t>Prazo Premissa VALE</t>
        </is>
      </c>
    </row>
    <row r="1029">
      <c r="A1029">
        <v>1027</v>
      </c>
      <c r="B1029">
        <v>1</v>
      </c>
      <c r="C1029" t="inlineStr">
        <is>
          <t>1.2</t>
        </is>
      </c>
      <c r="D1029" t="inlineStr">
        <is>
          <t>C43</t>
        </is>
      </c>
      <c r="E1029" t="inlineStr">
        <is>
          <t>-</t>
        </is>
      </c>
      <c r="F1029" t="inlineStr">
        <is>
          <t>EMPA</t>
        </is>
      </c>
      <c r="G1029" t="inlineStr">
        <is>
          <t>CLP-016</t>
        </is>
      </c>
      <c r="H1029" t="inlineStr">
        <is>
          <t>Protocolo</t>
        </is>
      </c>
      <c r="I1029">
        <v>2</v>
      </c>
      <c r="J1029" t="inlineStr">
        <is>
          <t>Bueiros</t>
        </is>
      </c>
      <c r="K1029" t="inlineStr">
        <is>
          <t>2.10</t>
        </is>
      </c>
      <c r="L1029" t="inlineStr">
        <is>
          <t>PG</t>
        </is>
      </c>
      <c r="M1029" t="inlineStr">
        <is>
          <t>Acabamento do concreto</t>
        </is>
      </c>
      <c r="N1029" t="inlineStr">
        <is>
          <t>Pendente conclusão de rejunte superior interno e fechamento dos furos de içamento.</t>
        </is>
      </c>
      <c r="O1029" t="inlineStr">
        <is>
          <t>Tipo A</t>
        </is>
      </c>
      <c r="P1029" t="inlineStr">
        <is>
          <t>23+550</t>
        </is>
      </c>
      <c r="Q1029">
        <v>23550</v>
      </c>
      <c r="R1029" t="inlineStr">
        <is>
          <t>Aberta</t>
        </is>
      </c>
      <c r="T1029" t="inlineStr">
        <is>
          <t>Aline Batista</t>
        </is>
      </c>
      <c r="U1029" t="inlineStr">
        <is>
          <t>15/05/2026</t>
        </is>
      </c>
      <c r="V1029" t="inlineStr">
        <is>
          <t>22/05/2026</t>
        </is>
      </c>
      <c r="W1029">
        <v>19</v>
      </c>
      <c r="AA1029" t="inlineStr">
        <is>
          <t>Aberta -30 dias</t>
        </is>
      </c>
      <c r="AB1029" t="inlineStr">
        <is>
          <t>EMPA</t>
        </is>
      </c>
      <c r="AC1029" t="inlineStr">
        <is>
          <t>Aline</t>
        </is>
      </c>
      <c r="AD1029" t="inlineStr">
        <is>
          <t>16/07/2026</t>
        </is>
      </c>
      <c r="AE1029" t="inlineStr">
        <is>
          <t>21/07/2026</t>
        </is>
      </c>
      <c r="AF1029" t="inlineStr">
        <is>
          <t>Prazo Premissa VALE</t>
        </is>
      </c>
    </row>
    <row r="1030">
      <c r="A1030">
        <v>1028</v>
      </c>
      <c r="B1030">
        <v>1</v>
      </c>
      <c r="C1030" t="inlineStr">
        <is>
          <t>1.2</t>
        </is>
      </c>
      <c r="D1030" t="inlineStr">
        <is>
          <t>C43</t>
        </is>
      </c>
      <c r="E1030" t="inlineStr">
        <is>
          <t>-</t>
        </is>
      </c>
      <c r="F1030" t="inlineStr">
        <is>
          <t>EMPA</t>
        </is>
      </c>
      <c r="G1030" t="inlineStr">
        <is>
          <t>CLP-016</t>
        </is>
      </c>
      <c r="H1030" t="inlineStr">
        <is>
          <t>Protocolo</t>
        </is>
      </c>
      <c r="I1030">
        <v>2</v>
      </c>
      <c r="J1030" t="inlineStr">
        <is>
          <t>Bueiros</t>
        </is>
      </c>
      <c r="K1030" t="inlineStr">
        <is>
          <t>2.11</t>
        </is>
      </c>
      <c r="L1030" t="inlineStr">
        <is>
          <t>PG</t>
        </is>
      </c>
      <c r="M1030" t="inlineStr">
        <is>
          <t>Assoreamento</t>
        </is>
      </c>
      <c r="N1030" t="inlineStr">
        <is>
          <t>Pendente limpeza de passagem de gado assoreada</t>
        </is>
      </c>
      <c r="O1030" t="inlineStr">
        <is>
          <t>Tipo C</t>
        </is>
      </c>
      <c r="P1030" t="inlineStr">
        <is>
          <t>23+550</t>
        </is>
      </c>
      <c r="Q1030">
        <v>23550</v>
      </c>
      <c r="R1030" t="inlineStr">
        <is>
          <t>Aberta</t>
        </is>
      </c>
      <c r="T1030" t="inlineStr">
        <is>
          <t>Aline Batista</t>
        </is>
      </c>
      <c r="U1030" t="inlineStr">
        <is>
          <t>15/05/2026</t>
        </is>
      </c>
      <c r="V1030" t="inlineStr">
        <is>
          <t>14/06/2026</t>
        </is>
      </c>
      <c r="W1030">
        <v>-4</v>
      </c>
      <c r="AA1030" t="inlineStr">
        <is>
          <t>Aberta -30 dias</t>
        </is>
      </c>
      <c r="AB1030" t="inlineStr">
        <is>
          <t>EMPA</t>
        </is>
      </c>
      <c r="AC1030" t="inlineStr">
        <is>
          <t>Aline</t>
        </is>
      </c>
      <c r="AD1030" t="inlineStr">
        <is>
          <t>16/07/2026</t>
        </is>
      </c>
      <c r="AE1030" t="inlineStr">
        <is>
          <t>21/07/2026</t>
        </is>
      </c>
      <c r="AF1030" t="inlineStr">
        <is>
          <t>Prazo Premissa VALE</t>
        </is>
      </c>
    </row>
    <row r="1031">
      <c r="A1031">
        <v>1029</v>
      </c>
      <c r="B1031">
        <v>1</v>
      </c>
      <c r="C1031" t="inlineStr">
        <is>
          <t>1.3</t>
        </is>
      </c>
      <c r="D1031" t="inlineStr">
        <is>
          <t>C43</t>
        </is>
      </c>
      <c r="E1031" t="inlineStr">
        <is>
          <t>LE</t>
        </is>
      </c>
      <c r="F1031" t="inlineStr">
        <is>
          <t>EMPA</t>
        </is>
      </c>
      <c r="G1031" t="inlineStr">
        <is>
          <t>CLP-016</t>
        </is>
      </c>
      <c r="H1031" t="inlineStr">
        <is>
          <t>Protocolo</t>
        </is>
      </c>
      <c r="I1031">
        <v>2</v>
      </c>
      <c r="J1031" t="inlineStr">
        <is>
          <t>Bueiros</t>
        </is>
      </c>
      <c r="K1031" t="inlineStr">
        <is>
          <t>2.11</t>
        </is>
      </c>
      <c r="L1031" t="inlineStr">
        <is>
          <t>BSTC Ø 1,00</t>
        </is>
      </c>
      <c r="M1031" t="inlineStr">
        <is>
          <t>Obstrução do dispositivo</t>
        </is>
      </c>
      <c r="N1031" t="inlineStr">
        <is>
          <t>Bueiro obstruído</t>
        </is>
      </c>
      <c r="O1031" t="inlineStr">
        <is>
          <t>Tipo A</t>
        </is>
      </c>
      <c r="P1031" t="inlineStr">
        <is>
          <t>25+540</t>
        </is>
      </c>
      <c r="Q1031" t="inlineStr">
        <is>
          <t>25+540</t>
        </is>
      </c>
      <c r="R1031" t="inlineStr">
        <is>
          <t>Aberta</t>
        </is>
      </c>
      <c r="T1031" t="inlineStr">
        <is>
          <t>Aline Batista</t>
        </is>
      </c>
      <c r="U1031" t="inlineStr">
        <is>
          <t>15/05/2026</t>
        </is>
      </c>
      <c r="V1031" t="inlineStr">
        <is>
          <t>22/05/2026</t>
        </is>
      </c>
      <c r="W1031">
        <v>19</v>
      </c>
      <c r="AA1031" t="inlineStr">
        <is>
          <t>Aberta -30 dias</t>
        </is>
      </c>
      <c r="AB1031" t="inlineStr">
        <is>
          <t>EMPA</t>
        </is>
      </c>
      <c r="AC1031" t="inlineStr">
        <is>
          <t>Aline</t>
        </is>
      </c>
      <c r="AD1031" t="inlineStr">
        <is>
          <t>20/07/2026</t>
        </is>
      </c>
      <c r="AE1031" t="inlineStr">
        <is>
          <t>31/07/2026</t>
        </is>
      </c>
      <c r="AF1031" t="inlineStr">
        <is>
          <t>Prazo premissa VALE</t>
        </is>
      </c>
    </row>
    <row r="1032">
      <c r="A1032">
        <v>1030</v>
      </c>
      <c r="B1032">
        <v>1</v>
      </c>
      <c r="C1032" t="inlineStr">
        <is>
          <t>1.2</t>
        </is>
      </c>
      <c r="D1032" t="inlineStr">
        <is>
          <t>A46</t>
        </is>
      </c>
      <c r="F1032" t="inlineStr">
        <is>
          <t>EMPA</t>
        </is>
      </c>
      <c r="G1032" t="inlineStr">
        <is>
          <t>CLP-016</t>
        </is>
      </c>
      <c r="H1032" t="inlineStr">
        <is>
          <t>Protocolo</t>
        </is>
      </c>
      <c r="I1032">
        <v>2</v>
      </c>
      <c r="J1032" t="inlineStr">
        <is>
          <t>Bueiros</t>
        </is>
      </c>
      <c r="K1032" t="inlineStr">
        <is>
          <t>2.12</t>
        </is>
      </c>
      <c r="L1032" t="inlineStr">
        <is>
          <t>DBSCC-08</t>
        </is>
      </c>
      <c r="M1032" t="inlineStr">
        <is>
          <t>Obstrução do dispositivo</t>
        </is>
      </c>
      <c r="N1032" t="inlineStr">
        <is>
          <t xml:space="preserve">Jusante da OAC com acúmulo de sedimento impossibilitando identificar a execução do DBSCC-08.
</t>
        </is>
      </c>
      <c r="O1032" t="inlineStr">
        <is>
          <t>Tipo A</t>
        </is>
      </c>
      <c r="P1032" t="inlineStr">
        <is>
          <t>23+305</t>
        </is>
      </c>
      <c r="Q1032" t="inlineStr">
        <is>
          <t>23+305</t>
        </is>
      </c>
      <c r="R1032" t="inlineStr">
        <is>
          <t>Aberta</t>
        </is>
      </c>
      <c r="T1032" t="inlineStr">
        <is>
          <t>Aline Batista</t>
        </is>
      </c>
      <c r="U1032" t="inlineStr">
        <is>
          <t>15/05/2026</t>
        </is>
      </c>
      <c r="V1032" t="inlineStr">
        <is>
          <t>22/05/2026</t>
        </is>
      </c>
      <c r="W1032">
        <v>19</v>
      </c>
      <c r="AA1032" t="inlineStr">
        <is>
          <t>Aberta -30 dias</t>
        </is>
      </c>
      <c r="AB1032" t="inlineStr">
        <is>
          <t>EMPA</t>
        </is>
      </c>
      <c r="AC1032" t="inlineStr">
        <is>
          <t>Aline</t>
        </is>
      </c>
      <c r="AD1032" t="inlineStr">
        <is>
          <t>16/07/2026</t>
        </is>
      </c>
      <c r="AE1032" t="inlineStr">
        <is>
          <t>21/07/2026</t>
        </is>
      </c>
      <c r="AF1032" t="inlineStr">
        <is>
          <t>Prazo Premissa VALE</t>
        </is>
      </c>
    </row>
    <row r="1033">
      <c r="A1033">
        <v>1031</v>
      </c>
      <c r="B1033">
        <v>1</v>
      </c>
      <c r="C1033" t="inlineStr">
        <is>
          <t>1.3</t>
        </is>
      </c>
      <c r="D1033" t="inlineStr">
        <is>
          <t>C43</t>
        </is>
      </c>
      <c r="F1033" t="inlineStr">
        <is>
          <t>EMPA</t>
        </is>
      </c>
      <c r="G1033" t="inlineStr">
        <is>
          <t>CLP-016</t>
        </is>
      </c>
      <c r="H1033" t="inlineStr">
        <is>
          <t>Protocolo</t>
        </is>
      </c>
      <c r="I1033">
        <v>2</v>
      </c>
      <c r="J1033" t="inlineStr">
        <is>
          <t>Bueiros</t>
        </is>
      </c>
      <c r="K1033" t="inlineStr">
        <is>
          <t>2.12</t>
        </is>
      </c>
      <c r="L1033" t="inlineStr">
        <is>
          <t>DBSCC-08</t>
        </is>
      </c>
      <c r="M1033" t="inlineStr">
        <is>
          <t>Obstrução do dispositivo</t>
        </is>
      </c>
      <c r="N1033" t="inlineStr">
        <is>
          <t xml:space="preserve">Jusante da OAC com acúmulo de sedimento impossibilitando identificar a execução do DBSCC-08.
</t>
        </is>
      </c>
      <c r="O1033" t="inlineStr">
        <is>
          <t>Tipo A</t>
        </is>
      </c>
      <c r="P1033" t="inlineStr">
        <is>
          <t>26+566</t>
        </is>
      </c>
      <c r="Q1033" t="inlineStr">
        <is>
          <t>26+566</t>
        </is>
      </c>
      <c r="R1033" t="inlineStr">
        <is>
          <t>Aberta</t>
        </is>
      </c>
      <c r="T1033" t="inlineStr">
        <is>
          <t>Aline Batista</t>
        </is>
      </c>
      <c r="U1033" t="inlineStr">
        <is>
          <t>15/05/2026</t>
        </is>
      </c>
      <c r="V1033" t="inlineStr">
        <is>
          <t>22/05/2026</t>
        </is>
      </c>
      <c r="W1033">
        <v>19</v>
      </c>
      <c r="AA1033" t="inlineStr">
        <is>
          <t>Aberta -30 dias</t>
        </is>
      </c>
      <c r="AB1033" t="inlineStr">
        <is>
          <t>EMPA</t>
        </is>
      </c>
      <c r="AC1033" t="inlineStr">
        <is>
          <t>Aline</t>
        </is>
      </c>
      <c r="AD1033" t="inlineStr">
        <is>
          <t>20/07/2026</t>
        </is>
      </c>
      <c r="AE1033" t="inlineStr">
        <is>
          <t>31/07/2026</t>
        </is>
      </c>
      <c r="AF1033" t="inlineStr">
        <is>
          <t>Prazo Premissa VALE</t>
        </is>
      </c>
    </row>
    <row r="1034">
      <c r="A1034">
        <v>1032</v>
      </c>
      <c r="B1034">
        <v>1</v>
      </c>
      <c r="C1034" t="inlineStr">
        <is>
          <t>1.2</t>
        </is>
      </c>
      <c r="D1034" t="inlineStr">
        <is>
          <t>GERAL</t>
        </is>
      </c>
      <c r="F1034" t="inlineStr">
        <is>
          <t>EMPA</t>
        </is>
      </c>
      <c r="G1034" t="inlineStr">
        <is>
          <t>CLP-016</t>
        </is>
      </c>
      <c r="H1034" t="inlineStr">
        <is>
          <t>Protocolo</t>
        </is>
      </c>
      <c r="I1034">
        <v>2</v>
      </c>
      <c r="J1034" t="inlineStr">
        <is>
          <t>Bueiros</t>
        </is>
      </c>
      <c r="K1034" t="inlineStr">
        <is>
          <t>2.14</t>
        </is>
      </c>
      <c r="L1034" t="inlineStr">
        <is>
          <t>As Built</t>
        </is>
      </c>
      <c r="M1034" t="inlineStr">
        <is>
          <t>Documental</t>
        </is>
      </c>
      <c r="N1034" t="inlineStr">
        <is>
          <t xml:space="preserve">Pendente aprovação de Data Book
(As Built, controle tecnológico, certificados de qualidade, RNC)</t>
        </is>
      </c>
      <c r="O1034" t="inlineStr">
        <is>
          <t>Tipo B</t>
        </is>
      </c>
      <c r="P1034" t="inlineStr">
        <is>
          <t>-</t>
        </is>
      </c>
      <c r="Q1034" t="inlineStr">
        <is>
          <t>-</t>
        </is>
      </c>
      <c r="R1034" t="inlineStr">
        <is>
          <t>Aberta</t>
        </is>
      </c>
      <c r="T1034" t="inlineStr">
        <is>
          <t>Aline Batista</t>
        </is>
      </c>
      <c r="U1034" t="inlineStr">
        <is>
          <t>15/05/2026</t>
        </is>
      </c>
      <c r="V1034" t="inlineStr">
        <is>
          <t>30/05/2026</t>
        </is>
      </c>
      <c r="W1034">
        <v>11</v>
      </c>
      <c r="AA1034" t="inlineStr">
        <is>
          <t>Aberta -30 dias</t>
        </is>
      </c>
      <c r="AB1034" t="inlineStr">
        <is>
          <t>EMPA</t>
        </is>
      </c>
      <c r="AC1034" t="inlineStr">
        <is>
          <t>Aline</t>
        </is>
      </c>
      <c r="AE1034" t="inlineStr">
        <is>
          <t>19/06/2026</t>
        </is>
      </c>
      <c r="AF1034" t="inlineStr">
        <is>
          <t>Ata de reunião de RM p/ BK</t>
        </is>
      </c>
    </row>
    <row r="1035">
      <c r="A1035">
        <v>1033</v>
      </c>
      <c r="B1035">
        <v>1</v>
      </c>
      <c r="C1035" t="inlineStr">
        <is>
          <t>1.2</t>
        </is>
      </c>
      <c r="D1035" t="inlineStr">
        <is>
          <t>C43</t>
        </is>
      </c>
      <c r="E1035" t="inlineStr">
        <is>
          <t>LE</t>
        </is>
      </c>
      <c r="F1035" t="inlineStr">
        <is>
          <t>EMPA</t>
        </is>
      </c>
      <c r="G1035" t="inlineStr">
        <is>
          <t>CLP-016</t>
        </is>
      </c>
      <c r="H1035" t="inlineStr">
        <is>
          <t>Protocolo</t>
        </is>
      </c>
      <c r="I1035">
        <v>4</v>
      </c>
      <c r="J1035" t="inlineStr">
        <is>
          <t>Terraplenagem</t>
        </is>
      </c>
      <c r="K1035" t="inlineStr">
        <is>
          <t>4.11</t>
        </is>
      </c>
      <c r="L1035" t="inlineStr">
        <is>
          <t>Crista</t>
        </is>
      </c>
      <c r="M1035" t="inlineStr">
        <is>
          <t>Revegetação/ Hidrossemeadura</t>
        </is>
      </c>
      <c r="N1035" t="inlineStr">
        <is>
          <t xml:space="preserve">Necessário repasse de hidrossemeadura em crista </t>
        </is>
      </c>
      <c r="O1035" t="inlineStr">
        <is>
          <t>Tipo A</t>
        </is>
      </c>
      <c r="P1035" t="inlineStr">
        <is>
          <t>24+550</t>
        </is>
      </c>
      <c r="Q1035">
        <v>24550</v>
      </c>
      <c r="R1035" t="inlineStr">
        <is>
          <t>Aberta</t>
        </is>
      </c>
      <c r="T1035" t="inlineStr">
        <is>
          <t>Aline Batista</t>
        </is>
      </c>
      <c r="U1035" t="inlineStr">
        <is>
          <t>15/05/2026</t>
        </is>
      </c>
      <c r="V1035" t="inlineStr">
        <is>
          <t>22/05/2026</t>
        </is>
      </c>
      <c r="W1035">
        <v>19</v>
      </c>
      <c r="AA1035" t="inlineStr">
        <is>
          <t>Aberta -30 dias</t>
        </is>
      </c>
      <c r="AB1035" t="inlineStr">
        <is>
          <t>EMPA</t>
        </is>
      </c>
      <c r="AC1035" t="inlineStr">
        <is>
          <t>Aline</t>
        </is>
      </c>
      <c r="AD1035" t="inlineStr">
        <is>
          <t>20/07/2026</t>
        </is>
      </c>
      <c r="AE1035" t="inlineStr">
        <is>
          <t>31/07/2026</t>
        </is>
      </c>
      <c r="AF1035" t="inlineStr">
        <is>
          <t>Prazo premissa VALE</t>
        </is>
      </c>
    </row>
    <row r="1036">
      <c r="A1036">
        <v>1034</v>
      </c>
      <c r="B1036">
        <v>1</v>
      </c>
      <c r="C1036" t="inlineStr">
        <is>
          <t>1.2</t>
        </is>
      </c>
      <c r="D1036" t="inlineStr">
        <is>
          <t>C43</t>
        </is>
      </c>
      <c r="F1036" t="inlineStr">
        <is>
          <t>EMPA</t>
        </is>
      </c>
      <c r="G1036" t="inlineStr">
        <is>
          <t>CLP-016</t>
        </is>
      </c>
      <c r="H1036" t="inlineStr">
        <is>
          <t>Protocolo</t>
        </is>
      </c>
      <c r="I1036">
        <v>4</v>
      </c>
      <c r="J1036" t="inlineStr">
        <is>
          <t>Terraplenagem</t>
        </is>
      </c>
      <c r="K1036" t="inlineStr">
        <is>
          <t>4.11</t>
        </is>
      </c>
      <c r="L1036" t="inlineStr">
        <is>
          <t>Talude</t>
        </is>
      </c>
      <c r="M1036" t="inlineStr">
        <is>
          <t>Erosões</t>
        </is>
      </c>
      <c r="N1036" t="inlineStr">
        <is>
          <t>Deslizamento de talude.</t>
        </is>
      </c>
      <c r="O1036" t="inlineStr">
        <is>
          <t>Tipo A</t>
        </is>
      </c>
      <c r="P1036" t="inlineStr">
        <is>
          <t>25+770</t>
        </is>
      </c>
      <c r="Q1036" t="inlineStr">
        <is>
          <t>25+770</t>
        </is>
      </c>
      <c r="R1036" t="inlineStr">
        <is>
          <t>Aberta</t>
        </is>
      </c>
      <c r="T1036" t="inlineStr">
        <is>
          <t>Aline Batista</t>
        </is>
      </c>
      <c r="U1036" t="inlineStr">
        <is>
          <t>15/05/2026</t>
        </is>
      </c>
      <c r="V1036" t="inlineStr">
        <is>
          <t>22/05/2026</t>
        </is>
      </c>
      <c r="W1036">
        <v>19</v>
      </c>
      <c r="AA1036" t="inlineStr">
        <is>
          <t>Aberta -30 dias</t>
        </is>
      </c>
      <c r="AB1036" t="inlineStr">
        <is>
          <t>CT-REMANESCENTE</t>
        </is>
      </c>
      <c r="AC1036" t="inlineStr">
        <is>
          <t>Aline</t>
        </is>
      </c>
      <c r="AD1036" t="inlineStr">
        <is>
          <t>10/07/2026</t>
        </is>
      </c>
      <c r="AE1036" t="inlineStr">
        <is>
          <t>31/08/2026</t>
        </is>
      </c>
      <c r="AF1036" t="inlineStr">
        <is>
          <t>Prazo Premissa VALE</t>
        </is>
      </c>
    </row>
    <row r="1037">
      <c r="A1037">
        <v>1035</v>
      </c>
      <c r="B1037">
        <v>1</v>
      </c>
      <c r="C1037" t="inlineStr">
        <is>
          <t>1.2</t>
        </is>
      </c>
      <c r="D1037" t="inlineStr">
        <is>
          <t>C43</t>
        </is>
      </c>
      <c r="F1037" t="inlineStr">
        <is>
          <t>EMPA</t>
        </is>
      </c>
      <c r="G1037" t="inlineStr">
        <is>
          <t>CLP-016</t>
        </is>
      </c>
      <c r="H1037" t="inlineStr">
        <is>
          <t>Protocolo</t>
        </is>
      </c>
      <c r="I1037">
        <v>4</v>
      </c>
      <c r="J1037" t="inlineStr">
        <is>
          <t>Terraplenagem</t>
        </is>
      </c>
      <c r="K1037" t="inlineStr">
        <is>
          <t>4.11</t>
        </is>
      </c>
      <c r="L1037" t="inlineStr">
        <is>
          <t>Talude</t>
        </is>
      </c>
      <c r="M1037" t="inlineStr">
        <is>
          <t>Erosões</t>
        </is>
      </c>
      <c r="N1037" t="inlineStr">
        <is>
          <t>Deslizamento de talude.</t>
        </is>
      </c>
      <c r="O1037" t="inlineStr">
        <is>
          <t>Tipo A</t>
        </is>
      </c>
      <c r="P1037" t="inlineStr">
        <is>
          <t>25+800</t>
        </is>
      </c>
      <c r="Q1037" t="inlineStr">
        <is>
          <t>25+800</t>
        </is>
      </c>
      <c r="R1037" t="inlineStr">
        <is>
          <t>Aberta</t>
        </is>
      </c>
      <c r="T1037" t="inlineStr">
        <is>
          <t>Aline Batista</t>
        </is>
      </c>
      <c r="U1037" t="inlineStr">
        <is>
          <t>15/05/2026</t>
        </is>
      </c>
      <c r="V1037" t="inlineStr">
        <is>
          <t>22/05/2026</t>
        </is>
      </c>
      <c r="W1037">
        <v>19</v>
      </c>
      <c r="AA1037" t="inlineStr">
        <is>
          <t>Aberta -30 dias</t>
        </is>
      </c>
      <c r="AB1037" t="inlineStr">
        <is>
          <t>CT-REMANESCENTE</t>
        </is>
      </c>
      <c r="AC1037" t="inlineStr">
        <is>
          <t>Aline</t>
        </is>
      </c>
      <c r="AD1037" t="inlineStr">
        <is>
          <t>10/07/2026</t>
        </is>
      </c>
      <c r="AE1037" t="inlineStr">
        <is>
          <t>31/08/2026</t>
        </is>
      </c>
      <c r="AF1037" t="inlineStr">
        <is>
          <t>Prazo Premissa VALE</t>
        </is>
      </c>
    </row>
    <row r="1038">
      <c r="A1038">
        <v>1036</v>
      </c>
      <c r="B1038">
        <v>1</v>
      </c>
      <c r="C1038" t="inlineStr">
        <is>
          <t>1.2</t>
        </is>
      </c>
      <c r="D1038" t="inlineStr">
        <is>
          <t>C43</t>
        </is>
      </c>
      <c r="F1038" t="inlineStr">
        <is>
          <t>EMPA</t>
        </is>
      </c>
      <c r="G1038" t="inlineStr">
        <is>
          <t>CLP-016</t>
        </is>
      </c>
      <c r="H1038" t="inlineStr">
        <is>
          <t>Fiscalização</t>
        </is>
      </c>
      <c r="I1038">
        <v>4</v>
      </c>
      <c r="J1038" t="inlineStr">
        <is>
          <t>Terraplenagem</t>
        </is>
      </c>
      <c r="K1038" t="inlineStr">
        <is>
          <t>4.11</t>
        </is>
      </c>
      <c r="L1038" t="inlineStr">
        <is>
          <t>Talude</t>
        </is>
      </c>
      <c r="M1038" t="inlineStr">
        <is>
          <t>Erosões</t>
        </is>
      </c>
      <c r="N1038" t="inlineStr">
        <is>
          <t>Deslizamento de talude.</t>
        </is>
      </c>
      <c r="O1038" t="inlineStr">
        <is>
          <t>Tipo A</t>
        </is>
      </c>
      <c r="P1038" t="inlineStr">
        <is>
          <t>25+960</t>
        </is>
      </c>
      <c r="Q1038" t="inlineStr">
        <is>
          <t>25+960</t>
        </is>
      </c>
      <c r="R1038" t="inlineStr">
        <is>
          <t>Aberta</t>
        </is>
      </c>
      <c r="T1038" t="inlineStr">
        <is>
          <t>Aline Batista</t>
        </is>
      </c>
      <c r="U1038" t="inlineStr">
        <is>
          <t>15/05/2026</t>
        </is>
      </c>
      <c r="V1038" t="inlineStr">
        <is>
          <t>22/05/2026</t>
        </is>
      </c>
      <c r="W1038">
        <v>19</v>
      </c>
      <c r="AA1038" t="inlineStr">
        <is>
          <t>Aberta -30 dias</t>
        </is>
      </c>
      <c r="AB1038" t="inlineStr">
        <is>
          <t>CT-REMANESCENTE</t>
        </is>
      </c>
      <c r="AC1038" t="inlineStr">
        <is>
          <t>Aline</t>
        </is>
      </c>
      <c r="AD1038" t="inlineStr">
        <is>
          <t>10/07/2026</t>
        </is>
      </c>
      <c r="AE1038" t="inlineStr">
        <is>
          <t>31/08/2026</t>
        </is>
      </c>
      <c r="AF1038" t="inlineStr">
        <is>
          <t>Prazo Premissa VALE</t>
        </is>
      </c>
    </row>
    <row r="1039">
      <c r="A1039">
        <v>1037</v>
      </c>
      <c r="B1039">
        <v>1</v>
      </c>
      <c r="C1039" t="inlineStr">
        <is>
          <t>1.2</t>
        </is>
      </c>
      <c r="D1039" t="inlineStr">
        <is>
          <t>C43</t>
        </is>
      </c>
      <c r="F1039" t="inlineStr">
        <is>
          <t>EMPA</t>
        </is>
      </c>
      <c r="G1039" t="inlineStr">
        <is>
          <t>CLP-016</t>
        </is>
      </c>
      <c r="H1039" t="inlineStr">
        <is>
          <t>Fiscalização/Implantação</t>
        </is>
      </c>
      <c r="I1039">
        <v>4</v>
      </c>
      <c r="J1039" t="inlineStr">
        <is>
          <t>Terraplenagem</t>
        </is>
      </c>
      <c r="K1039" t="inlineStr">
        <is>
          <t>4.11</t>
        </is>
      </c>
      <c r="L1039" t="inlineStr">
        <is>
          <t>Talude</t>
        </is>
      </c>
      <c r="M1039" t="inlineStr">
        <is>
          <t>Erosões</t>
        </is>
      </c>
      <c r="N1039" t="inlineStr">
        <is>
          <t>Deslizamento de talude.</t>
        </is>
      </c>
      <c r="O1039" t="inlineStr">
        <is>
          <t>Tipo A</t>
        </is>
      </c>
      <c r="P1039" t="inlineStr">
        <is>
          <t>26+020</t>
        </is>
      </c>
      <c r="Q1039" t="inlineStr">
        <is>
          <t>26+020</t>
        </is>
      </c>
      <c r="R1039" t="inlineStr">
        <is>
          <t>Aberta</t>
        </is>
      </c>
      <c r="T1039" t="inlineStr">
        <is>
          <t>Aline Batista</t>
        </is>
      </c>
      <c r="U1039" t="inlineStr">
        <is>
          <t>15/05/2026</t>
        </is>
      </c>
      <c r="V1039" t="inlineStr">
        <is>
          <t>22/05/2026</t>
        </is>
      </c>
      <c r="W1039">
        <v>19</v>
      </c>
      <c r="AA1039" t="inlineStr">
        <is>
          <t>Aberta -30 dias</t>
        </is>
      </c>
      <c r="AB1039" t="inlineStr">
        <is>
          <t>CT-REMANESCENTE</t>
        </is>
      </c>
      <c r="AC1039" t="inlineStr">
        <is>
          <t>Aline</t>
        </is>
      </c>
      <c r="AD1039" t="inlineStr">
        <is>
          <t>10/07/2026</t>
        </is>
      </c>
      <c r="AE1039" t="inlineStr">
        <is>
          <t>31/08/2026</t>
        </is>
      </c>
      <c r="AF1039" t="inlineStr">
        <is>
          <t>Prazo Premissa VALE</t>
        </is>
      </c>
    </row>
    <row r="1040">
      <c r="A1040">
        <v>1038</v>
      </c>
      <c r="B1040">
        <v>1</v>
      </c>
      <c r="C1040" t="inlineStr">
        <is>
          <t>1.2</t>
        </is>
      </c>
      <c r="D1040" t="inlineStr">
        <is>
          <t>C43</t>
        </is>
      </c>
      <c r="F1040" t="inlineStr">
        <is>
          <t>EMPA</t>
        </is>
      </c>
      <c r="G1040" t="inlineStr">
        <is>
          <t>CLP-016</t>
        </is>
      </c>
      <c r="H1040" t="inlineStr">
        <is>
          <t>Fiscalização/Implantação</t>
        </is>
      </c>
      <c r="I1040">
        <v>4</v>
      </c>
      <c r="J1040" t="inlineStr">
        <is>
          <t>Terraplenagem</t>
        </is>
      </c>
      <c r="K1040" t="inlineStr">
        <is>
          <t>4.11</t>
        </is>
      </c>
      <c r="L1040" t="inlineStr">
        <is>
          <t>Talude</t>
        </is>
      </c>
      <c r="M1040" t="inlineStr">
        <is>
          <t>Erosões</t>
        </is>
      </c>
      <c r="N1040" t="inlineStr">
        <is>
          <t>Deslizamentos no lado esquerdo.</t>
        </is>
      </c>
      <c r="O1040" t="inlineStr">
        <is>
          <t>Tipo A</t>
        </is>
      </c>
      <c r="P1040" t="inlineStr">
        <is>
          <t>26+190</t>
        </is>
      </c>
      <c r="Q1040" t="inlineStr">
        <is>
          <t>26+19</t>
        </is>
      </c>
      <c r="R1040" t="inlineStr">
        <is>
          <t>Aberta</t>
        </is>
      </c>
      <c r="T1040" t="inlineStr">
        <is>
          <t>Aline Batista</t>
        </is>
      </c>
      <c r="U1040" t="inlineStr">
        <is>
          <t>15/05/2026</t>
        </is>
      </c>
      <c r="V1040" t="inlineStr">
        <is>
          <t>22/05/2026</t>
        </is>
      </c>
      <c r="W1040">
        <v>19</v>
      </c>
      <c r="AA1040" t="inlineStr">
        <is>
          <t>Aberta -30 dias</t>
        </is>
      </c>
      <c r="AB1040" t="inlineStr">
        <is>
          <t>CT-REMANESCENTE</t>
        </is>
      </c>
      <c r="AC1040" t="inlineStr">
        <is>
          <t>Aline</t>
        </is>
      </c>
      <c r="AD1040" t="inlineStr">
        <is>
          <t>10/07/2026</t>
        </is>
      </c>
      <c r="AE1040" t="inlineStr">
        <is>
          <t>31/08/2026</t>
        </is>
      </c>
      <c r="AF1040" t="inlineStr">
        <is>
          <t>Prazo Premissa VALE</t>
        </is>
      </c>
    </row>
    <row r="1041">
      <c r="A1041">
        <v>1039</v>
      </c>
      <c r="B1041">
        <v>1</v>
      </c>
      <c r="C1041" t="inlineStr">
        <is>
          <t>1.2</t>
        </is>
      </c>
      <c r="D1041" t="inlineStr">
        <is>
          <t>C43</t>
        </is>
      </c>
      <c r="F1041" t="inlineStr">
        <is>
          <t>EMPA</t>
        </is>
      </c>
      <c r="G1041" t="inlineStr">
        <is>
          <t>CLP-016</t>
        </is>
      </c>
      <c r="H1041" t="inlineStr">
        <is>
          <t>Fiscalização</t>
        </is>
      </c>
      <c r="I1041">
        <v>4</v>
      </c>
      <c r="J1041" t="inlineStr">
        <is>
          <t>Terraplenagem</t>
        </is>
      </c>
      <c r="K1041" t="inlineStr">
        <is>
          <t>4.11</t>
        </is>
      </c>
      <c r="L1041" t="inlineStr">
        <is>
          <t>Talude</t>
        </is>
      </c>
      <c r="M1041" t="inlineStr">
        <is>
          <t>Erosões</t>
        </is>
      </c>
      <c r="N1041" t="inlineStr">
        <is>
          <t>Deslizamentos no lado esquerdo.</t>
        </is>
      </c>
      <c r="O1041" t="inlineStr">
        <is>
          <t>Tipo A</t>
        </is>
      </c>
      <c r="P1041" t="inlineStr">
        <is>
          <t>26+220</t>
        </is>
      </c>
      <c r="Q1041" t="inlineStr">
        <is>
          <t>26+220</t>
        </is>
      </c>
      <c r="R1041" t="inlineStr">
        <is>
          <t>Aberta</t>
        </is>
      </c>
      <c r="T1041" t="inlineStr">
        <is>
          <t>Aline Batista</t>
        </is>
      </c>
      <c r="U1041" t="inlineStr">
        <is>
          <t>15/05/2026</t>
        </is>
      </c>
      <c r="V1041" t="inlineStr">
        <is>
          <t>22/05/2026</t>
        </is>
      </c>
      <c r="W1041">
        <v>19</v>
      </c>
      <c r="AA1041" t="inlineStr">
        <is>
          <t>Aberta -30 dias</t>
        </is>
      </c>
      <c r="AB1041" t="inlineStr">
        <is>
          <t>CT-REMANESCENTE</t>
        </is>
      </c>
      <c r="AC1041" t="inlineStr">
        <is>
          <t>Aline</t>
        </is>
      </c>
      <c r="AD1041" t="inlineStr">
        <is>
          <t>10/07/2026</t>
        </is>
      </c>
      <c r="AE1041" t="inlineStr">
        <is>
          <t>31/08/2026</t>
        </is>
      </c>
      <c r="AF1041" t="inlineStr">
        <is>
          <t>Prazo Premissa VALE</t>
        </is>
      </c>
    </row>
    <row r="1042">
      <c r="A1042">
        <v>1040</v>
      </c>
      <c r="B1042">
        <v>1</v>
      </c>
      <c r="C1042" t="inlineStr">
        <is>
          <t>1.3</t>
        </is>
      </c>
      <c r="D1042" t="inlineStr">
        <is>
          <t>A47</t>
        </is>
      </c>
      <c r="E1042" t="inlineStr">
        <is>
          <t>LD/LE</t>
        </is>
      </c>
      <c r="F1042" t="inlineStr">
        <is>
          <t>EMPA</t>
        </is>
      </c>
      <c r="G1042" t="inlineStr">
        <is>
          <t>CLP-016</t>
        </is>
      </c>
      <c r="H1042" t="inlineStr">
        <is>
          <t>Protocolo</t>
        </is>
      </c>
      <c r="I1042">
        <v>4</v>
      </c>
      <c r="J1042" t="inlineStr">
        <is>
          <t>Terraplenagem</t>
        </is>
      </c>
      <c r="K1042" t="inlineStr">
        <is>
          <t>4.11</t>
        </is>
      </c>
      <c r="L1042" t="inlineStr">
        <is>
          <t>PN</t>
        </is>
      </c>
      <c r="M1042" t="inlineStr">
        <is>
          <t>Dispositivo não executado</t>
        </is>
      </c>
      <c r="N1042" t="inlineStr">
        <is>
          <t>Pendente conclusão de PN, ausência de conformação lateral e hidrossemeadura.</t>
        </is>
      </c>
      <c r="O1042" t="inlineStr">
        <is>
          <t>Tipo A</t>
        </is>
      </c>
      <c r="P1042" t="inlineStr">
        <is>
          <t>26+800</t>
        </is>
      </c>
      <c r="Q1042">
        <v>26800</v>
      </c>
      <c r="R1042" t="inlineStr">
        <is>
          <t>Aberta</t>
        </is>
      </c>
      <c r="T1042" t="inlineStr">
        <is>
          <t>Aline Batista</t>
        </is>
      </c>
      <c r="U1042" t="inlineStr">
        <is>
          <t>15/05/2026</t>
        </is>
      </c>
      <c r="V1042" t="inlineStr">
        <is>
          <t>22/05/2026</t>
        </is>
      </c>
      <c r="W1042">
        <v>19</v>
      </c>
      <c r="AA1042" t="inlineStr">
        <is>
          <t>Aberta -30 dias</t>
        </is>
      </c>
      <c r="AB1042" t="inlineStr">
        <is>
          <t>EMPA</t>
        </is>
      </c>
      <c r="AC1042" t="inlineStr">
        <is>
          <t>Aline</t>
        </is>
      </c>
      <c r="AD1042" t="inlineStr">
        <is>
          <t>20/07/2026</t>
        </is>
      </c>
      <c r="AE1042" t="inlineStr">
        <is>
          <t>31/07/2026</t>
        </is>
      </c>
      <c r="AF1042" t="inlineStr">
        <is>
          <t>Prazo Premissa VALE</t>
        </is>
      </c>
    </row>
    <row r="1043">
      <c r="A1043">
        <v>1041</v>
      </c>
      <c r="B1043">
        <v>1</v>
      </c>
      <c r="C1043" t="inlineStr">
        <is>
          <t>1.2</t>
        </is>
      </c>
      <c r="D1043" t="inlineStr">
        <is>
          <t>C43</t>
        </is>
      </c>
      <c r="E1043" t="inlineStr">
        <is>
          <t>LD/LE</t>
        </is>
      </c>
      <c r="F1043" t="inlineStr">
        <is>
          <t>EMPA</t>
        </is>
      </c>
      <c r="G1043" t="inlineStr">
        <is>
          <t>CLP-016</t>
        </is>
      </c>
      <c r="H1043" t="inlineStr">
        <is>
          <t>Protocolo</t>
        </is>
      </c>
      <c r="I1043">
        <v>4</v>
      </c>
      <c r="J1043" t="inlineStr">
        <is>
          <t>Terraplenagem</t>
        </is>
      </c>
      <c r="K1043" t="inlineStr">
        <is>
          <t>4.11</t>
        </is>
      </c>
      <c r="L1043" t="inlineStr">
        <is>
          <t>Dreno profundo</t>
        </is>
      </c>
      <c r="M1043" t="inlineStr">
        <is>
          <t>Dispositivo não executado</t>
        </is>
      </c>
      <c r="N1043" t="inlineStr">
        <is>
          <t>Pendente as instalação das saídas de dreno.</t>
        </is>
      </c>
      <c r="O1043" t="inlineStr">
        <is>
          <t>Tipo A</t>
        </is>
      </c>
      <c r="P1043" t="inlineStr">
        <is>
          <t>23+600</t>
        </is>
      </c>
      <c r="Q1043">
        <v>23600</v>
      </c>
      <c r="R1043" t="inlineStr">
        <is>
          <t>Aberta</t>
        </is>
      </c>
      <c r="T1043" t="inlineStr">
        <is>
          <t>Aline Batista</t>
        </is>
      </c>
      <c r="U1043" t="inlineStr">
        <is>
          <t>15/05/2026</t>
        </is>
      </c>
      <c r="V1043" t="inlineStr">
        <is>
          <t>22/05/2026</t>
        </is>
      </c>
      <c r="W1043">
        <v>19</v>
      </c>
      <c r="AA1043" t="inlineStr">
        <is>
          <t>Aberta -30 dias</t>
        </is>
      </c>
      <c r="AB1043" t="inlineStr">
        <is>
          <t>EMPA</t>
        </is>
      </c>
      <c r="AC1043" t="inlineStr">
        <is>
          <t>Aline</t>
        </is>
      </c>
      <c r="AD1043" t="inlineStr">
        <is>
          <t>16/07/2026</t>
        </is>
      </c>
      <c r="AE1043" t="inlineStr">
        <is>
          <t>21/07/2026</t>
        </is>
      </c>
      <c r="AF1043" t="inlineStr">
        <is>
          <t>Prazo Premissa VALE</t>
        </is>
      </c>
    </row>
    <row r="1044">
      <c r="A1044">
        <v>1042</v>
      </c>
      <c r="B1044">
        <v>1</v>
      </c>
      <c r="C1044" t="inlineStr">
        <is>
          <t>1.2</t>
        </is>
      </c>
      <c r="D1044" t="inlineStr">
        <is>
          <t>C43</t>
        </is>
      </c>
      <c r="E1044" t="inlineStr">
        <is>
          <t xml:space="preserve">LE </t>
        </is>
      </c>
      <c r="F1044" t="inlineStr">
        <is>
          <t>EMPA</t>
        </is>
      </c>
      <c r="G1044" t="inlineStr">
        <is>
          <t>CLP-016</t>
        </is>
      </c>
      <c r="H1044" t="inlineStr">
        <is>
          <t>Protocolo</t>
        </is>
      </c>
      <c r="I1044">
        <v>4</v>
      </c>
      <c r="J1044" t="inlineStr">
        <is>
          <t>Terraplenagem</t>
        </is>
      </c>
      <c r="K1044" t="inlineStr">
        <is>
          <t>4.11</t>
        </is>
      </c>
      <c r="L1044" t="inlineStr">
        <is>
          <t>Talude</t>
        </is>
      </c>
      <c r="M1044" t="inlineStr">
        <is>
          <t>Revegetação/ Hidrossemeadura</t>
        </is>
      </c>
      <c r="N1044" t="inlineStr">
        <is>
          <t>Necessário repasse de hidrossemeadura.</t>
        </is>
      </c>
      <c r="O1044" t="inlineStr">
        <is>
          <t>Tipo A</t>
        </is>
      </c>
      <c r="P1044" t="inlineStr">
        <is>
          <t>23+810</t>
        </is>
      </c>
      <c r="Q1044">
        <v>23810</v>
      </c>
      <c r="R1044" t="inlineStr">
        <is>
          <t>Aberta</t>
        </is>
      </c>
      <c r="T1044" t="inlineStr">
        <is>
          <t>Aline Batista</t>
        </is>
      </c>
      <c r="U1044" t="inlineStr">
        <is>
          <t>15/05/2026</t>
        </is>
      </c>
      <c r="V1044" t="inlineStr">
        <is>
          <t>22/05/2026</t>
        </is>
      </c>
      <c r="W1044">
        <v>19</v>
      </c>
      <c r="AA1044" t="inlineStr">
        <is>
          <t>Aberta -30 dias</t>
        </is>
      </c>
      <c r="AB1044" t="inlineStr">
        <is>
          <t>EMPA</t>
        </is>
      </c>
      <c r="AC1044" t="inlineStr">
        <is>
          <t>Aline</t>
        </is>
      </c>
      <c r="AD1044" t="inlineStr">
        <is>
          <t>16/07/2026</t>
        </is>
      </c>
      <c r="AE1044" t="inlineStr">
        <is>
          <t>21/07/2026</t>
        </is>
      </c>
      <c r="AF1044" t="inlineStr">
        <is>
          <t>Prazo Premissa VALE</t>
        </is>
      </c>
    </row>
    <row r="1045">
      <c r="A1045">
        <v>1043</v>
      </c>
      <c r="B1045">
        <v>1</v>
      </c>
      <c r="C1045" t="inlineStr">
        <is>
          <t>1.2</t>
        </is>
      </c>
      <c r="D1045" t="inlineStr">
        <is>
          <t>C43</t>
        </is>
      </c>
      <c r="E1045" t="inlineStr">
        <is>
          <t>LD/LE</t>
        </is>
      </c>
      <c r="F1045" t="inlineStr">
        <is>
          <t>EMPA</t>
        </is>
      </c>
      <c r="G1045" t="inlineStr">
        <is>
          <t>CLP-016</t>
        </is>
      </c>
      <c r="H1045" t="inlineStr">
        <is>
          <t>Protocolo</t>
        </is>
      </c>
      <c r="I1045">
        <v>4</v>
      </c>
      <c r="J1045" t="inlineStr">
        <is>
          <t>Terraplenagem</t>
        </is>
      </c>
      <c r="K1045" t="inlineStr">
        <is>
          <t>4.11</t>
        </is>
      </c>
      <c r="L1045" t="inlineStr">
        <is>
          <t>Talude</t>
        </is>
      </c>
      <c r="M1045" t="inlineStr">
        <is>
          <t>Erosões</t>
        </is>
      </c>
      <c r="N1045" t="inlineStr">
        <is>
          <t>Presença de processos erosivos, necessário conformação e repasse de hidrossemeadura.</t>
        </is>
      </c>
      <c r="O1045" t="inlineStr">
        <is>
          <t>Tipo A</t>
        </is>
      </c>
      <c r="P1045" t="inlineStr">
        <is>
          <t>24+000</t>
        </is>
      </c>
      <c r="Q1045">
        <v>24000</v>
      </c>
      <c r="R1045" t="inlineStr">
        <is>
          <t>Aberta</t>
        </is>
      </c>
      <c r="T1045" t="inlineStr">
        <is>
          <t>Aline Batista</t>
        </is>
      </c>
      <c r="U1045" t="inlineStr">
        <is>
          <t>15/05/2026</t>
        </is>
      </c>
      <c r="V1045" t="inlineStr">
        <is>
          <t>22/05/2026</t>
        </is>
      </c>
      <c r="W1045">
        <v>19</v>
      </c>
      <c r="AA1045" t="inlineStr">
        <is>
          <t>Aberta -30 dias</t>
        </is>
      </c>
      <c r="AB1045" t="inlineStr">
        <is>
          <t>EMPA</t>
        </is>
      </c>
      <c r="AC1045" t="inlineStr">
        <is>
          <t>Aline</t>
        </is>
      </c>
      <c r="AD1045" t="inlineStr">
        <is>
          <t>20/07/2026</t>
        </is>
      </c>
      <c r="AE1045" t="inlineStr">
        <is>
          <t>31/07/2026</t>
        </is>
      </c>
      <c r="AF1045" t="inlineStr">
        <is>
          <t>Prazo premissa VALE</t>
        </is>
      </c>
    </row>
    <row r="1046">
      <c r="A1046">
        <v>1044</v>
      </c>
      <c r="B1046">
        <v>1</v>
      </c>
      <c r="C1046" t="inlineStr">
        <is>
          <t>1.2</t>
        </is>
      </c>
      <c r="D1046" t="inlineStr">
        <is>
          <t>C43</t>
        </is>
      </c>
      <c r="E1046" t="inlineStr">
        <is>
          <t>LD/LE</t>
        </is>
      </c>
      <c r="F1046" t="inlineStr">
        <is>
          <t>EMPA</t>
        </is>
      </c>
      <c r="G1046" t="inlineStr">
        <is>
          <t>CLP-016</t>
        </is>
      </c>
      <c r="H1046" t="inlineStr">
        <is>
          <t>Protocolo</t>
        </is>
      </c>
      <c r="I1046">
        <v>4</v>
      </c>
      <c r="J1046" t="inlineStr">
        <is>
          <t>Terraplenagem</t>
        </is>
      </c>
      <c r="K1046" t="inlineStr">
        <is>
          <t>4.11</t>
        </is>
      </c>
      <c r="L1046" t="inlineStr">
        <is>
          <t>Talude</t>
        </is>
      </c>
      <c r="M1046" t="inlineStr">
        <is>
          <t>Material Solto</t>
        </is>
      </c>
      <c r="N1046" t="inlineStr">
        <is>
          <t>Solo exposto próximo as canaletas, necessário repasse de hidrossemeadura.</t>
        </is>
      </c>
      <c r="O1046" t="inlineStr">
        <is>
          <t>Tipo A</t>
        </is>
      </c>
      <c r="P1046" t="inlineStr">
        <is>
          <t>24+100</t>
        </is>
      </c>
      <c r="Q1046">
        <v>24100</v>
      </c>
      <c r="R1046" t="inlineStr">
        <is>
          <t>Aberta</t>
        </is>
      </c>
      <c r="T1046" t="inlineStr">
        <is>
          <t>Aline Batista</t>
        </is>
      </c>
      <c r="U1046" t="inlineStr">
        <is>
          <t>15/05/2026</t>
        </is>
      </c>
      <c r="V1046" t="inlineStr">
        <is>
          <t>22/05/2026</t>
        </is>
      </c>
      <c r="W1046">
        <v>19</v>
      </c>
      <c r="AA1046" t="inlineStr">
        <is>
          <t>Aberta -30 dias</t>
        </is>
      </c>
      <c r="AB1046" t="inlineStr">
        <is>
          <t>EMPA</t>
        </is>
      </c>
      <c r="AC1046" t="inlineStr">
        <is>
          <t>Aline</t>
        </is>
      </c>
      <c r="AD1046" t="inlineStr">
        <is>
          <t>20/07/2026</t>
        </is>
      </c>
      <c r="AE1046" t="inlineStr">
        <is>
          <t>31/07/2026</t>
        </is>
      </c>
      <c r="AF1046" t="inlineStr">
        <is>
          <t>Prazo premissa VALE</t>
        </is>
      </c>
    </row>
    <row r="1047">
      <c r="A1047">
        <v>1045</v>
      </c>
      <c r="B1047">
        <v>1</v>
      </c>
      <c r="C1047" t="inlineStr">
        <is>
          <t>1.2</t>
        </is>
      </c>
      <c r="D1047" t="inlineStr">
        <is>
          <t>C43</t>
        </is>
      </c>
      <c r="E1047" t="inlineStr">
        <is>
          <t xml:space="preserve">LE </t>
        </is>
      </c>
      <c r="F1047" t="inlineStr">
        <is>
          <t>EMPA</t>
        </is>
      </c>
      <c r="G1047" t="inlineStr">
        <is>
          <t>CLP-016</t>
        </is>
      </c>
      <c r="H1047" t="inlineStr">
        <is>
          <t>Protocolo</t>
        </is>
      </c>
      <c r="I1047">
        <v>4</v>
      </c>
      <c r="J1047" t="inlineStr">
        <is>
          <t>Terraplenagem</t>
        </is>
      </c>
      <c r="K1047" t="inlineStr">
        <is>
          <t>4.11</t>
        </is>
      </c>
      <c r="L1047" t="inlineStr">
        <is>
          <t>Talude</t>
        </is>
      </c>
      <c r="M1047" t="inlineStr">
        <is>
          <t>Material Solto</t>
        </is>
      </c>
      <c r="N1047" t="inlineStr">
        <is>
          <t>Talude com solo exposto próximo à canaleta</t>
        </is>
      </c>
      <c r="O1047" t="inlineStr">
        <is>
          <t>Tipo A</t>
        </is>
      </c>
      <c r="P1047" t="inlineStr">
        <is>
          <t>25+220</t>
        </is>
      </c>
      <c r="Q1047">
        <v>25220</v>
      </c>
      <c r="R1047" t="inlineStr">
        <is>
          <t>Aberta</t>
        </is>
      </c>
      <c r="T1047" t="inlineStr">
        <is>
          <t>Aline Batista</t>
        </is>
      </c>
      <c r="U1047" t="inlineStr">
        <is>
          <t>15/05/2026</t>
        </is>
      </c>
      <c r="V1047" t="inlineStr">
        <is>
          <t>22/05/2026</t>
        </is>
      </c>
      <c r="W1047">
        <v>19</v>
      </c>
      <c r="AA1047" t="inlineStr">
        <is>
          <t>Aberta -30 dias</t>
        </is>
      </c>
      <c r="AB1047" t="inlineStr">
        <is>
          <t>EMPA</t>
        </is>
      </c>
      <c r="AC1047" t="inlineStr">
        <is>
          <t>Aline</t>
        </is>
      </c>
      <c r="AD1047" t="inlineStr">
        <is>
          <t>20/07/2026</t>
        </is>
      </c>
      <c r="AE1047" t="inlineStr">
        <is>
          <t>31/07/2026</t>
        </is>
      </c>
      <c r="AF1047" t="inlineStr">
        <is>
          <t>Prazo premissa VALE</t>
        </is>
      </c>
    </row>
    <row r="1048">
      <c r="A1048">
        <v>1046</v>
      </c>
      <c r="B1048">
        <v>1</v>
      </c>
      <c r="C1048" t="inlineStr">
        <is>
          <t>1.3</t>
        </is>
      </c>
      <c r="D1048" t="inlineStr">
        <is>
          <t>C43</t>
        </is>
      </c>
      <c r="E1048" t="inlineStr">
        <is>
          <t>LE</t>
        </is>
      </c>
      <c r="F1048" t="inlineStr">
        <is>
          <t>EMPA</t>
        </is>
      </c>
      <c r="G1048" t="inlineStr">
        <is>
          <t>CLP-016</t>
        </is>
      </c>
      <c r="H1048" t="inlineStr">
        <is>
          <t>Protocolo</t>
        </is>
      </c>
      <c r="I1048">
        <v>4</v>
      </c>
      <c r="J1048" t="inlineStr">
        <is>
          <t>Terraplenagem</t>
        </is>
      </c>
      <c r="K1048" t="inlineStr">
        <is>
          <t>4.11</t>
        </is>
      </c>
      <c r="L1048" t="inlineStr">
        <is>
          <t>Talude</t>
        </is>
      </c>
      <c r="M1048" t="inlineStr">
        <is>
          <t>Limpeza/ remoção de material</t>
        </is>
      </c>
      <c r="N1048" t="inlineStr">
        <is>
          <t>Remoção de bloco solto no corte</t>
        </is>
      </c>
      <c r="O1048" t="inlineStr">
        <is>
          <t>Tipo A</t>
        </is>
      </c>
      <c r="P1048" t="inlineStr">
        <is>
          <t>25+660</t>
        </is>
      </c>
      <c r="Q1048" t="inlineStr">
        <is>
          <t>25+660</t>
        </is>
      </c>
      <c r="R1048" t="inlineStr">
        <is>
          <t>Aberta</t>
        </is>
      </c>
      <c r="T1048" t="inlineStr">
        <is>
          <t>Aline Batista</t>
        </is>
      </c>
      <c r="U1048" t="inlineStr">
        <is>
          <t>15/05/2026</t>
        </is>
      </c>
      <c r="V1048" t="inlineStr">
        <is>
          <t>22/05/2026</t>
        </is>
      </c>
      <c r="W1048">
        <v>19</v>
      </c>
      <c r="AA1048" t="inlineStr">
        <is>
          <t>Aberta -30 dias</t>
        </is>
      </c>
      <c r="AB1048" t="inlineStr">
        <is>
          <t>EMPA</t>
        </is>
      </c>
      <c r="AC1048" t="inlineStr">
        <is>
          <t>Aline</t>
        </is>
      </c>
      <c r="AD1048" t="inlineStr">
        <is>
          <t>20/07/2026</t>
        </is>
      </c>
      <c r="AE1048" t="inlineStr">
        <is>
          <t>31/07/2026</t>
        </is>
      </c>
      <c r="AF1048" t="inlineStr">
        <is>
          <t>Prazo premissa VALE</t>
        </is>
      </c>
    </row>
    <row r="1049">
      <c r="A1049">
        <v>1047</v>
      </c>
      <c r="B1049">
        <v>1</v>
      </c>
      <c r="C1049" t="inlineStr">
        <is>
          <t>1.3</t>
        </is>
      </c>
      <c r="D1049" t="inlineStr">
        <is>
          <t>C43</t>
        </is>
      </c>
      <c r="E1049" t="inlineStr">
        <is>
          <t>LE</t>
        </is>
      </c>
      <c r="F1049" t="inlineStr">
        <is>
          <t>EMPA</t>
        </is>
      </c>
      <c r="G1049" t="inlineStr">
        <is>
          <t>CLP-016</t>
        </is>
      </c>
      <c r="H1049" t="inlineStr">
        <is>
          <t>Protocolo</t>
        </is>
      </c>
      <c r="I1049">
        <v>4</v>
      </c>
      <c r="J1049" t="inlineStr">
        <is>
          <t>Terraplenagem</t>
        </is>
      </c>
      <c r="K1049" t="inlineStr">
        <is>
          <t>4.11</t>
        </is>
      </c>
      <c r="L1049" t="inlineStr">
        <is>
          <t>Aterro</t>
        </is>
      </c>
      <c r="M1049" t="inlineStr">
        <is>
          <t>Revegetação/ Hidrossemeadura</t>
        </is>
      </c>
      <c r="N1049" t="inlineStr">
        <is>
          <t>Pendente aplicação de hidrossemeadura.</t>
        </is>
      </c>
      <c r="O1049" t="inlineStr">
        <is>
          <t>Tipo A</t>
        </is>
      </c>
      <c r="P1049" t="inlineStr">
        <is>
          <t>26+450</t>
        </is>
      </c>
      <c r="Q1049" t="inlineStr">
        <is>
          <t>26+450</t>
        </is>
      </c>
      <c r="R1049" t="inlineStr">
        <is>
          <t>Aberta</t>
        </is>
      </c>
      <c r="T1049" t="inlineStr">
        <is>
          <t>Aline Batista</t>
        </is>
      </c>
      <c r="U1049" t="inlineStr">
        <is>
          <t>15/05/2026</t>
        </is>
      </c>
      <c r="V1049" t="inlineStr">
        <is>
          <t>22/05/2026</t>
        </is>
      </c>
      <c r="W1049">
        <v>19</v>
      </c>
      <c r="AA1049" t="inlineStr">
        <is>
          <t>Aberta -30 dias</t>
        </is>
      </c>
      <c r="AB1049" t="inlineStr">
        <is>
          <t>EMPA</t>
        </is>
      </c>
      <c r="AC1049" t="inlineStr">
        <is>
          <t>Aline</t>
        </is>
      </c>
      <c r="AD1049" t="inlineStr">
        <is>
          <t>20/07/2026</t>
        </is>
      </c>
      <c r="AE1049" t="inlineStr">
        <is>
          <t>31/07/2026</t>
        </is>
      </c>
      <c r="AF1049" t="inlineStr">
        <is>
          <t>Prazo Premissa VALE</t>
        </is>
      </c>
    </row>
    <row r="1050">
      <c r="A1050">
        <v>1048</v>
      </c>
      <c r="B1050">
        <v>1</v>
      </c>
      <c r="C1050" t="inlineStr">
        <is>
          <t>1.2</t>
        </is>
      </c>
      <c r="D1050" t="inlineStr">
        <is>
          <t>C43</t>
        </is>
      </c>
      <c r="E1050" t="inlineStr">
        <is>
          <t>LD</t>
        </is>
      </c>
      <c r="F1050" t="inlineStr">
        <is>
          <t>EMPA</t>
        </is>
      </c>
      <c r="G1050" t="inlineStr">
        <is>
          <t>CLP-016</t>
        </is>
      </c>
      <c r="H1050" t="inlineStr">
        <is>
          <t>Protocolo</t>
        </is>
      </c>
      <c r="I1050">
        <v>4</v>
      </c>
      <c r="J1050" t="inlineStr">
        <is>
          <t>Terraplenagem</t>
        </is>
      </c>
      <c r="K1050" t="inlineStr">
        <is>
          <t>4.11</t>
        </is>
      </c>
      <c r="L1050" t="inlineStr">
        <is>
          <t>Corte</t>
        </is>
      </c>
      <c r="M1050" t="inlineStr">
        <is>
          <t>Erosões</t>
        </is>
      </c>
      <c r="N1050" t="inlineStr">
        <is>
          <t>Processo erosivo no talude do corte.</t>
        </is>
      </c>
      <c r="O1050" t="inlineStr">
        <is>
          <t>Tipo A</t>
        </is>
      </c>
      <c r="P1050" t="inlineStr">
        <is>
          <t>23+930</t>
        </is>
      </c>
      <c r="Q1050">
        <v>23930</v>
      </c>
      <c r="R1050" t="inlineStr">
        <is>
          <t>Aberta</t>
        </is>
      </c>
      <c r="T1050" t="inlineStr">
        <is>
          <t>Aline Batista</t>
        </is>
      </c>
      <c r="U1050" t="inlineStr">
        <is>
          <t>15/05/2026</t>
        </is>
      </c>
      <c r="V1050" t="inlineStr">
        <is>
          <t>22/05/2026</t>
        </is>
      </c>
      <c r="W1050">
        <v>19</v>
      </c>
      <c r="AA1050" t="inlineStr">
        <is>
          <t>Aberta -30 dias</t>
        </is>
      </c>
      <c r="AB1050" t="inlineStr">
        <is>
          <t>CT-REMANESCENTE</t>
        </is>
      </c>
      <c r="AC1050" t="inlineStr">
        <is>
          <t>Aline</t>
        </is>
      </c>
      <c r="AD1050" t="inlineStr">
        <is>
          <t>10/07/2026</t>
        </is>
      </c>
      <c r="AE1050" t="inlineStr">
        <is>
          <t>31/08/2026</t>
        </is>
      </c>
      <c r="AF1050" t="inlineStr">
        <is>
          <t>Prazo Premissa VALE</t>
        </is>
      </c>
    </row>
    <row r="1051">
      <c r="A1051">
        <v>1049</v>
      </c>
      <c r="B1051">
        <v>1</v>
      </c>
      <c r="C1051" t="inlineStr">
        <is>
          <t>1.2</t>
        </is>
      </c>
      <c r="D1051" t="inlineStr">
        <is>
          <t>C31</t>
        </is>
      </c>
      <c r="E1051" t="inlineStr">
        <is>
          <t>-</t>
        </is>
      </c>
      <c r="F1051" t="inlineStr">
        <is>
          <t>EMPA</t>
        </is>
      </c>
      <c r="G1051" t="inlineStr">
        <is>
          <t>CLP-016</t>
        </is>
      </c>
      <c r="H1051" t="inlineStr">
        <is>
          <t>Protocolo</t>
        </is>
      </c>
      <c r="I1051">
        <v>4</v>
      </c>
      <c r="J1051" t="inlineStr">
        <is>
          <t>Terraplenagem</t>
        </is>
      </c>
      <c r="K1051" t="inlineStr">
        <is>
          <t>4.12</t>
        </is>
      </c>
      <c r="L1051" t="inlineStr">
        <is>
          <t>Ensaios</t>
        </is>
      </c>
      <c r="M1051" t="inlineStr">
        <is>
          <t>Documental</t>
        </is>
      </c>
      <c r="N1051" t="inlineStr">
        <is>
          <t>As análises não foram concluídas devido a entrega parcial das documentações necessárias.</t>
        </is>
      </c>
      <c r="O1051" t="inlineStr">
        <is>
          <t>Tipo B</t>
        </is>
      </c>
      <c r="P1051" t="inlineStr">
        <is>
          <t>12+000</t>
        </is>
      </c>
      <c r="Q1051">
        <v>25536</v>
      </c>
      <c r="R1051" t="inlineStr">
        <is>
          <t>Aberta</t>
        </is>
      </c>
      <c r="T1051" t="inlineStr">
        <is>
          <t>Aline Batista</t>
        </is>
      </c>
      <c r="U1051" t="inlineStr">
        <is>
          <t>15/05/2026</t>
        </is>
      </c>
      <c r="V1051" t="inlineStr">
        <is>
          <t>30/05/2026</t>
        </is>
      </c>
      <c r="W1051">
        <v>11</v>
      </c>
      <c r="AA1051" t="inlineStr">
        <is>
          <t>Aberta -30 dias</t>
        </is>
      </c>
      <c r="AB1051" t="inlineStr">
        <is>
          <t>EMPA</t>
        </is>
      </c>
      <c r="AC1051" t="inlineStr">
        <is>
          <t>Aline</t>
        </is>
      </c>
      <c r="AD1051" t="inlineStr">
        <is>
          <t>19/06/2026</t>
        </is>
      </c>
      <c r="AE1051" t="inlineStr">
        <is>
          <t>19/06/2026</t>
        </is>
      </c>
      <c r="AF1051" t="inlineStr">
        <is>
          <t>Ata de reunião de RM p/ BK</t>
        </is>
      </c>
    </row>
    <row r="1052">
      <c r="A1052">
        <v>1050</v>
      </c>
      <c r="B1052">
        <v>1</v>
      </c>
      <c r="C1052" t="inlineStr">
        <is>
          <t>1.2</t>
        </is>
      </c>
      <c r="D1052" t="inlineStr">
        <is>
          <t>A46</t>
        </is>
      </c>
      <c r="E1052" t="inlineStr">
        <is>
          <t>-</t>
        </is>
      </c>
      <c r="F1052" t="inlineStr">
        <is>
          <t>EMPA</t>
        </is>
      </c>
      <c r="G1052" t="inlineStr">
        <is>
          <t>CLP-016</t>
        </is>
      </c>
      <c r="H1052" t="inlineStr">
        <is>
          <t>Protocolo</t>
        </is>
      </c>
      <c r="I1052">
        <v>4</v>
      </c>
      <c r="J1052" t="inlineStr">
        <is>
          <t>Terraplenagem</t>
        </is>
      </c>
      <c r="K1052" t="inlineStr">
        <is>
          <t>4.17</t>
        </is>
      </c>
      <c r="L1052" t="inlineStr">
        <is>
          <t>Plataforma</t>
        </is>
      </c>
      <c r="M1052" t="inlineStr">
        <is>
          <t>Fissuras/ trincas na plataforma</t>
        </is>
      </c>
      <c r="N1052" t="inlineStr">
        <is>
          <t>Verificado em toda extensão aterro presença considerável de fissuras na plataforma.</t>
        </is>
      </c>
      <c r="O1052" t="inlineStr">
        <is>
          <t>Tipo A</t>
        </is>
      </c>
      <c r="P1052" t="inlineStr">
        <is>
          <t>23+270</t>
        </is>
      </c>
      <c r="Q1052">
        <v>23270</v>
      </c>
      <c r="R1052" t="inlineStr">
        <is>
          <t>Aberta</t>
        </is>
      </c>
      <c r="T1052" t="inlineStr">
        <is>
          <t>Aline Batista</t>
        </is>
      </c>
      <c r="U1052" t="inlineStr">
        <is>
          <t>15/05/2026</t>
        </is>
      </c>
      <c r="V1052" t="inlineStr">
        <is>
          <t>22/05/2026</t>
        </is>
      </c>
      <c r="W1052">
        <v>19</v>
      </c>
      <c r="AA1052" t="inlineStr">
        <is>
          <t>Aberta -30 dias</t>
        </is>
      </c>
      <c r="AB1052" t="inlineStr">
        <is>
          <t>EMPA</t>
        </is>
      </c>
      <c r="AC1052" t="inlineStr">
        <is>
          <t>Aline</t>
        </is>
      </c>
      <c r="AD1052" t="inlineStr">
        <is>
          <t>16/07/2026</t>
        </is>
      </c>
      <c r="AE1052" t="inlineStr">
        <is>
          <t>21/07/2026</t>
        </is>
      </c>
      <c r="AF1052" t="inlineStr">
        <is>
          <t>Prazo Premissa VALE</t>
        </is>
      </c>
    </row>
    <row r="1053">
      <c r="A1053">
        <v>1051</v>
      </c>
      <c r="B1053">
        <v>1</v>
      </c>
      <c r="C1053" t="inlineStr">
        <is>
          <t>1.2</t>
        </is>
      </c>
      <c r="D1053" t="inlineStr">
        <is>
          <t>C43</t>
        </is>
      </c>
      <c r="E1053" t="inlineStr">
        <is>
          <t>LD/LE</t>
        </is>
      </c>
      <c r="F1053" t="inlineStr">
        <is>
          <t>EMPA</t>
        </is>
      </c>
      <c r="G1053" t="inlineStr">
        <is>
          <t>CLP-016</t>
        </is>
      </c>
      <c r="H1053" t="inlineStr">
        <is>
          <t>Protocolo</t>
        </is>
      </c>
      <c r="I1053">
        <v>4</v>
      </c>
      <c r="J1053" t="inlineStr">
        <is>
          <t>Terraplenagem</t>
        </is>
      </c>
      <c r="K1053" t="inlineStr">
        <is>
          <t>4.20</t>
        </is>
      </c>
      <c r="L1053" t="inlineStr">
        <is>
          <t>Talude</t>
        </is>
      </c>
      <c r="M1053" t="inlineStr">
        <is>
          <t>Erosões</t>
        </is>
      </c>
      <c r="N1053" t="inlineStr">
        <is>
          <t>Erosão no pé do talude</t>
        </is>
      </c>
      <c r="O1053" t="inlineStr">
        <is>
          <t>Tipo A</t>
        </is>
      </c>
      <c r="P1053" t="inlineStr">
        <is>
          <t>24+160</t>
        </is>
      </c>
      <c r="Q1053">
        <v>24300</v>
      </c>
      <c r="R1053" t="inlineStr">
        <is>
          <t>Aberta</t>
        </is>
      </c>
      <c r="T1053" t="inlineStr">
        <is>
          <t>Aline Batista</t>
        </is>
      </c>
      <c r="U1053" t="inlineStr">
        <is>
          <t>15/05/2026</t>
        </is>
      </c>
      <c r="V1053" t="inlineStr">
        <is>
          <t>22/05/2026</t>
        </is>
      </c>
      <c r="W1053">
        <v>19</v>
      </c>
      <c r="AA1053" t="inlineStr">
        <is>
          <t>Aberta -30 dias</t>
        </is>
      </c>
      <c r="AB1053" t="inlineStr">
        <is>
          <t>EMPA</t>
        </is>
      </c>
      <c r="AC1053" t="inlineStr">
        <is>
          <t>Aline</t>
        </is>
      </c>
      <c r="AD1053" t="inlineStr">
        <is>
          <t>20/07/2026</t>
        </is>
      </c>
      <c r="AE1053" t="inlineStr">
        <is>
          <t>31/07/2026</t>
        </is>
      </c>
      <c r="AF1053" t="inlineStr">
        <is>
          <t>Prazo premissa VALE</t>
        </is>
      </c>
    </row>
    <row r="1054">
      <c r="A1054">
        <v>1052</v>
      </c>
      <c r="B1054">
        <v>1</v>
      </c>
      <c r="C1054" t="inlineStr">
        <is>
          <t>1.2</t>
        </is>
      </c>
      <c r="D1054" t="inlineStr">
        <is>
          <t>C43</t>
        </is>
      </c>
      <c r="E1054" t="inlineStr">
        <is>
          <t xml:space="preserve">LE </t>
        </is>
      </c>
      <c r="F1054" t="inlineStr">
        <is>
          <t>EMPA</t>
        </is>
      </c>
      <c r="G1054" t="inlineStr">
        <is>
          <t>CLP-016</t>
        </is>
      </c>
      <c r="H1054" t="inlineStr">
        <is>
          <t>Protocolo</t>
        </is>
      </c>
      <c r="I1054">
        <v>4</v>
      </c>
      <c r="J1054" t="inlineStr">
        <is>
          <t>Terraplenagem</t>
        </is>
      </c>
      <c r="K1054" t="inlineStr">
        <is>
          <t>4.20</t>
        </is>
      </c>
      <c r="L1054" t="inlineStr">
        <is>
          <t>Talude</t>
        </is>
      </c>
      <c r="M1054" t="inlineStr">
        <is>
          <t>Erosões</t>
        </is>
      </c>
      <c r="N1054" t="inlineStr">
        <is>
          <t>Processo erosivo no talude 1. Solo exposto necessário hidrossemeadura</t>
        </is>
      </c>
      <c r="O1054" t="inlineStr">
        <is>
          <t>Tipo A</t>
        </is>
      </c>
      <c r="P1054" t="inlineStr">
        <is>
          <t>24+220</t>
        </is>
      </c>
      <c r="Q1054">
        <v>24300</v>
      </c>
      <c r="R1054" t="inlineStr">
        <is>
          <t>Aberta</t>
        </is>
      </c>
      <c r="T1054" t="inlineStr">
        <is>
          <t>Aline Batista</t>
        </is>
      </c>
      <c r="U1054" t="inlineStr">
        <is>
          <t>15/05/2026</t>
        </is>
      </c>
      <c r="V1054" t="inlineStr">
        <is>
          <t>22/05/2026</t>
        </is>
      </c>
      <c r="W1054">
        <v>19</v>
      </c>
      <c r="AA1054" t="inlineStr">
        <is>
          <t>Aberta -30 dias</t>
        </is>
      </c>
      <c r="AB1054" t="inlineStr">
        <is>
          <t>EMPA</t>
        </is>
      </c>
      <c r="AC1054" t="inlineStr">
        <is>
          <t>Aline</t>
        </is>
      </c>
      <c r="AD1054" t="inlineStr">
        <is>
          <t>20/07/2026</t>
        </is>
      </c>
      <c r="AE1054" t="inlineStr">
        <is>
          <t>31/07/2026</t>
        </is>
      </c>
      <c r="AF1054" t="inlineStr">
        <is>
          <t>Prazo premissa VALE</t>
        </is>
      </c>
    </row>
    <row r="1055">
      <c r="A1055">
        <v>1053</v>
      </c>
      <c r="B1055">
        <v>1</v>
      </c>
      <c r="C1055" t="inlineStr">
        <is>
          <t>1.2</t>
        </is>
      </c>
      <c r="D1055" t="inlineStr">
        <is>
          <t>C43</t>
        </is>
      </c>
      <c r="E1055" t="inlineStr">
        <is>
          <t xml:space="preserve">LE </t>
        </is>
      </c>
      <c r="F1055" t="inlineStr">
        <is>
          <t>EMPA</t>
        </is>
      </c>
      <c r="G1055" t="inlineStr">
        <is>
          <t>CLP-016</t>
        </is>
      </c>
      <c r="H1055" t="inlineStr">
        <is>
          <t>Protocolo</t>
        </is>
      </c>
      <c r="I1055">
        <v>4</v>
      </c>
      <c r="J1055" t="inlineStr">
        <is>
          <t>Terraplenagem</t>
        </is>
      </c>
      <c r="K1055" t="inlineStr">
        <is>
          <t>4.20</t>
        </is>
      </c>
      <c r="L1055" t="inlineStr">
        <is>
          <t>Talude</t>
        </is>
      </c>
      <c r="M1055" t="inlineStr">
        <is>
          <t>Erosões</t>
        </is>
      </c>
      <c r="N1055" t="inlineStr">
        <is>
          <t>Processos erosivos no Talude 1</t>
        </is>
      </c>
      <c r="O1055" t="inlineStr">
        <is>
          <t>Tipo A</t>
        </is>
      </c>
      <c r="P1055" t="inlineStr">
        <is>
          <t>24+960</t>
        </is>
      </c>
      <c r="Q1055">
        <v>24960</v>
      </c>
      <c r="R1055" t="inlineStr">
        <is>
          <t>Aberta</t>
        </is>
      </c>
      <c r="T1055" t="inlineStr">
        <is>
          <t>Aline Batista</t>
        </is>
      </c>
      <c r="U1055" t="inlineStr">
        <is>
          <t>15/05/2026</t>
        </is>
      </c>
      <c r="V1055" t="inlineStr">
        <is>
          <t>22/05/2026</t>
        </is>
      </c>
      <c r="W1055">
        <v>19</v>
      </c>
      <c r="AA1055" t="inlineStr">
        <is>
          <t>Aberta -30 dias</t>
        </is>
      </c>
      <c r="AB1055" t="inlineStr">
        <is>
          <t>EMPA</t>
        </is>
      </c>
      <c r="AC1055" t="inlineStr">
        <is>
          <t>Aline</t>
        </is>
      </c>
      <c r="AD1055" t="inlineStr">
        <is>
          <t>20/07/2026</t>
        </is>
      </c>
      <c r="AE1055" t="inlineStr">
        <is>
          <t>31/07/2026</t>
        </is>
      </c>
      <c r="AF1055" t="inlineStr">
        <is>
          <t>Prazo premissa VALE</t>
        </is>
      </c>
    </row>
    <row r="1056">
      <c r="A1056">
        <v>1054</v>
      </c>
      <c r="B1056">
        <v>1</v>
      </c>
      <c r="C1056" t="inlineStr">
        <is>
          <t>1.2</t>
        </is>
      </c>
      <c r="D1056" t="inlineStr">
        <is>
          <t>C43</t>
        </is>
      </c>
      <c r="E1056" t="inlineStr">
        <is>
          <t xml:space="preserve">LE </t>
        </is>
      </c>
      <c r="F1056" t="inlineStr">
        <is>
          <t>EMPA</t>
        </is>
      </c>
      <c r="G1056" t="inlineStr">
        <is>
          <t>CLP-016</t>
        </is>
      </c>
      <c r="H1056" t="inlineStr">
        <is>
          <t>Protocolo</t>
        </is>
      </c>
      <c r="I1056">
        <v>4</v>
      </c>
      <c r="J1056" t="inlineStr">
        <is>
          <t>Terraplenagem</t>
        </is>
      </c>
      <c r="K1056" t="inlineStr">
        <is>
          <t>4.20</t>
        </is>
      </c>
      <c r="L1056" t="inlineStr">
        <is>
          <t>Talude</t>
        </is>
      </c>
      <c r="M1056" t="inlineStr">
        <is>
          <t>Erosões</t>
        </is>
      </c>
      <c r="N1056" t="inlineStr">
        <is>
          <t>Processos erosivos no corte</t>
        </is>
      </c>
      <c r="O1056" t="inlineStr">
        <is>
          <t>Tipo A</t>
        </is>
      </c>
      <c r="P1056" t="inlineStr">
        <is>
          <t>25+320</t>
        </is>
      </c>
      <c r="Q1056">
        <v>25320</v>
      </c>
      <c r="R1056" t="inlineStr">
        <is>
          <t>Aberta</t>
        </is>
      </c>
      <c r="T1056" t="inlineStr">
        <is>
          <t>Aline Batista</t>
        </is>
      </c>
      <c r="U1056" t="inlineStr">
        <is>
          <t>15/05/2026</t>
        </is>
      </c>
      <c r="V1056" t="inlineStr">
        <is>
          <t>22/05/2026</t>
        </is>
      </c>
      <c r="W1056">
        <v>19</v>
      </c>
      <c r="AA1056" t="inlineStr">
        <is>
          <t>Aberta -30 dias</t>
        </is>
      </c>
      <c r="AB1056" t="inlineStr">
        <is>
          <t>CT-REMANESCENTE</t>
        </is>
      </c>
      <c r="AC1056" t="inlineStr">
        <is>
          <t>Aline</t>
        </is>
      </c>
      <c r="AD1056" t="inlineStr">
        <is>
          <t>10/07/2026</t>
        </is>
      </c>
      <c r="AE1056" t="inlineStr">
        <is>
          <t>31/08/2026</t>
        </is>
      </c>
      <c r="AF1056" t="inlineStr">
        <is>
          <t>Prazo Premissa VALE</t>
        </is>
      </c>
    </row>
    <row r="1057">
      <c r="A1057">
        <v>1055</v>
      </c>
      <c r="B1057">
        <v>1</v>
      </c>
      <c r="C1057" t="inlineStr">
        <is>
          <t>1.2</t>
        </is>
      </c>
      <c r="D1057" t="inlineStr">
        <is>
          <t>C43</t>
        </is>
      </c>
      <c r="E1057" t="inlineStr">
        <is>
          <t xml:space="preserve">LE </t>
        </is>
      </c>
      <c r="F1057" t="inlineStr">
        <is>
          <t>EMPA</t>
        </is>
      </c>
      <c r="G1057" t="inlineStr">
        <is>
          <t>CLP-016</t>
        </is>
      </c>
      <c r="H1057" t="inlineStr">
        <is>
          <t>Implantação</t>
        </is>
      </c>
      <c r="I1057">
        <v>4</v>
      </c>
      <c r="J1057" t="inlineStr">
        <is>
          <t>Terraplenagem</t>
        </is>
      </c>
      <c r="K1057" t="inlineStr">
        <is>
          <t>4.20</t>
        </is>
      </c>
      <c r="L1057" t="inlineStr">
        <is>
          <t>Talude</t>
        </is>
      </c>
      <c r="M1057" t="inlineStr">
        <is>
          <t>Erosões</t>
        </is>
      </c>
      <c r="N1057" t="inlineStr">
        <is>
          <t>Processos erosivos  em talude.</t>
        </is>
      </c>
      <c r="O1057" t="inlineStr">
        <is>
          <t>Tipo A</t>
        </is>
      </c>
      <c r="P1057" t="inlineStr">
        <is>
          <t>25+420</t>
        </is>
      </c>
      <c r="Q1057">
        <v>25420</v>
      </c>
      <c r="R1057" t="inlineStr">
        <is>
          <t>Aberta</t>
        </is>
      </c>
      <c r="T1057" t="inlineStr">
        <is>
          <t>Aline Batista</t>
        </is>
      </c>
      <c r="U1057" t="inlineStr">
        <is>
          <t>15/05/2026</t>
        </is>
      </c>
      <c r="V1057" t="inlineStr">
        <is>
          <t>22/05/2026</t>
        </is>
      </c>
      <c r="W1057">
        <v>19</v>
      </c>
      <c r="AA1057" t="inlineStr">
        <is>
          <t>Aberta -30 dias</t>
        </is>
      </c>
      <c r="AB1057" t="inlineStr">
        <is>
          <t>CT-REMANESCENTE</t>
        </is>
      </c>
      <c r="AC1057" t="inlineStr">
        <is>
          <t>Aline</t>
        </is>
      </c>
      <c r="AD1057" t="inlineStr">
        <is>
          <t>10/07/2026</t>
        </is>
      </c>
      <c r="AE1057" t="inlineStr">
        <is>
          <t>31/08/2026</t>
        </is>
      </c>
      <c r="AF1057" t="inlineStr">
        <is>
          <t>Prazo Premissa VALE</t>
        </is>
      </c>
    </row>
    <row r="1058">
      <c r="A1058">
        <v>1056</v>
      </c>
      <c r="B1058">
        <v>1</v>
      </c>
      <c r="C1058" t="inlineStr">
        <is>
          <t>1.2</t>
        </is>
      </c>
      <c r="D1058" t="inlineStr">
        <is>
          <t>C43</t>
        </is>
      </c>
      <c r="E1058" t="inlineStr">
        <is>
          <t>LD</t>
        </is>
      </c>
      <c r="F1058" t="inlineStr">
        <is>
          <t>EMPA</t>
        </is>
      </c>
      <c r="G1058" t="inlineStr">
        <is>
          <t>CLP-016</t>
        </is>
      </c>
      <c r="H1058" t="inlineStr">
        <is>
          <t>Fiscalização</t>
        </is>
      </c>
      <c r="I1058">
        <v>4</v>
      </c>
      <c r="J1058" t="inlineStr">
        <is>
          <t>Terraplenagem</t>
        </is>
      </c>
      <c r="K1058" t="inlineStr">
        <is>
          <t>4.20</t>
        </is>
      </c>
      <c r="L1058" t="inlineStr">
        <is>
          <t>Aterro</t>
        </is>
      </c>
      <c r="M1058" t="inlineStr">
        <is>
          <t>Erosões</t>
        </is>
      </c>
      <c r="N1058" t="inlineStr">
        <is>
          <t>Processos erosivos  em talude.</t>
        </is>
      </c>
      <c r="O1058" t="inlineStr">
        <is>
          <t>Tipo A</t>
        </is>
      </c>
      <c r="P1058" t="inlineStr">
        <is>
          <t>23+520</t>
        </is>
      </c>
      <c r="Q1058">
        <v>23520</v>
      </c>
      <c r="R1058" t="inlineStr">
        <is>
          <t>Aberta</t>
        </is>
      </c>
      <c r="T1058" t="inlineStr">
        <is>
          <t>Aline Batista</t>
        </is>
      </c>
      <c r="U1058" t="inlineStr">
        <is>
          <t>15/05/2026</t>
        </is>
      </c>
      <c r="V1058" t="inlineStr">
        <is>
          <t>22/05/2026</t>
        </is>
      </c>
      <c r="W1058">
        <v>19</v>
      </c>
      <c r="AA1058" t="inlineStr">
        <is>
          <t>Aberta -30 dias</t>
        </is>
      </c>
      <c r="AB1058" t="inlineStr">
        <is>
          <t>CT-REMANESCENTE</t>
        </is>
      </c>
      <c r="AC1058" t="inlineStr">
        <is>
          <t>Aline</t>
        </is>
      </c>
      <c r="AD1058" t="inlineStr">
        <is>
          <t>10/07/2026</t>
        </is>
      </c>
      <c r="AE1058" t="inlineStr">
        <is>
          <t>31/08/2026</t>
        </is>
      </c>
      <c r="AF1058" t="inlineStr">
        <is>
          <t>Prazo Premissa VALE</t>
        </is>
      </c>
    </row>
    <row r="1059">
      <c r="A1059">
        <v>1057</v>
      </c>
      <c r="B1059">
        <v>1</v>
      </c>
      <c r="C1059" t="inlineStr">
        <is>
          <t>1.3</t>
        </is>
      </c>
      <c r="D1059" t="inlineStr">
        <is>
          <t>C43</t>
        </is>
      </c>
      <c r="E1059" t="inlineStr">
        <is>
          <t xml:space="preserve">LE </t>
        </is>
      </c>
      <c r="F1059" t="inlineStr">
        <is>
          <t>EMPA</t>
        </is>
      </c>
      <c r="G1059" t="inlineStr">
        <is>
          <t>CLP-016</t>
        </is>
      </c>
      <c r="H1059" t="inlineStr">
        <is>
          <t>Protocolo</t>
        </is>
      </c>
      <c r="I1059">
        <v>4</v>
      </c>
      <c r="J1059" t="inlineStr">
        <is>
          <t>Terraplenagem</t>
        </is>
      </c>
      <c r="K1059" t="inlineStr">
        <is>
          <t>4.20</t>
        </is>
      </c>
      <c r="L1059" t="inlineStr">
        <is>
          <t>Talude</t>
        </is>
      </c>
      <c r="M1059" t="inlineStr">
        <is>
          <t>Erosões</t>
        </is>
      </c>
      <c r="N1059" t="inlineStr">
        <is>
          <t>Presença de processos erosivos.</t>
        </is>
      </c>
      <c r="O1059" t="inlineStr">
        <is>
          <t>Tipo A</t>
        </is>
      </c>
      <c r="P1059" t="inlineStr">
        <is>
          <t>25+540</t>
        </is>
      </c>
      <c r="Q1059">
        <v>25540</v>
      </c>
      <c r="R1059" t="inlineStr">
        <is>
          <t>Aberta</t>
        </is>
      </c>
      <c r="T1059" t="inlineStr">
        <is>
          <t>Aline Batista</t>
        </is>
      </c>
      <c r="U1059" t="inlineStr">
        <is>
          <t>15/05/2026</t>
        </is>
      </c>
      <c r="V1059" t="inlineStr">
        <is>
          <t>22/05/2026</t>
        </is>
      </c>
      <c r="W1059">
        <v>19</v>
      </c>
      <c r="AA1059" t="inlineStr">
        <is>
          <t>Aberta -30 dias</t>
        </is>
      </c>
      <c r="AB1059" t="inlineStr">
        <is>
          <t>CT-REMANESCENTE</t>
        </is>
      </c>
      <c r="AC1059" t="inlineStr">
        <is>
          <t>Aline</t>
        </is>
      </c>
      <c r="AD1059" t="inlineStr">
        <is>
          <t>10/07/2026</t>
        </is>
      </c>
      <c r="AE1059" t="inlineStr">
        <is>
          <t>31/08/2026</t>
        </is>
      </c>
      <c r="AF1059" t="inlineStr">
        <is>
          <t>Prazo Premissa VALE</t>
        </is>
      </c>
    </row>
    <row r="1060">
      <c r="A1060">
        <v>1058</v>
      </c>
      <c r="B1060">
        <v>1</v>
      </c>
      <c r="C1060" t="inlineStr">
        <is>
          <t>1.3</t>
        </is>
      </c>
      <c r="D1060" t="inlineStr">
        <is>
          <t>C43</t>
        </is>
      </c>
      <c r="E1060" t="inlineStr">
        <is>
          <t>LE</t>
        </is>
      </c>
      <c r="F1060" t="inlineStr">
        <is>
          <t>EMPA</t>
        </is>
      </c>
      <c r="G1060" t="inlineStr">
        <is>
          <t>CLP-016</t>
        </is>
      </c>
      <c r="H1060" t="inlineStr">
        <is>
          <t>Protocolo</t>
        </is>
      </c>
      <c r="I1060">
        <v>4</v>
      </c>
      <c r="J1060" t="inlineStr">
        <is>
          <t>Terraplenagem</t>
        </is>
      </c>
      <c r="K1060" t="inlineStr">
        <is>
          <t>4.20</t>
        </is>
      </c>
      <c r="L1060" t="inlineStr">
        <is>
          <t>Talude</t>
        </is>
      </c>
      <c r="M1060" t="inlineStr">
        <is>
          <t>Erosões</t>
        </is>
      </c>
      <c r="N1060" t="inlineStr">
        <is>
          <t>Processos erosivos no corte.</t>
        </is>
      </c>
      <c r="O1060" t="inlineStr">
        <is>
          <t>Tipo A</t>
        </is>
      </c>
      <c r="P1060" t="inlineStr">
        <is>
          <t>25+650</t>
        </is>
      </c>
      <c r="Q1060" t="inlineStr">
        <is>
          <t>25+650</t>
        </is>
      </c>
      <c r="R1060" t="inlineStr">
        <is>
          <t>Aberta</t>
        </is>
      </c>
      <c r="T1060" t="inlineStr">
        <is>
          <t>Aline Batista</t>
        </is>
      </c>
      <c r="U1060" t="inlineStr">
        <is>
          <t>15/05/2026</t>
        </is>
      </c>
      <c r="V1060" t="inlineStr">
        <is>
          <t>22/05/2026</t>
        </is>
      </c>
      <c r="W1060">
        <v>19</v>
      </c>
      <c r="AA1060" t="inlineStr">
        <is>
          <t>Aberta -30 dias</t>
        </is>
      </c>
      <c r="AB1060" t="inlineStr">
        <is>
          <t>CT-REMANESCENTE</t>
        </is>
      </c>
      <c r="AC1060" t="inlineStr">
        <is>
          <t>Aline</t>
        </is>
      </c>
      <c r="AD1060" t="inlineStr">
        <is>
          <t>10/07/2026</t>
        </is>
      </c>
      <c r="AE1060" t="inlineStr">
        <is>
          <t>31/08/2026</t>
        </is>
      </c>
      <c r="AF1060" t="inlineStr">
        <is>
          <t>Prazo Premissa VALE</t>
        </is>
      </c>
    </row>
    <row r="1061">
      <c r="A1061">
        <v>1059</v>
      </c>
      <c r="B1061">
        <v>1</v>
      </c>
      <c r="C1061" t="inlineStr">
        <is>
          <t>1.3</t>
        </is>
      </c>
      <c r="D1061" t="inlineStr">
        <is>
          <t>C43</t>
        </is>
      </c>
      <c r="E1061" t="inlineStr">
        <is>
          <t>LE</t>
        </is>
      </c>
      <c r="F1061" t="inlineStr">
        <is>
          <t>EMPA</t>
        </is>
      </c>
      <c r="G1061" t="inlineStr">
        <is>
          <t>CLP-016</t>
        </is>
      </c>
      <c r="H1061" t="inlineStr">
        <is>
          <t>Implantação</t>
        </is>
      </c>
      <c r="I1061">
        <v>4</v>
      </c>
      <c r="J1061" t="inlineStr">
        <is>
          <t>Terraplenagem</t>
        </is>
      </c>
      <c r="K1061" t="inlineStr">
        <is>
          <t>4.20</t>
        </is>
      </c>
      <c r="L1061" t="inlineStr">
        <is>
          <t>Talude</t>
        </is>
      </c>
      <c r="M1061" t="inlineStr">
        <is>
          <t>Erosões</t>
        </is>
      </c>
      <c r="N1061" t="inlineStr">
        <is>
          <t>Processos erosivos no corte</t>
        </is>
      </c>
      <c r="O1061" t="inlineStr">
        <is>
          <t>Tipo A</t>
        </is>
      </c>
      <c r="P1061" t="inlineStr">
        <is>
          <t>25+700</t>
        </is>
      </c>
      <c r="Q1061" t="inlineStr">
        <is>
          <t>25+700</t>
        </is>
      </c>
      <c r="R1061" t="inlineStr">
        <is>
          <t>Aberta</t>
        </is>
      </c>
      <c r="T1061" t="inlineStr">
        <is>
          <t>Aline Batista</t>
        </is>
      </c>
      <c r="U1061" t="inlineStr">
        <is>
          <t>15/05/2026</t>
        </is>
      </c>
      <c r="V1061" t="inlineStr">
        <is>
          <t>22/05/2026</t>
        </is>
      </c>
      <c r="W1061">
        <v>19</v>
      </c>
      <c r="AA1061" t="inlineStr">
        <is>
          <t>Aberta -30 dias</t>
        </is>
      </c>
      <c r="AB1061" t="inlineStr">
        <is>
          <t>CT-REMANESCENTE</t>
        </is>
      </c>
      <c r="AC1061" t="inlineStr">
        <is>
          <t>Aline</t>
        </is>
      </c>
      <c r="AD1061" t="inlineStr">
        <is>
          <t>10/07/2026</t>
        </is>
      </c>
      <c r="AE1061" t="inlineStr">
        <is>
          <t>31/08/2026</t>
        </is>
      </c>
      <c r="AF1061" t="inlineStr">
        <is>
          <t>Prazo Premissa VALE</t>
        </is>
      </c>
    </row>
    <row r="1062">
      <c r="A1062">
        <v>1060</v>
      </c>
      <c r="B1062">
        <v>1</v>
      </c>
      <c r="C1062" t="inlineStr">
        <is>
          <t>1.3</t>
        </is>
      </c>
      <c r="D1062" t="inlineStr">
        <is>
          <t>C43</t>
        </is>
      </c>
      <c r="E1062" t="inlineStr">
        <is>
          <t>LE</t>
        </is>
      </c>
      <c r="F1062" t="inlineStr">
        <is>
          <t>EMPA</t>
        </is>
      </c>
      <c r="G1062" t="inlineStr">
        <is>
          <t>CLP-016</t>
        </is>
      </c>
      <c r="H1062" t="inlineStr">
        <is>
          <t>Implantação</t>
        </is>
      </c>
      <c r="I1062">
        <v>4</v>
      </c>
      <c r="J1062" t="inlineStr">
        <is>
          <t>Terraplenagem</t>
        </is>
      </c>
      <c r="K1062" t="inlineStr">
        <is>
          <t>4.20</t>
        </is>
      </c>
      <c r="L1062" t="inlineStr">
        <is>
          <t>Talude</t>
        </is>
      </c>
      <c r="M1062" t="inlineStr">
        <is>
          <t>Erosões</t>
        </is>
      </c>
      <c r="N1062" t="inlineStr">
        <is>
          <t>Processos erosivos no corte</t>
        </is>
      </c>
      <c r="O1062" t="inlineStr">
        <is>
          <t>Tipo A</t>
        </is>
      </c>
      <c r="P1062" t="inlineStr">
        <is>
          <t>25+820</t>
        </is>
      </c>
      <c r="Q1062" t="inlineStr">
        <is>
          <t>25+820</t>
        </is>
      </c>
      <c r="R1062" t="inlineStr">
        <is>
          <t>Aberta</t>
        </is>
      </c>
      <c r="T1062" t="inlineStr">
        <is>
          <t>Aline Batista</t>
        </is>
      </c>
      <c r="U1062" t="inlineStr">
        <is>
          <t>15/05/2026</t>
        </is>
      </c>
      <c r="V1062" t="inlineStr">
        <is>
          <t>22/05/2026</t>
        </is>
      </c>
      <c r="W1062">
        <v>19</v>
      </c>
      <c r="AA1062" t="inlineStr">
        <is>
          <t>Aberta -30 dias</t>
        </is>
      </c>
      <c r="AB1062" t="inlineStr">
        <is>
          <t>CT-REMANESCENTE</t>
        </is>
      </c>
      <c r="AC1062" t="inlineStr">
        <is>
          <t>Aline</t>
        </is>
      </c>
      <c r="AD1062" t="inlineStr">
        <is>
          <t>10/07/2026</t>
        </is>
      </c>
      <c r="AE1062" t="inlineStr">
        <is>
          <t>31/08/2026</t>
        </is>
      </c>
      <c r="AF1062" t="inlineStr">
        <is>
          <t>Prazo Premissa VALE</t>
        </is>
      </c>
    </row>
    <row r="1063">
      <c r="A1063">
        <v>1061</v>
      </c>
      <c r="B1063">
        <v>1</v>
      </c>
      <c r="C1063" t="inlineStr">
        <is>
          <t>1.3</t>
        </is>
      </c>
      <c r="D1063" t="inlineStr">
        <is>
          <t>C43</t>
        </is>
      </c>
      <c r="E1063" t="inlineStr">
        <is>
          <t>LE</t>
        </is>
      </c>
      <c r="F1063" t="inlineStr">
        <is>
          <t>EMPA</t>
        </is>
      </c>
      <c r="G1063" t="inlineStr">
        <is>
          <t>CLP-016</t>
        </is>
      </c>
      <c r="H1063" t="inlineStr">
        <is>
          <t>Protocolo</t>
        </is>
      </c>
      <c r="I1063">
        <v>4</v>
      </c>
      <c r="J1063" t="inlineStr">
        <is>
          <t>Terraplenagem</t>
        </is>
      </c>
      <c r="K1063" t="inlineStr">
        <is>
          <t>4.20</t>
        </is>
      </c>
      <c r="L1063" t="inlineStr">
        <is>
          <t>Talude</t>
        </is>
      </c>
      <c r="M1063" t="inlineStr">
        <is>
          <t>Erosões</t>
        </is>
      </c>
      <c r="N1063" t="inlineStr">
        <is>
          <t>Processos erosivos no corte</t>
        </is>
      </c>
      <c r="O1063" t="inlineStr">
        <is>
          <t>Tipo A</t>
        </is>
      </c>
      <c r="P1063" t="inlineStr">
        <is>
          <t>25+840</t>
        </is>
      </c>
      <c r="Q1063" t="inlineStr">
        <is>
          <t>25+840</t>
        </is>
      </c>
      <c r="R1063" t="inlineStr">
        <is>
          <t>Aberta</t>
        </is>
      </c>
      <c r="T1063" t="inlineStr">
        <is>
          <t>Aline Batista</t>
        </is>
      </c>
      <c r="U1063" t="inlineStr">
        <is>
          <t>15/05/2026</t>
        </is>
      </c>
      <c r="V1063" t="inlineStr">
        <is>
          <t>22/05/2026</t>
        </is>
      </c>
      <c r="W1063">
        <v>19</v>
      </c>
      <c r="AA1063" t="inlineStr">
        <is>
          <t>Aberta -30 dias</t>
        </is>
      </c>
      <c r="AB1063" t="inlineStr">
        <is>
          <t>CT-REMANESCENTE</t>
        </is>
      </c>
      <c r="AC1063" t="inlineStr">
        <is>
          <t>Aline</t>
        </is>
      </c>
      <c r="AD1063" t="inlineStr">
        <is>
          <t>10/07/2026</t>
        </is>
      </c>
      <c r="AE1063" t="inlineStr">
        <is>
          <t>31/08/2026</t>
        </is>
      </c>
      <c r="AF1063" t="inlineStr">
        <is>
          <t>Prazo Premissa VALE</t>
        </is>
      </c>
    </row>
    <row r="1064">
      <c r="A1064">
        <v>1062</v>
      </c>
      <c r="B1064">
        <v>1</v>
      </c>
      <c r="C1064" t="inlineStr">
        <is>
          <t>1.3</t>
        </is>
      </c>
      <c r="D1064" t="inlineStr">
        <is>
          <t>C43</t>
        </is>
      </c>
      <c r="E1064" t="inlineStr">
        <is>
          <t>LE</t>
        </is>
      </c>
      <c r="F1064" t="inlineStr">
        <is>
          <t>EMPA</t>
        </is>
      </c>
      <c r="G1064" t="inlineStr">
        <is>
          <t>CLP-016</t>
        </is>
      </c>
      <c r="H1064" t="inlineStr">
        <is>
          <t>Implantação</t>
        </is>
      </c>
      <c r="I1064">
        <v>4</v>
      </c>
      <c r="J1064" t="inlineStr">
        <is>
          <t>Terraplenagem</t>
        </is>
      </c>
      <c r="K1064" t="inlineStr">
        <is>
          <t>4.20</t>
        </is>
      </c>
      <c r="L1064" t="inlineStr">
        <is>
          <t>Talude</t>
        </is>
      </c>
      <c r="M1064" t="inlineStr">
        <is>
          <t>Erosões</t>
        </is>
      </c>
      <c r="N1064" t="inlineStr">
        <is>
          <t>Processos erosivos no corte</t>
        </is>
      </c>
      <c r="O1064" t="inlineStr">
        <is>
          <t>Tipo A</t>
        </is>
      </c>
      <c r="P1064" t="inlineStr">
        <is>
          <t>25+980</t>
        </is>
      </c>
      <c r="Q1064" t="inlineStr">
        <is>
          <t>25+980</t>
        </is>
      </c>
      <c r="R1064" t="inlineStr">
        <is>
          <t>Aberta</t>
        </is>
      </c>
      <c r="T1064" t="inlineStr">
        <is>
          <t>Aline Batista</t>
        </is>
      </c>
      <c r="U1064" t="inlineStr">
        <is>
          <t>15/05/2026</t>
        </is>
      </c>
      <c r="V1064" t="inlineStr">
        <is>
          <t>22/05/2026</t>
        </is>
      </c>
      <c r="W1064">
        <v>19</v>
      </c>
      <c r="AA1064" t="inlineStr">
        <is>
          <t>Aberta -30 dias</t>
        </is>
      </c>
      <c r="AB1064" t="inlineStr">
        <is>
          <t>CT-REMANESCENTE</t>
        </is>
      </c>
      <c r="AC1064" t="inlineStr">
        <is>
          <t>Aline</t>
        </is>
      </c>
      <c r="AD1064" t="inlineStr">
        <is>
          <t>10/07/2026</t>
        </is>
      </c>
      <c r="AE1064" t="inlineStr">
        <is>
          <t>31/08/2026</t>
        </is>
      </c>
      <c r="AF1064" t="inlineStr">
        <is>
          <t>Prazo Premissa VALE</t>
        </is>
      </c>
    </row>
    <row r="1065">
      <c r="A1065">
        <v>1063</v>
      </c>
      <c r="B1065">
        <v>1</v>
      </c>
      <c r="C1065" t="inlineStr">
        <is>
          <t>1.3</t>
        </is>
      </c>
      <c r="D1065" t="inlineStr">
        <is>
          <t>C43</t>
        </is>
      </c>
      <c r="E1065" t="inlineStr">
        <is>
          <t>LE</t>
        </is>
      </c>
      <c r="F1065" t="inlineStr">
        <is>
          <t>EMPA</t>
        </is>
      </c>
      <c r="G1065" t="inlineStr">
        <is>
          <t>CLP-016</t>
        </is>
      </c>
      <c r="H1065" t="inlineStr">
        <is>
          <t>Protocolo</t>
        </is>
      </c>
      <c r="I1065">
        <v>4</v>
      </c>
      <c r="J1065" t="inlineStr">
        <is>
          <t>Terraplenagem</t>
        </is>
      </c>
      <c r="K1065" t="inlineStr">
        <is>
          <t>4.20</t>
        </is>
      </c>
      <c r="L1065" t="inlineStr">
        <is>
          <t>Talude</t>
        </is>
      </c>
      <c r="M1065" t="inlineStr">
        <is>
          <t>Erosões</t>
        </is>
      </c>
      <c r="N1065" t="inlineStr">
        <is>
          <t>Processos erosivos no corte</t>
        </is>
      </c>
      <c r="O1065" t="inlineStr">
        <is>
          <t>Tipo A</t>
        </is>
      </c>
      <c r="P1065" t="inlineStr">
        <is>
          <t>25+990</t>
        </is>
      </c>
      <c r="Q1065" t="inlineStr">
        <is>
          <t>25+990</t>
        </is>
      </c>
      <c r="R1065" t="inlineStr">
        <is>
          <t>Aberta</t>
        </is>
      </c>
      <c r="T1065" t="inlineStr">
        <is>
          <t>Aline Batista</t>
        </is>
      </c>
      <c r="U1065" t="inlineStr">
        <is>
          <t>15/05/2026</t>
        </is>
      </c>
      <c r="V1065" t="inlineStr">
        <is>
          <t>22/05/2026</t>
        </is>
      </c>
      <c r="W1065">
        <v>19</v>
      </c>
      <c r="AA1065" t="inlineStr">
        <is>
          <t>Aberta -30 dias</t>
        </is>
      </c>
      <c r="AB1065" t="inlineStr">
        <is>
          <t>CT-REMANESCENTE</t>
        </is>
      </c>
      <c r="AC1065" t="inlineStr">
        <is>
          <t>Aline</t>
        </is>
      </c>
      <c r="AD1065" t="inlineStr">
        <is>
          <t>10/07/2026</t>
        </is>
      </c>
      <c r="AE1065" t="inlineStr">
        <is>
          <t>31/08/2026</t>
        </is>
      </c>
      <c r="AF1065" t="inlineStr">
        <is>
          <t>Prazo Premissa VALE</t>
        </is>
      </c>
    </row>
    <row r="1066">
      <c r="A1066">
        <v>1064</v>
      </c>
      <c r="B1066">
        <v>1</v>
      </c>
      <c r="C1066" t="inlineStr">
        <is>
          <t>1.3</t>
        </is>
      </c>
      <c r="D1066" t="inlineStr">
        <is>
          <t>C43</t>
        </is>
      </c>
      <c r="E1066" t="inlineStr">
        <is>
          <t>LE</t>
        </is>
      </c>
      <c r="F1066" t="inlineStr">
        <is>
          <t>EMPA</t>
        </is>
      </c>
      <c r="G1066" t="inlineStr">
        <is>
          <t>CLP-016</t>
        </is>
      </c>
      <c r="H1066" t="inlineStr">
        <is>
          <t>Protocolo</t>
        </is>
      </c>
      <c r="I1066">
        <v>4</v>
      </c>
      <c r="J1066" t="inlineStr">
        <is>
          <t>Terraplenagem</t>
        </is>
      </c>
      <c r="K1066" t="inlineStr">
        <is>
          <t>4.20</t>
        </is>
      </c>
      <c r="L1066" t="inlineStr">
        <is>
          <t>Talude</t>
        </is>
      </c>
      <c r="M1066" t="inlineStr">
        <is>
          <t>Erosões</t>
        </is>
      </c>
      <c r="N1066" t="inlineStr">
        <is>
          <t>Processos erosivos no corte</t>
        </is>
      </c>
      <c r="O1066" t="inlineStr">
        <is>
          <t>Tipo A</t>
        </is>
      </c>
      <c r="P1066" t="inlineStr">
        <is>
          <t>26+010</t>
        </is>
      </c>
      <c r="Q1066" t="inlineStr">
        <is>
          <t>26+010</t>
        </is>
      </c>
      <c r="R1066" t="inlineStr">
        <is>
          <t>Aberta</t>
        </is>
      </c>
      <c r="T1066" t="inlineStr">
        <is>
          <t>Aline Batista</t>
        </is>
      </c>
      <c r="U1066" t="inlineStr">
        <is>
          <t>15/05/2026</t>
        </is>
      </c>
      <c r="V1066" t="inlineStr">
        <is>
          <t>22/05/2026</t>
        </is>
      </c>
      <c r="W1066">
        <v>19</v>
      </c>
      <c r="AA1066" t="inlineStr">
        <is>
          <t>Aberta -30 dias</t>
        </is>
      </c>
      <c r="AB1066" t="inlineStr">
        <is>
          <t>CT-REMANESCENTE</t>
        </is>
      </c>
      <c r="AC1066" t="inlineStr">
        <is>
          <t>Aline</t>
        </is>
      </c>
      <c r="AD1066" t="inlineStr">
        <is>
          <t>10/07/2026</t>
        </is>
      </c>
      <c r="AE1066" t="inlineStr">
        <is>
          <t>31/08/2026</t>
        </is>
      </c>
      <c r="AF1066" t="inlineStr">
        <is>
          <t>Prazo Premissa VALE</t>
        </is>
      </c>
    </row>
    <row r="1067">
      <c r="A1067">
        <v>1065</v>
      </c>
      <c r="B1067">
        <v>1</v>
      </c>
      <c r="C1067" t="inlineStr">
        <is>
          <t>1.3</t>
        </is>
      </c>
      <c r="D1067" t="inlineStr">
        <is>
          <t>C43</t>
        </is>
      </c>
      <c r="E1067" t="inlineStr">
        <is>
          <t>LE</t>
        </is>
      </c>
      <c r="F1067" t="inlineStr">
        <is>
          <t>EMPA</t>
        </is>
      </c>
      <c r="G1067" t="inlineStr">
        <is>
          <t>CLP-016</t>
        </is>
      </c>
      <c r="H1067" t="inlineStr">
        <is>
          <t>Fiscalização/Implantação</t>
        </is>
      </c>
      <c r="I1067">
        <v>4</v>
      </c>
      <c r="J1067" t="inlineStr">
        <is>
          <t>Terraplenagem</t>
        </is>
      </c>
      <c r="K1067" t="inlineStr">
        <is>
          <t>4.20</t>
        </is>
      </c>
      <c r="L1067" t="inlineStr">
        <is>
          <t>Talude</t>
        </is>
      </c>
      <c r="M1067" t="inlineStr">
        <is>
          <t>Erosões</t>
        </is>
      </c>
      <c r="N1067" t="inlineStr">
        <is>
          <t>Processos erosivos no corte</t>
        </is>
      </c>
      <c r="O1067" t="inlineStr">
        <is>
          <t>Tipo A</t>
        </is>
      </c>
      <c r="P1067" t="inlineStr">
        <is>
          <t>26+100</t>
        </is>
      </c>
      <c r="Q1067" t="inlineStr">
        <is>
          <t>26+100</t>
        </is>
      </c>
      <c r="R1067" t="inlineStr">
        <is>
          <t>Aberta</t>
        </is>
      </c>
      <c r="T1067" t="inlineStr">
        <is>
          <t>Aline Batista</t>
        </is>
      </c>
      <c r="U1067" t="inlineStr">
        <is>
          <t>15/05/2026</t>
        </is>
      </c>
      <c r="V1067" t="inlineStr">
        <is>
          <t>22/05/2026</t>
        </is>
      </c>
      <c r="W1067">
        <v>19</v>
      </c>
      <c r="AA1067" t="inlineStr">
        <is>
          <t>Aberta -30 dias</t>
        </is>
      </c>
      <c r="AB1067" t="inlineStr">
        <is>
          <t>CT-REMANESCENTE</t>
        </is>
      </c>
      <c r="AC1067" t="inlineStr">
        <is>
          <t>Aline</t>
        </is>
      </c>
      <c r="AD1067" t="inlineStr">
        <is>
          <t>10/07/2026</t>
        </is>
      </c>
      <c r="AE1067" t="inlineStr">
        <is>
          <t>31/08/2026</t>
        </is>
      </c>
      <c r="AF1067" t="inlineStr">
        <is>
          <t>Prazo Premissa VALE</t>
        </is>
      </c>
    </row>
    <row r="1068">
      <c r="A1068">
        <v>1066</v>
      </c>
      <c r="B1068">
        <v>1</v>
      </c>
      <c r="C1068" t="inlineStr">
        <is>
          <t>1.3</t>
        </is>
      </c>
      <c r="D1068" t="inlineStr">
        <is>
          <t>C43</t>
        </is>
      </c>
      <c r="E1068" t="inlineStr">
        <is>
          <t>-</t>
        </is>
      </c>
      <c r="F1068" t="inlineStr">
        <is>
          <t>EMPA</t>
        </is>
      </c>
      <c r="G1068" t="inlineStr">
        <is>
          <t>CLP-016</t>
        </is>
      </c>
      <c r="H1068" t="inlineStr">
        <is>
          <t>Fiscalização/Implantação</t>
        </is>
      </c>
      <c r="I1068">
        <v>4</v>
      </c>
      <c r="J1068" t="inlineStr">
        <is>
          <t>Terraplenagem</t>
        </is>
      </c>
      <c r="K1068" t="inlineStr">
        <is>
          <t>4.20</t>
        </is>
      </c>
      <c r="L1068" t="inlineStr">
        <is>
          <t>Talude</t>
        </is>
      </c>
      <c r="M1068" t="inlineStr">
        <is>
          <t>Erosões</t>
        </is>
      </c>
      <c r="N1068" t="inlineStr">
        <is>
          <t>Processos erosivos no corte</t>
        </is>
      </c>
      <c r="O1068" t="inlineStr">
        <is>
          <t>Tipo A</t>
        </is>
      </c>
      <c r="P1068" t="inlineStr">
        <is>
          <t>26+130</t>
        </is>
      </c>
      <c r="Q1068" t="inlineStr">
        <is>
          <t>26+130</t>
        </is>
      </c>
      <c r="R1068" t="inlineStr">
        <is>
          <t>Aberta</t>
        </is>
      </c>
      <c r="T1068" t="inlineStr">
        <is>
          <t>Aline Batista</t>
        </is>
      </c>
      <c r="U1068" t="inlineStr">
        <is>
          <t>15/05/2026</t>
        </is>
      </c>
      <c r="V1068" t="inlineStr">
        <is>
          <t>22/05/2026</t>
        </is>
      </c>
      <c r="W1068">
        <v>19</v>
      </c>
      <c r="AA1068" t="inlineStr">
        <is>
          <t>Aberta -30 dias</t>
        </is>
      </c>
      <c r="AB1068" t="inlineStr">
        <is>
          <t>CT-REMANESCENTE</t>
        </is>
      </c>
      <c r="AC1068" t="inlineStr">
        <is>
          <t>Aline</t>
        </is>
      </c>
      <c r="AD1068" t="inlineStr">
        <is>
          <t>10/07/2026</t>
        </is>
      </c>
      <c r="AE1068" t="inlineStr">
        <is>
          <t>31/08/2026</t>
        </is>
      </c>
      <c r="AF1068" t="inlineStr">
        <is>
          <t>Prazo Premissa VALE</t>
        </is>
      </c>
    </row>
    <row r="1069">
      <c r="A1069">
        <v>1067</v>
      </c>
      <c r="B1069">
        <v>1</v>
      </c>
      <c r="C1069" t="inlineStr">
        <is>
          <t>1.3</t>
        </is>
      </c>
      <c r="D1069" t="inlineStr">
        <is>
          <t>C43</t>
        </is>
      </c>
      <c r="E1069" t="inlineStr">
        <is>
          <t>-</t>
        </is>
      </c>
      <c r="F1069" t="inlineStr">
        <is>
          <t>EMPA</t>
        </is>
      </c>
      <c r="G1069" t="inlineStr">
        <is>
          <t>CLP-016</t>
        </is>
      </c>
      <c r="H1069" t="inlineStr">
        <is>
          <t>Protocolo</t>
        </is>
      </c>
      <c r="I1069">
        <v>4</v>
      </c>
      <c r="J1069" t="inlineStr">
        <is>
          <t>Terraplenagem</t>
        </is>
      </c>
      <c r="K1069" t="inlineStr">
        <is>
          <t>4.20</t>
        </is>
      </c>
      <c r="L1069" t="inlineStr">
        <is>
          <t>Talude</t>
        </is>
      </c>
      <c r="M1069" t="inlineStr">
        <is>
          <t>Erosões</t>
        </is>
      </c>
      <c r="N1069" t="inlineStr">
        <is>
          <t>Processos erosivos no corte</t>
        </is>
      </c>
      <c r="O1069" t="inlineStr">
        <is>
          <t>Tipo A</t>
        </is>
      </c>
      <c r="P1069" t="inlineStr">
        <is>
          <t>26+200</t>
        </is>
      </c>
      <c r="Q1069" t="inlineStr">
        <is>
          <t>26+200</t>
        </is>
      </c>
      <c r="R1069" t="inlineStr">
        <is>
          <t>Aberta</t>
        </is>
      </c>
      <c r="T1069" t="inlineStr">
        <is>
          <t>Aline Batista</t>
        </is>
      </c>
      <c r="U1069" t="inlineStr">
        <is>
          <t>15/05/2026</t>
        </is>
      </c>
      <c r="V1069" t="inlineStr">
        <is>
          <t>22/05/2026</t>
        </is>
      </c>
      <c r="W1069">
        <v>19</v>
      </c>
      <c r="AA1069" t="inlineStr">
        <is>
          <t>Aberta -30 dias</t>
        </is>
      </c>
      <c r="AB1069" t="inlineStr">
        <is>
          <t>CT-REMANESCENTE</t>
        </is>
      </c>
      <c r="AC1069" t="inlineStr">
        <is>
          <t>Aline</t>
        </is>
      </c>
      <c r="AD1069" t="inlineStr">
        <is>
          <t>10/07/2026</t>
        </is>
      </c>
      <c r="AE1069" t="inlineStr">
        <is>
          <t>31/08/2026</t>
        </is>
      </c>
      <c r="AF1069" t="inlineStr">
        <is>
          <t>Prazo Premissa VALE</t>
        </is>
      </c>
    </row>
    <row r="1070">
      <c r="A1070">
        <v>1068</v>
      </c>
      <c r="B1070">
        <v>1</v>
      </c>
      <c r="C1070" t="inlineStr">
        <is>
          <t>1.3</t>
        </is>
      </c>
      <c r="D1070" t="inlineStr">
        <is>
          <t>A47</t>
        </is>
      </c>
      <c r="E1070" t="inlineStr">
        <is>
          <t>LE</t>
        </is>
      </c>
      <c r="F1070" t="inlineStr">
        <is>
          <t>EMPA</t>
        </is>
      </c>
      <c r="G1070" t="inlineStr">
        <is>
          <t>CLP-016</t>
        </is>
      </c>
      <c r="H1070" t="inlineStr">
        <is>
          <t>Fiscalização</t>
        </is>
      </c>
      <c r="I1070">
        <v>4</v>
      </c>
      <c r="J1070" t="inlineStr">
        <is>
          <t>Terraplenagem</t>
        </is>
      </c>
      <c r="K1070" t="inlineStr">
        <is>
          <t>4.20</t>
        </is>
      </c>
      <c r="L1070" t="inlineStr">
        <is>
          <t>Aterro</t>
        </is>
      </c>
      <c r="M1070" t="inlineStr">
        <is>
          <t>Erosões</t>
        </is>
      </c>
      <c r="N1070" t="inlineStr">
        <is>
          <t>Processos erosivos com carreamento de sedimentos.</t>
        </is>
      </c>
      <c r="O1070" t="inlineStr">
        <is>
          <t>Tipo A</t>
        </is>
      </c>
      <c r="P1070" t="inlineStr">
        <is>
          <t>26+420</t>
        </is>
      </c>
      <c r="Q1070" t="inlineStr">
        <is>
          <t>26+420</t>
        </is>
      </c>
      <c r="R1070" t="inlineStr">
        <is>
          <t>Aberta</t>
        </is>
      </c>
      <c r="T1070" t="inlineStr">
        <is>
          <t>Aline Batista</t>
        </is>
      </c>
      <c r="U1070" t="inlineStr">
        <is>
          <t>15/05/2026</t>
        </is>
      </c>
      <c r="V1070" t="inlineStr">
        <is>
          <t>22/05/2026</t>
        </is>
      </c>
      <c r="W1070">
        <v>19</v>
      </c>
      <c r="AA1070" t="inlineStr">
        <is>
          <t>Aberta -30 dias</t>
        </is>
      </c>
      <c r="AB1070" t="inlineStr">
        <is>
          <t>CT-REMANESCENTE</t>
        </is>
      </c>
      <c r="AC1070" t="inlineStr">
        <is>
          <t>Aline</t>
        </is>
      </c>
      <c r="AD1070" t="inlineStr">
        <is>
          <t>10/07/2026</t>
        </is>
      </c>
      <c r="AE1070" t="inlineStr">
        <is>
          <t>31/08/2026</t>
        </is>
      </c>
      <c r="AF1070" t="inlineStr">
        <is>
          <t>Prazo Premissa VALE</t>
        </is>
      </c>
    </row>
    <row r="1071">
      <c r="A1071">
        <v>1069</v>
      </c>
      <c r="B1071">
        <v>1</v>
      </c>
      <c r="C1071" t="inlineStr">
        <is>
          <t>1.3</t>
        </is>
      </c>
      <c r="D1071" t="inlineStr">
        <is>
          <t>A47</t>
        </is>
      </c>
      <c r="E1071" t="inlineStr">
        <is>
          <t>LE</t>
        </is>
      </c>
      <c r="F1071" t="inlineStr">
        <is>
          <t>EMPA</t>
        </is>
      </c>
      <c r="G1071" t="inlineStr">
        <is>
          <t>CLP-016</t>
        </is>
      </c>
      <c r="H1071" t="inlineStr">
        <is>
          <t>Protocolo</t>
        </is>
      </c>
      <c r="I1071">
        <v>4</v>
      </c>
      <c r="J1071" t="inlineStr">
        <is>
          <t>Terraplenagem</t>
        </is>
      </c>
      <c r="K1071" t="inlineStr">
        <is>
          <t>4.20</t>
        </is>
      </c>
      <c r="L1071" t="inlineStr">
        <is>
          <t>Recuperação de área</t>
        </is>
      </c>
      <c r="M1071" t="inlineStr">
        <is>
          <t>Erosões</t>
        </is>
      </c>
      <c r="N1071" t="inlineStr">
        <is>
          <t>Processos erosivos no caminho de serviço</t>
        </is>
      </c>
      <c r="O1071" t="inlineStr">
        <is>
          <t>Tipo A</t>
        </is>
      </c>
      <c r="P1071" t="inlineStr">
        <is>
          <t>26+450</t>
        </is>
      </c>
      <c r="Q1071" t="inlineStr">
        <is>
          <t>26+450</t>
        </is>
      </c>
      <c r="R1071" t="inlineStr">
        <is>
          <t>Aberta</t>
        </is>
      </c>
      <c r="T1071" t="inlineStr">
        <is>
          <t>Aline Batista</t>
        </is>
      </c>
      <c r="U1071" t="inlineStr">
        <is>
          <t>15/05/2026</t>
        </is>
      </c>
      <c r="V1071" t="inlineStr">
        <is>
          <t>22/05/2026</t>
        </is>
      </c>
      <c r="W1071">
        <v>19</v>
      </c>
      <c r="AA1071" t="inlineStr">
        <is>
          <t>Aberta -30 dias</t>
        </is>
      </c>
      <c r="AB1071" t="inlineStr">
        <is>
          <t>CT-REMANESCENTE</t>
        </is>
      </c>
      <c r="AC1071" t="inlineStr">
        <is>
          <t>Aline</t>
        </is>
      </c>
      <c r="AD1071" t="inlineStr">
        <is>
          <t>10/07/2026</t>
        </is>
      </c>
      <c r="AE1071" t="inlineStr">
        <is>
          <t>31/08/2026</t>
        </is>
      </c>
      <c r="AF1071" t="inlineStr">
        <is>
          <t>Prazo Premissa VALE</t>
        </is>
      </c>
    </row>
    <row r="1072">
      <c r="A1072">
        <v>1070</v>
      </c>
      <c r="B1072">
        <v>1</v>
      </c>
      <c r="C1072" t="inlineStr">
        <is>
          <t>1.3</t>
        </is>
      </c>
      <c r="D1072" t="inlineStr">
        <is>
          <t>A47</t>
        </is>
      </c>
      <c r="E1072" t="inlineStr">
        <is>
          <t>LD e LE</t>
        </is>
      </c>
      <c r="F1072" t="inlineStr">
        <is>
          <t>EMPA</t>
        </is>
      </c>
      <c r="G1072" t="inlineStr">
        <is>
          <t>CLP-016</t>
        </is>
      </c>
      <c r="H1072" t="inlineStr">
        <is>
          <t>Protocolo</t>
        </is>
      </c>
      <c r="I1072">
        <v>4</v>
      </c>
      <c r="J1072" t="inlineStr">
        <is>
          <t>Terraplenagem</t>
        </is>
      </c>
      <c r="K1072" t="inlineStr">
        <is>
          <t>4.20</t>
        </is>
      </c>
      <c r="L1072" t="inlineStr">
        <is>
          <t>Acesso</t>
        </is>
      </c>
      <c r="M1072" t="inlineStr">
        <is>
          <t>Revegetação/ Hidrossemeadura</t>
        </is>
      </c>
      <c r="N1072" t="inlineStr">
        <is>
          <t>Caminho de serviço desprotegido, necessária hidrossemeadura</t>
        </is>
      </c>
      <c r="O1072" t="inlineStr">
        <is>
          <t>Tipo A</t>
        </is>
      </c>
      <c r="P1072" t="inlineStr">
        <is>
          <t>26+650</t>
        </is>
      </c>
      <c r="Q1072" t="inlineStr">
        <is>
          <t>26+650</t>
        </is>
      </c>
      <c r="R1072" t="inlineStr">
        <is>
          <t>Aberta</t>
        </is>
      </c>
      <c r="T1072" t="inlineStr">
        <is>
          <t>Aline Batista</t>
        </is>
      </c>
      <c r="U1072" t="inlineStr">
        <is>
          <t>15/05/2026</t>
        </is>
      </c>
      <c r="V1072" t="inlineStr">
        <is>
          <t>22/05/2026</t>
        </is>
      </c>
      <c r="W1072">
        <v>19</v>
      </c>
      <c r="AA1072" t="inlineStr">
        <is>
          <t>Aberta -30 dias</t>
        </is>
      </c>
      <c r="AB1072" t="inlineStr">
        <is>
          <t>EMPA</t>
        </is>
      </c>
      <c r="AC1072" t="inlineStr">
        <is>
          <t>Aline</t>
        </is>
      </c>
      <c r="AD1072" t="inlineStr">
        <is>
          <t>20/07/2026</t>
        </is>
      </c>
      <c r="AE1072" t="inlineStr">
        <is>
          <t>31/07/2026</t>
        </is>
      </c>
      <c r="AF1072" t="inlineStr">
        <is>
          <t>Prazo Premissa VALE</t>
        </is>
      </c>
    </row>
    <row r="1073">
      <c r="A1073">
        <v>1071</v>
      </c>
      <c r="B1073">
        <v>1</v>
      </c>
      <c r="C1073" t="inlineStr">
        <is>
          <t>1.3</t>
        </is>
      </c>
      <c r="D1073" t="inlineStr">
        <is>
          <t>C43</t>
        </is>
      </c>
      <c r="E1073" t="inlineStr">
        <is>
          <t xml:space="preserve">LE </t>
        </is>
      </c>
      <c r="F1073" t="inlineStr">
        <is>
          <t>EMPA</t>
        </is>
      </c>
      <c r="G1073" t="inlineStr">
        <is>
          <t>CLP-016</t>
        </is>
      </c>
      <c r="H1073" t="inlineStr">
        <is>
          <t>Protocolo</t>
        </is>
      </c>
      <c r="I1073">
        <v>4</v>
      </c>
      <c r="J1073" t="inlineStr">
        <is>
          <t>Terraplenagem</t>
        </is>
      </c>
      <c r="K1073" t="inlineStr">
        <is>
          <t>4.20</t>
        </is>
      </c>
      <c r="L1073" t="inlineStr">
        <is>
          <t>Corte</t>
        </is>
      </c>
      <c r="M1073" t="inlineStr">
        <is>
          <t>Erosões</t>
        </is>
      </c>
      <c r="N1073" t="inlineStr">
        <is>
          <t>Presença de erosão  no talude do corte</t>
        </is>
      </c>
      <c r="O1073" t="inlineStr">
        <is>
          <t>Tipo A</t>
        </is>
      </c>
      <c r="P1073" t="inlineStr">
        <is>
          <t>25+700</t>
        </is>
      </c>
      <c r="Q1073">
        <v>25700</v>
      </c>
      <c r="R1073" t="inlineStr">
        <is>
          <t>Aberta</t>
        </is>
      </c>
      <c r="T1073" t="inlineStr">
        <is>
          <t>Aline Batista</t>
        </is>
      </c>
      <c r="U1073" t="inlineStr">
        <is>
          <t>15/05/2026</t>
        </is>
      </c>
      <c r="V1073" t="inlineStr">
        <is>
          <t>22/05/2026</t>
        </is>
      </c>
      <c r="W1073">
        <v>19</v>
      </c>
      <c r="AA1073" t="inlineStr">
        <is>
          <t>Aberta -30 dias</t>
        </is>
      </c>
      <c r="AB1073" t="inlineStr">
        <is>
          <t>CT-REMANESCENTE</t>
        </is>
      </c>
      <c r="AC1073" t="inlineStr">
        <is>
          <t>Aline</t>
        </is>
      </c>
      <c r="AD1073" t="inlineStr">
        <is>
          <t>10/07/2026</t>
        </is>
      </c>
      <c r="AE1073" t="inlineStr">
        <is>
          <t>31/08/2026</t>
        </is>
      </c>
      <c r="AF1073" t="inlineStr">
        <is>
          <t>Prazo Premissa VALE</t>
        </is>
      </c>
    </row>
    <row r="1074">
      <c r="A1074">
        <v>1072</v>
      </c>
      <c r="B1074">
        <v>1</v>
      </c>
      <c r="C1074" t="inlineStr">
        <is>
          <t>1.2</t>
        </is>
      </c>
      <c r="D1074" t="inlineStr">
        <is>
          <t>A46</t>
        </is>
      </c>
      <c r="E1074" t="inlineStr">
        <is>
          <t>LD/LE</t>
        </is>
      </c>
      <c r="F1074" t="inlineStr">
        <is>
          <t>EMPA</t>
        </is>
      </c>
      <c r="G1074" t="inlineStr">
        <is>
          <t>CLP-016</t>
        </is>
      </c>
      <c r="H1074" t="inlineStr">
        <is>
          <t>Fiscalização</t>
        </is>
      </c>
      <c r="I1074">
        <v>4</v>
      </c>
      <c r="J1074" t="inlineStr">
        <is>
          <t>Terraplenagem</t>
        </is>
      </c>
      <c r="K1074" t="inlineStr">
        <is>
          <t>4.20</t>
        </is>
      </c>
      <c r="L1074" t="inlineStr">
        <is>
          <t>Aterro</t>
        </is>
      </c>
      <c r="M1074" t="inlineStr">
        <is>
          <t>Erosões</t>
        </is>
      </c>
      <c r="N1074" t="inlineStr">
        <is>
          <t>Prensença de erosão no no aterro</t>
        </is>
      </c>
      <c r="O1074" t="inlineStr">
        <is>
          <t>Tipo A</t>
        </is>
      </c>
      <c r="P1074" t="inlineStr">
        <is>
          <t>23+000</t>
        </is>
      </c>
      <c r="Q1074">
        <v>23000</v>
      </c>
      <c r="R1074" t="inlineStr">
        <is>
          <t>Aberta</t>
        </is>
      </c>
      <c r="T1074" t="inlineStr">
        <is>
          <t>Aline Batista</t>
        </is>
      </c>
      <c r="U1074" t="inlineStr">
        <is>
          <t>15/05/2026</t>
        </is>
      </c>
      <c r="V1074" t="inlineStr">
        <is>
          <t>22/05/2026</t>
        </is>
      </c>
      <c r="W1074">
        <v>19</v>
      </c>
      <c r="AA1074" t="inlineStr">
        <is>
          <t>Aberta -30 dias</t>
        </is>
      </c>
      <c r="AB1074" t="inlineStr">
        <is>
          <t>EMPA</t>
        </is>
      </c>
      <c r="AC1074" t="inlineStr">
        <is>
          <t>Aline</t>
        </is>
      </c>
      <c r="AD1074" t="inlineStr">
        <is>
          <t>16/07/2026</t>
        </is>
      </c>
      <c r="AE1074" t="inlineStr">
        <is>
          <t>21/07/2026</t>
        </is>
      </c>
      <c r="AF1074" t="inlineStr">
        <is>
          <t>Prazo Premissa VALE</t>
        </is>
      </c>
    </row>
    <row r="1075">
      <c r="A1075">
        <v>1073</v>
      </c>
      <c r="B1075">
        <v>1</v>
      </c>
      <c r="C1075" t="inlineStr">
        <is>
          <t>1.2</t>
        </is>
      </c>
      <c r="D1075" t="inlineStr">
        <is>
          <t>A46</t>
        </is>
      </c>
      <c r="E1075" t="inlineStr">
        <is>
          <t>LE</t>
        </is>
      </c>
      <c r="F1075" t="inlineStr">
        <is>
          <t>EMPA</t>
        </is>
      </c>
      <c r="G1075" t="inlineStr">
        <is>
          <t>CLP-016</t>
        </is>
      </c>
      <c r="H1075" t="inlineStr">
        <is>
          <t>Fiscalização</t>
        </is>
      </c>
      <c r="I1075">
        <v>4</v>
      </c>
      <c r="J1075" t="inlineStr">
        <is>
          <t>Terraplenagem</t>
        </is>
      </c>
      <c r="K1075" t="inlineStr">
        <is>
          <t>4.20</t>
        </is>
      </c>
      <c r="L1075" t="inlineStr">
        <is>
          <t>Talude</t>
        </is>
      </c>
      <c r="M1075" t="inlineStr">
        <is>
          <t>Erosões</t>
        </is>
      </c>
      <c r="N1075" t="inlineStr">
        <is>
          <t>Processos erosivos.</t>
        </is>
      </c>
      <c r="O1075" t="inlineStr">
        <is>
          <t>Tipo A</t>
        </is>
      </c>
      <c r="P1075" t="inlineStr">
        <is>
          <t>23+240</t>
        </is>
      </c>
      <c r="Q1075">
        <v>23240</v>
      </c>
      <c r="R1075" t="inlineStr">
        <is>
          <t>Aberta</t>
        </is>
      </c>
      <c r="T1075" t="inlineStr">
        <is>
          <t>Aline Batista</t>
        </is>
      </c>
      <c r="U1075" t="inlineStr">
        <is>
          <t>15/05/2026</t>
        </is>
      </c>
      <c r="V1075" t="inlineStr">
        <is>
          <t>22/05/2026</t>
        </is>
      </c>
      <c r="W1075">
        <v>19</v>
      </c>
      <c r="AA1075" t="inlineStr">
        <is>
          <t>Aberta -30 dias</t>
        </is>
      </c>
      <c r="AB1075" t="inlineStr">
        <is>
          <t>EMPA</t>
        </is>
      </c>
      <c r="AC1075" t="inlineStr">
        <is>
          <t>Aline</t>
        </is>
      </c>
      <c r="AD1075" t="inlineStr">
        <is>
          <t>16/07/2026</t>
        </is>
      </c>
      <c r="AE1075" t="inlineStr">
        <is>
          <t>21/07/2026</t>
        </is>
      </c>
      <c r="AF1075" t="inlineStr">
        <is>
          <t>Prazo Premissa VALE</t>
        </is>
      </c>
    </row>
    <row r="1076">
      <c r="A1076">
        <v>1074</v>
      </c>
      <c r="B1076">
        <v>1</v>
      </c>
      <c r="C1076" t="inlineStr">
        <is>
          <t>1.2</t>
        </is>
      </c>
      <c r="D1076" t="inlineStr">
        <is>
          <t>C43</t>
        </is>
      </c>
      <c r="E1076" t="inlineStr">
        <is>
          <t>LD</t>
        </is>
      </c>
      <c r="F1076" t="inlineStr">
        <is>
          <t>EMPA</t>
        </is>
      </c>
      <c r="G1076" t="inlineStr">
        <is>
          <t>CLP-016</t>
        </is>
      </c>
      <c r="H1076" t="inlineStr">
        <is>
          <t>Protocolo</t>
        </is>
      </c>
      <c r="I1076">
        <v>4</v>
      </c>
      <c r="J1076" t="inlineStr">
        <is>
          <t>Terraplenagem</t>
        </is>
      </c>
      <c r="K1076" t="inlineStr">
        <is>
          <t>4.20</t>
        </is>
      </c>
      <c r="L1076" t="inlineStr">
        <is>
          <t>Talude</t>
        </is>
      </c>
      <c r="M1076" t="inlineStr">
        <is>
          <t>Erosões</t>
        </is>
      </c>
      <c r="N1076" t="inlineStr">
        <is>
          <t>Presença de erosão  em talude e ausência de hidrossemeadura.</t>
        </is>
      </c>
      <c r="O1076" t="inlineStr">
        <is>
          <t>Tipo A</t>
        </is>
      </c>
      <c r="P1076" t="inlineStr">
        <is>
          <t>25+000</t>
        </is>
      </c>
      <c r="Q1076" t="inlineStr">
        <is>
          <t>25+000</t>
        </is>
      </c>
      <c r="R1076" t="inlineStr">
        <is>
          <t>Aberta</t>
        </is>
      </c>
      <c r="T1076" t="inlineStr">
        <is>
          <t>Aline Batista</t>
        </is>
      </c>
      <c r="U1076" t="inlineStr">
        <is>
          <t>15/05/2026</t>
        </is>
      </c>
      <c r="V1076" t="inlineStr">
        <is>
          <t>22/05/2026</t>
        </is>
      </c>
      <c r="W1076">
        <v>19</v>
      </c>
      <c r="AA1076" t="inlineStr">
        <is>
          <t>Aberta -30 dias</t>
        </is>
      </c>
      <c r="AB1076" t="inlineStr">
        <is>
          <t>CT-REMANESCENTE</t>
        </is>
      </c>
      <c r="AC1076" t="inlineStr">
        <is>
          <t>Aline</t>
        </is>
      </c>
      <c r="AD1076" t="inlineStr">
        <is>
          <t>10/07/2026</t>
        </is>
      </c>
      <c r="AE1076" t="inlineStr">
        <is>
          <t>31/08/2026</t>
        </is>
      </c>
      <c r="AF1076" t="inlineStr">
        <is>
          <t>Prazo Premissa VALE</t>
        </is>
      </c>
    </row>
    <row r="1077">
      <c r="A1077">
        <v>1075</v>
      </c>
      <c r="B1077">
        <v>1</v>
      </c>
      <c r="C1077" t="inlineStr">
        <is>
          <t>1.2</t>
        </is>
      </c>
      <c r="D1077" t="inlineStr">
        <is>
          <t>C43</t>
        </is>
      </c>
      <c r="E1077" t="inlineStr">
        <is>
          <t>LE</t>
        </is>
      </c>
      <c r="F1077" t="inlineStr">
        <is>
          <t>EMPA</t>
        </is>
      </c>
      <c r="G1077" t="inlineStr">
        <is>
          <t>CLP-016</t>
        </is>
      </c>
      <c r="H1077" t="inlineStr">
        <is>
          <t>Protocolo</t>
        </is>
      </c>
      <c r="I1077">
        <v>4</v>
      </c>
      <c r="J1077" t="inlineStr">
        <is>
          <t>Terraplenagem</t>
        </is>
      </c>
      <c r="K1077" t="inlineStr">
        <is>
          <t>4.20</t>
        </is>
      </c>
      <c r="L1077" t="inlineStr">
        <is>
          <t>Talude</t>
        </is>
      </c>
      <c r="M1077" t="inlineStr">
        <is>
          <t>Revegetação/ Hidrossemeadura</t>
        </is>
      </c>
      <c r="N1077" t="inlineStr">
        <is>
          <t>Necessário repasse de hidrossemeadura lado esquerdo do talude.</t>
        </is>
      </c>
      <c r="O1077" t="inlineStr">
        <is>
          <t>Tipo A</t>
        </is>
      </c>
      <c r="P1077" t="inlineStr">
        <is>
          <t>24+500</t>
        </is>
      </c>
      <c r="Q1077">
        <v>24500</v>
      </c>
      <c r="R1077" t="inlineStr">
        <is>
          <t>Aberta</t>
        </is>
      </c>
      <c r="T1077" t="inlineStr">
        <is>
          <t>Aline Batista</t>
        </is>
      </c>
      <c r="U1077" t="inlineStr">
        <is>
          <t>15/05/2026</t>
        </is>
      </c>
      <c r="V1077" t="inlineStr">
        <is>
          <t>22/05/2026</t>
        </is>
      </c>
      <c r="W1077">
        <v>19</v>
      </c>
      <c r="AA1077" t="inlineStr">
        <is>
          <t>Aberta -30 dias</t>
        </is>
      </c>
      <c r="AB1077" t="inlineStr">
        <is>
          <t>EMPA</t>
        </is>
      </c>
      <c r="AC1077" t="inlineStr">
        <is>
          <t>Aline</t>
        </is>
      </c>
      <c r="AD1077" t="inlineStr">
        <is>
          <t>20/07/2026</t>
        </is>
      </c>
      <c r="AE1077" t="inlineStr">
        <is>
          <t>31/07/2026</t>
        </is>
      </c>
      <c r="AF1077" t="inlineStr">
        <is>
          <t>Prazo premissa VALE</t>
        </is>
      </c>
    </row>
    <row r="1078">
      <c r="A1078">
        <v>1076</v>
      </c>
      <c r="B1078">
        <v>1</v>
      </c>
      <c r="C1078" t="inlineStr">
        <is>
          <t>1.3</t>
        </is>
      </c>
      <c r="D1078" t="inlineStr">
        <is>
          <t>C43</t>
        </is>
      </c>
      <c r="E1078" t="inlineStr">
        <is>
          <t>LE</t>
        </is>
      </c>
      <c r="F1078" t="inlineStr">
        <is>
          <t>EMPA</t>
        </is>
      </c>
      <c r="G1078" t="inlineStr">
        <is>
          <t>CLP-016</t>
        </is>
      </c>
      <c r="H1078" t="inlineStr">
        <is>
          <t>Protocolo</t>
        </is>
      </c>
      <c r="I1078">
        <v>4</v>
      </c>
      <c r="J1078" t="inlineStr">
        <is>
          <t>Terraplenagem</t>
        </is>
      </c>
      <c r="K1078" t="inlineStr">
        <is>
          <t>4.20</t>
        </is>
      </c>
      <c r="L1078" t="inlineStr">
        <is>
          <t>Taludes</t>
        </is>
      </c>
      <c r="M1078" t="inlineStr">
        <is>
          <t>Erosões</t>
        </is>
      </c>
      <c r="N1078" t="inlineStr">
        <is>
          <t>Presença de processos erosivos nos taludes</t>
        </is>
      </c>
      <c r="O1078" t="inlineStr">
        <is>
          <t>Tipo A</t>
        </is>
      </c>
      <c r="P1078" t="inlineStr">
        <is>
          <t>25+700</t>
        </is>
      </c>
      <c r="Q1078">
        <v>26500</v>
      </c>
      <c r="R1078" t="inlineStr">
        <is>
          <t>Aberta</t>
        </is>
      </c>
      <c r="T1078" t="inlineStr">
        <is>
          <t>Aline Batista</t>
        </is>
      </c>
      <c r="U1078" t="inlineStr">
        <is>
          <t>15/05/2026</t>
        </is>
      </c>
      <c r="V1078" t="inlineStr">
        <is>
          <t>22/05/2026</t>
        </is>
      </c>
      <c r="W1078">
        <v>19</v>
      </c>
      <c r="AA1078" t="inlineStr">
        <is>
          <t>Aberta -30 dias</t>
        </is>
      </c>
      <c r="AB1078" t="inlineStr">
        <is>
          <t>CT-REMANESCENTE</t>
        </is>
      </c>
      <c r="AC1078" t="inlineStr">
        <is>
          <t>Aline</t>
        </is>
      </c>
      <c r="AD1078" t="inlineStr">
        <is>
          <t>10/07/2026</t>
        </is>
      </c>
      <c r="AE1078" t="inlineStr">
        <is>
          <t>31/08/2026</t>
        </is>
      </c>
      <c r="AF1078" t="inlineStr">
        <is>
          <t>Prazo Premissa VALE</t>
        </is>
      </c>
    </row>
    <row r="1079">
      <c r="A1079">
        <v>1077</v>
      </c>
      <c r="B1079">
        <v>1</v>
      </c>
      <c r="C1079" t="inlineStr">
        <is>
          <t>1.3</t>
        </is>
      </c>
      <c r="D1079" t="inlineStr">
        <is>
          <t>C43</t>
        </is>
      </c>
      <c r="E1079" t="inlineStr">
        <is>
          <t>LD</t>
        </is>
      </c>
      <c r="F1079" t="inlineStr">
        <is>
          <t>EMPA</t>
        </is>
      </c>
      <c r="G1079" t="inlineStr">
        <is>
          <t>CLP-016</t>
        </is>
      </c>
      <c r="H1079" t="inlineStr">
        <is>
          <t>Protocolo</t>
        </is>
      </c>
      <c r="I1079">
        <v>4</v>
      </c>
      <c r="J1079" t="inlineStr">
        <is>
          <t>Terraplenagem</t>
        </is>
      </c>
      <c r="K1079" t="inlineStr">
        <is>
          <t>4.20</t>
        </is>
      </c>
      <c r="L1079" t="inlineStr">
        <is>
          <t>Talude</t>
        </is>
      </c>
      <c r="M1079" t="inlineStr">
        <is>
          <t>Erosões</t>
        </is>
      </c>
      <c r="N1079" t="inlineStr">
        <is>
          <t>Presença de erosões no talude do corte.</t>
        </is>
      </c>
      <c r="O1079" t="inlineStr">
        <is>
          <t>Tipo A</t>
        </is>
      </c>
      <c r="P1079" t="inlineStr">
        <is>
          <t>25+700</t>
        </is>
      </c>
      <c r="Q1079">
        <v>26100</v>
      </c>
      <c r="R1079" t="inlineStr">
        <is>
          <t>Aberta</t>
        </is>
      </c>
      <c r="T1079" t="inlineStr">
        <is>
          <t>Aline Batista</t>
        </is>
      </c>
      <c r="U1079" t="inlineStr">
        <is>
          <t>15/05/2026</t>
        </is>
      </c>
      <c r="V1079" t="inlineStr">
        <is>
          <t>22/05/2026</t>
        </is>
      </c>
      <c r="W1079">
        <v>19</v>
      </c>
      <c r="AA1079" t="inlineStr">
        <is>
          <t>Aberta -30 dias</t>
        </is>
      </c>
      <c r="AB1079" t="inlineStr">
        <is>
          <t>CT-REMANESCENTE</t>
        </is>
      </c>
      <c r="AC1079" t="inlineStr">
        <is>
          <t>Aline</t>
        </is>
      </c>
      <c r="AD1079" t="inlineStr">
        <is>
          <t>10/07/2026</t>
        </is>
      </c>
      <c r="AE1079" t="inlineStr">
        <is>
          <t>31/08/2026</t>
        </is>
      </c>
      <c r="AF1079" t="inlineStr">
        <is>
          <t>Prazo Premissa VALE</t>
        </is>
      </c>
    </row>
    <row r="1080">
      <c r="A1080">
        <v>1078</v>
      </c>
      <c r="B1080">
        <v>1</v>
      </c>
      <c r="C1080" t="inlineStr">
        <is>
          <t>1.2</t>
        </is>
      </c>
      <c r="D1080" t="inlineStr">
        <is>
          <t>C43</t>
        </is>
      </c>
      <c r="F1080" t="inlineStr">
        <is>
          <t>EMPA</t>
        </is>
      </c>
      <c r="G1080" t="inlineStr">
        <is>
          <t>CLP-016</t>
        </is>
      </c>
      <c r="H1080" t="inlineStr">
        <is>
          <t>Protocolo</t>
        </is>
      </c>
      <c r="I1080">
        <v>4</v>
      </c>
      <c r="J1080" t="inlineStr">
        <is>
          <t>Terraplenagem</t>
        </is>
      </c>
      <c r="K1080" t="inlineStr">
        <is>
          <t>4.20</t>
        </is>
      </c>
      <c r="L1080" t="inlineStr">
        <is>
          <t>Talude</t>
        </is>
      </c>
      <c r="M1080" t="inlineStr">
        <is>
          <t>Erosões</t>
        </is>
      </c>
      <c r="N1080" t="inlineStr">
        <is>
          <t>Processos erosivos e deslizamentos de taludes.</t>
        </is>
      </c>
      <c r="O1080" t="inlineStr">
        <is>
          <t>Tipo A</t>
        </is>
      </c>
      <c r="P1080" t="inlineStr">
        <is>
          <t>23+620</t>
        </is>
      </c>
      <c r="Q1080">
        <v>26420</v>
      </c>
      <c r="R1080" t="inlineStr">
        <is>
          <t>Aberta</t>
        </is>
      </c>
      <c r="T1080" t="inlineStr">
        <is>
          <t>Aline Batista</t>
        </is>
      </c>
      <c r="U1080" t="inlineStr">
        <is>
          <t>15/05/2026</t>
        </is>
      </c>
      <c r="V1080" t="inlineStr">
        <is>
          <t>22/05/2026</t>
        </is>
      </c>
      <c r="W1080">
        <v>19</v>
      </c>
      <c r="AA1080" t="inlineStr">
        <is>
          <t>Aberta -30 dias</t>
        </is>
      </c>
      <c r="AB1080" t="inlineStr">
        <is>
          <t>CT-REMANESCENTE</t>
        </is>
      </c>
      <c r="AC1080" t="inlineStr">
        <is>
          <t>Aline</t>
        </is>
      </c>
      <c r="AD1080" t="inlineStr">
        <is>
          <t>10/07/2026</t>
        </is>
      </c>
      <c r="AE1080" t="inlineStr">
        <is>
          <t>31/08/2026</t>
        </is>
      </c>
      <c r="AF1080" t="inlineStr">
        <is>
          <t>Prazo Premissa VALE</t>
        </is>
      </c>
    </row>
    <row r="1081">
      <c r="A1081">
        <v>1079</v>
      </c>
      <c r="B1081">
        <v>1</v>
      </c>
      <c r="C1081" t="inlineStr">
        <is>
          <t>1.2</t>
        </is>
      </c>
      <c r="D1081" t="inlineStr">
        <is>
          <t>C43</t>
        </is>
      </c>
      <c r="F1081" t="inlineStr">
        <is>
          <t>EMPA</t>
        </is>
      </c>
      <c r="G1081" t="inlineStr">
        <is>
          <t>CLP-016</t>
        </is>
      </c>
      <c r="H1081" t="inlineStr">
        <is>
          <t>Protocolo</t>
        </is>
      </c>
      <c r="I1081">
        <v>4</v>
      </c>
      <c r="J1081" t="inlineStr">
        <is>
          <t>Terraplenagem</t>
        </is>
      </c>
      <c r="K1081" t="inlineStr">
        <is>
          <t>4.20</t>
        </is>
      </c>
      <c r="L1081" t="inlineStr">
        <is>
          <t>Talude</t>
        </is>
      </c>
      <c r="M1081" t="inlineStr">
        <is>
          <t>Erosões</t>
        </is>
      </c>
      <c r="N1081" t="inlineStr">
        <is>
          <t>Plataforma não finalizada com deslizamentos.</t>
        </is>
      </c>
      <c r="O1081" t="inlineStr">
        <is>
          <t>Tipo A</t>
        </is>
      </c>
      <c r="P1081" t="inlineStr">
        <is>
          <t>23+620</t>
        </is>
      </c>
      <c r="Q1081">
        <v>26420</v>
      </c>
      <c r="R1081" t="inlineStr">
        <is>
          <t>Aberta</t>
        </is>
      </c>
      <c r="T1081" t="inlineStr">
        <is>
          <t>Aline Batista</t>
        </is>
      </c>
      <c r="U1081" t="inlineStr">
        <is>
          <t>15/05/2026</t>
        </is>
      </c>
      <c r="V1081" t="inlineStr">
        <is>
          <t>22/05/2026</t>
        </is>
      </c>
      <c r="W1081">
        <v>19</v>
      </c>
      <c r="AA1081" t="inlineStr">
        <is>
          <t>Aberta -30 dias</t>
        </is>
      </c>
      <c r="AB1081" t="inlineStr">
        <is>
          <t>CT-REMANESCENTE</t>
        </is>
      </c>
      <c r="AC1081" t="inlineStr">
        <is>
          <t>Aline</t>
        </is>
      </c>
      <c r="AD1081" t="inlineStr">
        <is>
          <t>10/07/2026</t>
        </is>
      </c>
      <c r="AE1081" t="inlineStr">
        <is>
          <t>31/08/2026</t>
        </is>
      </c>
      <c r="AF1081" t="inlineStr">
        <is>
          <t>Prazo Premissa VALE</t>
        </is>
      </c>
    </row>
    <row r="1082">
      <c r="A1082">
        <v>1080</v>
      </c>
      <c r="B1082">
        <v>1</v>
      </c>
      <c r="C1082" t="inlineStr">
        <is>
          <t>1.2</t>
        </is>
      </c>
      <c r="D1082" t="inlineStr">
        <is>
          <t>C43</t>
        </is>
      </c>
      <c r="F1082" t="inlineStr">
        <is>
          <t>EMPA</t>
        </is>
      </c>
      <c r="G1082" t="inlineStr">
        <is>
          <t>CLP-016</t>
        </is>
      </c>
      <c r="H1082" t="inlineStr">
        <is>
          <t>Manifestação</t>
        </is>
      </c>
      <c r="I1082">
        <v>4</v>
      </c>
      <c r="J1082" t="inlineStr">
        <is>
          <t>Terraplenagem</t>
        </is>
      </c>
      <c r="K1082" t="inlineStr">
        <is>
          <t>4.20</t>
        </is>
      </c>
      <c r="L1082" t="inlineStr">
        <is>
          <t>Talude</t>
        </is>
      </c>
      <c r="M1082" t="inlineStr">
        <is>
          <t>Assoreamento</t>
        </is>
      </c>
      <c r="N1082" t="inlineStr">
        <is>
          <t>Carreamento de material fora da faixa e erosões nos taludes da estrada de acesso.</t>
        </is>
      </c>
      <c r="O1082" t="inlineStr">
        <is>
          <t>Tipo A</t>
        </is>
      </c>
      <c r="P1082" t="inlineStr">
        <is>
          <t>25+364</t>
        </is>
      </c>
      <c r="Q1082" t="inlineStr">
        <is>
          <t>25+364</t>
        </is>
      </c>
      <c r="R1082" t="inlineStr">
        <is>
          <t>Aberta</t>
        </is>
      </c>
      <c r="T1082" t="inlineStr">
        <is>
          <t>Aline Batista</t>
        </is>
      </c>
      <c r="U1082" t="inlineStr">
        <is>
          <t>15/05/2026</t>
        </is>
      </c>
      <c r="V1082" t="inlineStr">
        <is>
          <t>22/05/2026</t>
        </is>
      </c>
      <c r="W1082">
        <v>19</v>
      </c>
      <c r="AA1082" t="inlineStr">
        <is>
          <t>Aberta -30 dias</t>
        </is>
      </c>
      <c r="AB1082" t="inlineStr">
        <is>
          <t>EMPA</t>
        </is>
      </c>
      <c r="AC1082" t="inlineStr">
        <is>
          <t>Aline</t>
        </is>
      </c>
      <c r="AD1082" t="inlineStr">
        <is>
          <t>20/07/2026</t>
        </is>
      </c>
      <c r="AE1082" t="inlineStr">
        <is>
          <t>31/07/2026</t>
        </is>
      </c>
      <c r="AF1082" t="inlineStr">
        <is>
          <t>Prazo premissa VALE</t>
        </is>
      </c>
    </row>
    <row r="1083">
      <c r="A1083">
        <v>1081</v>
      </c>
      <c r="B1083">
        <v>1</v>
      </c>
      <c r="C1083" t="inlineStr">
        <is>
          <t>1.2</t>
        </is>
      </c>
      <c r="D1083" t="inlineStr">
        <is>
          <t>C43</t>
        </is>
      </c>
      <c r="F1083" t="inlineStr">
        <is>
          <t>EMPA</t>
        </is>
      </c>
      <c r="G1083" t="inlineStr">
        <is>
          <t>CLP-016</t>
        </is>
      </c>
      <c r="H1083" t="inlineStr">
        <is>
          <t>Fiscalização</t>
        </is>
      </c>
      <c r="I1083">
        <v>4</v>
      </c>
      <c r="J1083" t="inlineStr">
        <is>
          <t>Terraplenagem</t>
        </is>
      </c>
      <c r="K1083" t="inlineStr">
        <is>
          <t>4.20</t>
        </is>
      </c>
      <c r="L1083" t="inlineStr">
        <is>
          <t>Talude</t>
        </is>
      </c>
      <c r="M1083" t="inlineStr">
        <is>
          <t>Erosões</t>
        </is>
      </c>
      <c r="N1083" t="inlineStr">
        <is>
          <t>Erosões graves em talude.</t>
        </is>
      </c>
      <c r="O1083" t="inlineStr">
        <is>
          <t>Tipo A</t>
        </is>
      </c>
      <c r="P1083" t="inlineStr">
        <is>
          <t>25+435</t>
        </is>
      </c>
      <c r="Q1083" t="inlineStr">
        <is>
          <t>25+435</t>
        </is>
      </c>
      <c r="R1083" t="inlineStr">
        <is>
          <t>Aberta</t>
        </is>
      </c>
      <c r="T1083" t="inlineStr">
        <is>
          <t>Aline Batista</t>
        </is>
      </c>
      <c r="U1083" t="inlineStr">
        <is>
          <t>15/05/2026</t>
        </is>
      </c>
      <c r="V1083" t="inlineStr">
        <is>
          <t>22/05/2026</t>
        </is>
      </c>
      <c r="W1083">
        <v>19</v>
      </c>
      <c r="AA1083" t="inlineStr">
        <is>
          <t>Aberta -30 dias</t>
        </is>
      </c>
      <c r="AB1083" t="inlineStr">
        <is>
          <t>CT-REMANESCENTE</t>
        </is>
      </c>
      <c r="AC1083" t="inlineStr">
        <is>
          <t>Aline</t>
        </is>
      </c>
      <c r="AD1083" t="inlineStr">
        <is>
          <t>10/07/2026</t>
        </is>
      </c>
      <c r="AE1083" t="inlineStr">
        <is>
          <t>31/08/2026</t>
        </is>
      </c>
      <c r="AF1083" t="inlineStr">
        <is>
          <t>Prazo Premissa VALE</t>
        </is>
      </c>
    </row>
    <row r="1084">
      <c r="A1084">
        <v>1082</v>
      </c>
      <c r="B1084">
        <v>1</v>
      </c>
      <c r="C1084" t="inlineStr">
        <is>
          <t>1.2</t>
        </is>
      </c>
      <c r="D1084" t="inlineStr">
        <is>
          <t>C43</t>
        </is>
      </c>
      <c r="F1084" t="inlineStr">
        <is>
          <t>EMPA</t>
        </is>
      </c>
      <c r="G1084" t="inlineStr">
        <is>
          <t>CLP-016</t>
        </is>
      </c>
      <c r="H1084" t="inlineStr">
        <is>
          <t>Implantação</t>
        </is>
      </c>
      <c r="I1084">
        <v>4</v>
      </c>
      <c r="J1084" t="inlineStr">
        <is>
          <t>Terraplenagem</t>
        </is>
      </c>
      <c r="K1084" t="inlineStr">
        <is>
          <t>4.20</t>
        </is>
      </c>
      <c r="L1084" t="inlineStr">
        <is>
          <t>Talude</t>
        </is>
      </c>
      <c r="M1084" t="inlineStr">
        <is>
          <t>Erosões</t>
        </is>
      </c>
      <c r="N1084" t="inlineStr">
        <is>
          <t>Erosões graves em talude.</t>
        </is>
      </c>
      <c r="O1084" t="inlineStr">
        <is>
          <t>Tipo A</t>
        </is>
      </c>
      <c r="P1084" t="inlineStr">
        <is>
          <t>25+500</t>
        </is>
      </c>
      <c r="Q1084" t="inlineStr">
        <is>
          <t>25+500</t>
        </is>
      </c>
      <c r="R1084" t="inlineStr">
        <is>
          <t>Aberta</t>
        </is>
      </c>
      <c r="T1084" t="inlineStr">
        <is>
          <t>Aline Batista</t>
        </is>
      </c>
      <c r="U1084" t="inlineStr">
        <is>
          <t>15/05/2026</t>
        </is>
      </c>
      <c r="V1084" t="inlineStr">
        <is>
          <t>22/05/2026</t>
        </is>
      </c>
      <c r="W1084">
        <v>19</v>
      </c>
      <c r="AA1084" t="inlineStr">
        <is>
          <t>Aberta -30 dias</t>
        </is>
      </c>
      <c r="AB1084" t="inlineStr">
        <is>
          <t>CT-REMANESCENTE</t>
        </is>
      </c>
      <c r="AC1084" t="inlineStr">
        <is>
          <t>Aline</t>
        </is>
      </c>
      <c r="AD1084" t="inlineStr">
        <is>
          <t>10/07/2026</t>
        </is>
      </c>
      <c r="AE1084" t="inlineStr">
        <is>
          <t>31/08/2026</t>
        </is>
      </c>
      <c r="AF1084" t="inlineStr">
        <is>
          <t>Prazo Premissa VALE</t>
        </is>
      </c>
    </row>
    <row r="1085">
      <c r="A1085">
        <v>1083</v>
      </c>
      <c r="B1085">
        <v>1</v>
      </c>
      <c r="C1085" t="inlineStr">
        <is>
          <t>1.2</t>
        </is>
      </c>
      <c r="D1085" t="inlineStr">
        <is>
          <t>C43</t>
        </is>
      </c>
      <c r="F1085" t="inlineStr">
        <is>
          <t>EMPA</t>
        </is>
      </c>
      <c r="G1085" t="inlineStr">
        <is>
          <t>CLP-016</t>
        </is>
      </c>
      <c r="H1085" t="inlineStr">
        <is>
          <t>Protocolo</t>
        </is>
      </c>
      <c r="I1085">
        <v>4</v>
      </c>
      <c r="J1085" t="inlineStr">
        <is>
          <t>Terraplenagem</t>
        </is>
      </c>
      <c r="K1085" t="inlineStr">
        <is>
          <t>4.20</t>
        </is>
      </c>
      <c r="L1085" t="inlineStr">
        <is>
          <t>Talude</t>
        </is>
      </c>
      <c r="M1085" t="inlineStr">
        <is>
          <t>Erosões</t>
        </is>
      </c>
      <c r="N1085" t="inlineStr">
        <is>
          <t>Deslizamento de talude.</t>
        </is>
      </c>
      <c r="O1085" t="inlineStr">
        <is>
          <t>Tipo A</t>
        </is>
      </c>
      <c r="P1085" t="inlineStr">
        <is>
          <t>25+650</t>
        </is>
      </c>
      <c r="Q1085" t="inlineStr">
        <is>
          <t>25+650</t>
        </is>
      </c>
      <c r="R1085" t="inlineStr">
        <is>
          <t>Aberta</t>
        </is>
      </c>
      <c r="T1085" t="inlineStr">
        <is>
          <t>Aline Batista</t>
        </is>
      </c>
      <c r="U1085" t="inlineStr">
        <is>
          <t>15/05/2026</t>
        </is>
      </c>
      <c r="V1085" t="inlineStr">
        <is>
          <t>22/05/2026</t>
        </is>
      </c>
      <c r="W1085">
        <v>19</v>
      </c>
      <c r="AA1085" t="inlineStr">
        <is>
          <t>Aberta -30 dias</t>
        </is>
      </c>
      <c r="AB1085" t="inlineStr">
        <is>
          <t>CT-REMANESCENTE</t>
        </is>
      </c>
      <c r="AC1085" t="inlineStr">
        <is>
          <t>Aline</t>
        </is>
      </c>
      <c r="AD1085" t="inlineStr">
        <is>
          <t>10/07/2026</t>
        </is>
      </c>
      <c r="AE1085" t="inlineStr">
        <is>
          <t>31/08/2026</t>
        </is>
      </c>
      <c r="AF1085" t="inlineStr">
        <is>
          <t>Prazo Premissa VALE</t>
        </is>
      </c>
    </row>
    <row r="1086">
      <c r="A1086">
        <v>1084</v>
      </c>
      <c r="B1086">
        <v>1</v>
      </c>
      <c r="C1086" t="inlineStr">
        <is>
          <t>1.2</t>
        </is>
      </c>
      <c r="D1086" t="inlineStr">
        <is>
          <t>C43</t>
        </is>
      </c>
      <c r="F1086" t="inlineStr">
        <is>
          <t>EMPA</t>
        </is>
      </c>
      <c r="G1086" t="inlineStr">
        <is>
          <t>CLP-016</t>
        </is>
      </c>
      <c r="H1086" t="inlineStr">
        <is>
          <t>Protocolo</t>
        </is>
      </c>
      <c r="I1086">
        <v>4</v>
      </c>
      <c r="J1086" t="inlineStr">
        <is>
          <t>Terraplenagem</t>
        </is>
      </c>
      <c r="K1086" t="inlineStr">
        <is>
          <t>4.20</t>
        </is>
      </c>
      <c r="L1086" t="inlineStr">
        <is>
          <t>Talude</t>
        </is>
      </c>
      <c r="M1086" t="inlineStr">
        <is>
          <t>Erosões</t>
        </is>
      </c>
      <c r="N1086" t="inlineStr">
        <is>
          <t>Deslizamento de talude.</t>
        </is>
      </c>
      <c r="O1086" t="inlineStr">
        <is>
          <t>Tipo A</t>
        </is>
      </c>
      <c r="P1086" t="inlineStr">
        <is>
          <t>25+690</t>
        </is>
      </c>
      <c r="Q1086" t="inlineStr">
        <is>
          <t>25+690</t>
        </is>
      </c>
      <c r="R1086" t="inlineStr">
        <is>
          <t>Aberta</t>
        </is>
      </c>
      <c r="T1086" t="inlineStr">
        <is>
          <t>Aline Batista</t>
        </is>
      </c>
      <c r="U1086" t="inlineStr">
        <is>
          <t>15/05/2026</t>
        </is>
      </c>
      <c r="V1086" t="inlineStr">
        <is>
          <t>22/05/2026</t>
        </is>
      </c>
      <c r="W1086">
        <v>19</v>
      </c>
      <c r="AA1086" t="inlineStr">
        <is>
          <t>Aberta -30 dias</t>
        </is>
      </c>
      <c r="AB1086" t="inlineStr">
        <is>
          <t>CT-REMANESCENTE</t>
        </is>
      </c>
      <c r="AC1086" t="inlineStr">
        <is>
          <t>Aline</t>
        </is>
      </c>
      <c r="AD1086" t="inlineStr">
        <is>
          <t>10/07/2026</t>
        </is>
      </c>
      <c r="AE1086" t="inlineStr">
        <is>
          <t>31/08/2026</t>
        </is>
      </c>
      <c r="AF1086" t="inlineStr">
        <is>
          <t>Prazo Premissa VALE</t>
        </is>
      </c>
    </row>
    <row r="1087">
      <c r="A1087">
        <v>1085</v>
      </c>
      <c r="B1087">
        <v>1</v>
      </c>
      <c r="C1087" t="inlineStr">
        <is>
          <t>1.2</t>
        </is>
      </c>
      <c r="D1087" t="inlineStr">
        <is>
          <t>GERAL</t>
        </is>
      </c>
      <c r="F1087" t="inlineStr">
        <is>
          <t>EMPA</t>
        </is>
      </c>
      <c r="G1087" t="inlineStr">
        <is>
          <t>CLP-016</t>
        </is>
      </c>
      <c r="H1087" t="inlineStr">
        <is>
          <t>Fiscalização</t>
        </is>
      </c>
      <c r="I1087">
        <v>4</v>
      </c>
      <c r="J1087" t="inlineStr">
        <is>
          <t>Terraplenagem</t>
        </is>
      </c>
      <c r="K1087" t="inlineStr">
        <is>
          <t>4.20</t>
        </is>
      </c>
      <c r="L1087" t="inlineStr">
        <is>
          <t>Talude</t>
        </is>
      </c>
      <c r="M1087" t="inlineStr">
        <is>
          <t>Revegetação/ Hidrossemeadura</t>
        </is>
      </c>
      <c r="N1087" t="inlineStr">
        <is>
          <t>Recomenda-se uma proteção mais eficiente das áreas com declive situadas entre os aterros/cortes e a cerca da faixa de domínio, principalmente no seg. 1.2, com objetivo de mitigar possíveis carreamentos de sedimentos para as propriedades lindeiras.</t>
        </is>
      </c>
      <c r="O1087" t="inlineStr">
        <is>
          <t>Tipo A</t>
        </is>
      </c>
      <c r="P1087" t="inlineStr">
        <is>
          <t>14+736</t>
        </is>
      </c>
      <c r="Q1087">
        <v>25536</v>
      </c>
      <c r="R1087" t="inlineStr">
        <is>
          <t>Aberta</t>
        </is>
      </c>
      <c r="T1087" t="inlineStr">
        <is>
          <t>Aline Batista</t>
        </is>
      </c>
      <c r="U1087" t="inlineStr">
        <is>
          <t>15/05/2026</t>
        </is>
      </c>
      <c r="V1087" t="inlineStr">
        <is>
          <t>22/05/2026</t>
        </is>
      </c>
      <c r="W1087">
        <v>19</v>
      </c>
      <c r="AA1087" t="inlineStr">
        <is>
          <t>Aberta -30 dias</t>
        </is>
      </c>
      <c r="AB1087" t="inlineStr">
        <is>
          <t>VALE</t>
        </is>
      </c>
      <c r="AC1087" t="inlineStr">
        <is>
          <t>Disley</t>
        </is>
      </c>
      <c r="AE1087" t="inlineStr">
        <is>
          <t>12/06/2026</t>
        </is>
      </c>
      <c r="AF1087" t="inlineStr">
        <is>
          <t>Qualidade ajustar a origem para Fiscalização / Meio Ambiente evidenciar que a recomendação sugerida está sendo atendida.</t>
        </is>
      </c>
    </row>
    <row r="1088">
      <c r="A1088">
        <v>1086</v>
      </c>
      <c r="B1088">
        <v>1</v>
      </c>
      <c r="C1088" t="inlineStr">
        <is>
          <t>1.2</t>
        </is>
      </c>
      <c r="D1088" t="inlineStr">
        <is>
          <t>A46</t>
        </is>
      </c>
      <c r="E1088" t="inlineStr">
        <is>
          <t>LE</t>
        </is>
      </c>
      <c r="F1088" t="inlineStr">
        <is>
          <t>EMPA</t>
        </is>
      </c>
      <c r="G1088" t="inlineStr">
        <is>
          <t>CLP-016</t>
        </is>
      </c>
      <c r="H1088" t="inlineStr">
        <is>
          <t>Protocolo</t>
        </is>
      </c>
      <c r="I1088">
        <v>4</v>
      </c>
      <c r="J1088" t="inlineStr">
        <is>
          <t>Terraplenagem</t>
        </is>
      </c>
      <c r="K1088" t="inlineStr">
        <is>
          <t>4.21</t>
        </is>
      </c>
      <c r="L1088" t="inlineStr">
        <is>
          <t>Plataforma</t>
        </is>
      </c>
      <c r="M1088" t="inlineStr">
        <is>
          <t>Material Solto</t>
        </is>
      </c>
      <c r="N1088" t="inlineStr">
        <is>
          <t>Desagregação de material do sublastro</t>
        </is>
      </c>
      <c r="O1088" t="inlineStr">
        <is>
          <t>Tipo A</t>
        </is>
      </c>
      <c r="P1088" t="inlineStr">
        <is>
          <t>23+240</t>
        </is>
      </c>
      <c r="Q1088">
        <v>24380</v>
      </c>
      <c r="R1088" t="inlineStr">
        <is>
          <t>Aberta</t>
        </is>
      </c>
      <c r="T1088" t="inlineStr">
        <is>
          <t>Aline Batista</t>
        </is>
      </c>
      <c r="U1088" t="inlineStr">
        <is>
          <t>15/05/2026</t>
        </is>
      </c>
      <c r="V1088" t="inlineStr">
        <is>
          <t>22/05/2026</t>
        </is>
      </c>
      <c r="W1088">
        <v>19</v>
      </c>
      <c r="AA1088" t="inlineStr">
        <is>
          <t>Aberta -30 dias</t>
        </is>
      </c>
      <c r="AB1088" t="inlineStr">
        <is>
          <t>EMPA</t>
        </is>
      </c>
      <c r="AC1088" t="inlineStr">
        <is>
          <t>Aline</t>
        </is>
      </c>
      <c r="AD1088" t="inlineStr">
        <is>
          <t>16/07/2026</t>
        </is>
      </c>
      <c r="AE1088" t="inlineStr">
        <is>
          <t>21/07/2026</t>
        </is>
      </c>
      <c r="AF1088" t="inlineStr">
        <is>
          <t>Prazo Premissa VALE</t>
        </is>
      </c>
    </row>
    <row r="1089">
      <c r="A1089">
        <v>1087</v>
      </c>
      <c r="B1089">
        <v>1</v>
      </c>
      <c r="C1089" t="inlineStr">
        <is>
          <t>1.2</t>
        </is>
      </c>
      <c r="D1089" t="inlineStr">
        <is>
          <t>A46</t>
        </is>
      </c>
      <c r="E1089" t="inlineStr">
        <is>
          <t>LD</t>
        </is>
      </c>
      <c r="F1089" t="inlineStr">
        <is>
          <t>EMPA</t>
        </is>
      </c>
      <c r="G1089" t="inlineStr">
        <is>
          <t>CLP-016</t>
        </is>
      </c>
      <c r="H1089" t="inlineStr">
        <is>
          <t>Protocolo</t>
        </is>
      </c>
      <c r="I1089">
        <v>4</v>
      </c>
      <c r="J1089" t="inlineStr">
        <is>
          <t>Terraplenagem</t>
        </is>
      </c>
      <c r="K1089" t="inlineStr">
        <is>
          <t>4.21</t>
        </is>
      </c>
      <c r="L1089" t="inlineStr">
        <is>
          <t>Plataforma</t>
        </is>
      </c>
      <c r="M1089" t="inlineStr">
        <is>
          <t>Desnível</t>
        </is>
      </c>
      <c r="N1089" t="inlineStr">
        <is>
          <t>Diferença de nível apresentada na plataforma com o  plano cotato já liberado.</t>
        </is>
      </c>
      <c r="O1089" t="inlineStr">
        <is>
          <t>Tipo A</t>
        </is>
      </c>
      <c r="P1089" t="inlineStr">
        <is>
          <t>23+350</t>
        </is>
      </c>
      <c r="Q1089">
        <v>23350</v>
      </c>
      <c r="R1089" t="inlineStr">
        <is>
          <t>Aberta</t>
        </is>
      </c>
      <c r="T1089" t="inlineStr">
        <is>
          <t>Aline Batista</t>
        </is>
      </c>
      <c r="U1089" t="inlineStr">
        <is>
          <t>15/05/2026</t>
        </is>
      </c>
      <c r="V1089" t="inlineStr">
        <is>
          <t>22/05/2026</t>
        </is>
      </c>
      <c r="W1089">
        <v>19</v>
      </c>
      <c r="AA1089" t="inlineStr">
        <is>
          <t>Aberta -30 dias</t>
        </is>
      </c>
      <c r="AB1089" t="inlineStr">
        <is>
          <t>EMPA</t>
        </is>
      </c>
      <c r="AC1089" t="inlineStr">
        <is>
          <t>Aline</t>
        </is>
      </c>
      <c r="AD1089" t="inlineStr">
        <is>
          <t>16/07/2026</t>
        </is>
      </c>
      <c r="AE1089" t="inlineStr">
        <is>
          <t>21/07/2026</t>
        </is>
      </c>
      <c r="AF1089" t="inlineStr">
        <is>
          <t>Prazo Premissa VALE</t>
        </is>
      </c>
    </row>
    <row r="1090">
      <c r="A1090">
        <v>1088</v>
      </c>
      <c r="B1090">
        <v>1</v>
      </c>
      <c r="C1090" t="inlineStr">
        <is>
          <t>1.2</t>
        </is>
      </c>
      <c r="D1090" t="inlineStr">
        <is>
          <t>A46</t>
        </is>
      </c>
      <c r="E1090" t="inlineStr">
        <is>
          <t>LD/LE</t>
        </is>
      </c>
      <c r="F1090" t="inlineStr">
        <is>
          <t>EMPA</t>
        </is>
      </c>
      <c r="G1090" t="inlineStr">
        <is>
          <t>CLP-016</t>
        </is>
      </c>
      <c r="H1090" t="inlineStr">
        <is>
          <t>Protocolo</t>
        </is>
      </c>
      <c r="I1090">
        <v>4</v>
      </c>
      <c r="J1090" t="inlineStr">
        <is>
          <t>Terraplenagem</t>
        </is>
      </c>
      <c r="K1090" t="inlineStr">
        <is>
          <t>4.22</t>
        </is>
      </c>
      <c r="L1090" t="inlineStr">
        <is>
          <t>Plataforma</t>
        </is>
      </c>
      <c r="M1090" t="inlineStr">
        <is>
          <t>Remoção sobrelargura</t>
        </is>
      </c>
      <c r="N1090" t="inlineStr">
        <is>
          <t>Pendente remoção de sobrelargura</t>
        </is>
      </c>
      <c r="O1090" t="inlineStr">
        <is>
          <t>Tipo A</t>
        </is>
      </c>
      <c r="P1090" t="inlineStr">
        <is>
          <t>23+230</t>
        </is>
      </c>
      <c r="Q1090">
        <v>23230</v>
      </c>
      <c r="R1090" t="inlineStr">
        <is>
          <t>Aberta</t>
        </is>
      </c>
      <c r="T1090" t="inlineStr">
        <is>
          <t>Aline Batista</t>
        </is>
      </c>
      <c r="U1090" t="inlineStr">
        <is>
          <t>15/05/2026</t>
        </is>
      </c>
      <c r="V1090" t="inlineStr">
        <is>
          <t>22/05/2026</t>
        </is>
      </c>
      <c r="W1090">
        <v>19</v>
      </c>
      <c r="AA1090" t="inlineStr">
        <is>
          <t>Aberta -30 dias</t>
        </is>
      </c>
      <c r="AB1090" t="inlineStr">
        <is>
          <t>EMPA</t>
        </is>
      </c>
      <c r="AC1090" t="inlineStr">
        <is>
          <t>Aline</t>
        </is>
      </c>
      <c r="AD1090" t="inlineStr">
        <is>
          <t>16/07/2026</t>
        </is>
      </c>
      <c r="AE1090" t="inlineStr">
        <is>
          <t>21/07/2026</t>
        </is>
      </c>
      <c r="AF1090" t="inlineStr">
        <is>
          <t>Prazo Premissa VALE</t>
        </is>
      </c>
    </row>
    <row r="1091">
      <c r="A1091">
        <v>1089</v>
      </c>
      <c r="B1091">
        <v>1</v>
      </c>
      <c r="C1091" t="inlineStr">
        <is>
          <t>1.2</t>
        </is>
      </c>
      <c r="D1091" t="inlineStr">
        <is>
          <t>A46</t>
        </is>
      </c>
      <c r="E1091" t="inlineStr">
        <is>
          <t>LE</t>
        </is>
      </c>
      <c r="F1091" t="inlineStr">
        <is>
          <t>EMPA</t>
        </is>
      </c>
      <c r="G1091" t="inlineStr">
        <is>
          <t>CLP-016</t>
        </is>
      </c>
      <c r="H1091" t="inlineStr">
        <is>
          <t>Protocolo</t>
        </is>
      </c>
      <c r="I1091">
        <v>4</v>
      </c>
      <c r="J1091" t="inlineStr">
        <is>
          <t>Terraplenagem</t>
        </is>
      </c>
      <c r="K1091" t="inlineStr">
        <is>
          <t>4.22</t>
        </is>
      </c>
      <c r="L1091" t="inlineStr">
        <is>
          <t>Talude</t>
        </is>
      </c>
      <c r="M1091" t="inlineStr">
        <is>
          <t>Conformação</t>
        </is>
      </c>
      <c r="N1091" t="inlineStr">
        <is>
          <t>Pendente escalonamento e execução da berma.</t>
        </is>
      </c>
      <c r="O1091" t="inlineStr">
        <is>
          <t>Tipo A</t>
        </is>
      </c>
      <c r="P1091" t="inlineStr">
        <is>
          <t>23+400</t>
        </is>
      </c>
      <c r="Q1091">
        <v>23400</v>
      </c>
      <c r="R1091" t="inlineStr">
        <is>
          <t>Aberta</t>
        </is>
      </c>
      <c r="T1091" t="inlineStr">
        <is>
          <t>Aline Batista</t>
        </is>
      </c>
      <c r="U1091" t="inlineStr">
        <is>
          <t>15/05/2026</t>
        </is>
      </c>
      <c r="V1091" t="inlineStr">
        <is>
          <t>22/05/2026</t>
        </is>
      </c>
      <c r="W1091">
        <v>19</v>
      </c>
      <c r="AA1091" t="inlineStr">
        <is>
          <t>Aberta -30 dias</t>
        </is>
      </c>
      <c r="AB1091" t="inlineStr">
        <is>
          <t>EMPA</t>
        </is>
      </c>
      <c r="AC1091" t="inlineStr">
        <is>
          <t>Aline</t>
        </is>
      </c>
      <c r="AD1091" t="inlineStr">
        <is>
          <t>16/07/2026</t>
        </is>
      </c>
      <c r="AE1091" t="inlineStr">
        <is>
          <t>21/07/2026</t>
        </is>
      </c>
      <c r="AF1091" t="inlineStr">
        <is>
          <t>Prazo Premissa VALE</t>
        </is>
      </c>
    </row>
    <row r="1092">
      <c r="A1092">
        <v>1090</v>
      </c>
      <c r="B1092">
        <v>1</v>
      </c>
      <c r="C1092" t="inlineStr">
        <is>
          <t>1.2</t>
        </is>
      </c>
      <c r="D1092" t="inlineStr">
        <is>
          <t>A46</t>
        </is>
      </c>
      <c r="E1092" t="inlineStr">
        <is>
          <t>LD</t>
        </is>
      </c>
      <c r="F1092" t="inlineStr">
        <is>
          <t>EMPA</t>
        </is>
      </c>
      <c r="G1092" t="inlineStr">
        <is>
          <t>CLP-016</t>
        </is>
      </c>
      <c r="H1092" t="inlineStr">
        <is>
          <t>Protocolo</t>
        </is>
      </c>
      <c r="I1092">
        <v>4</v>
      </c>
      <c r="J1092" t="inlineStr">
        <is>
          <t>Terraplenagem</t>
        </is>
      </c>
      <c r="K1092" t="inlineStr">
        <is>
          <t>4.22</t>
        </is>
      </c>
      <c r="L1092" t="inlineStr">
        <is>
          <t>Talude</t>
        </is>
      </c>
      <c r="M1092" t="inlineStr">
        <is>
          <t>Conformação</t>
        </is>
      </c>
      <c r="N1092" t="inlineStr">
        <is>
          <t>Pendente conformação do talude conforme geometria</t>
        </is>
      </c>
      <c r="O1092" t="inlineStr">
        <is>
          <t>Tipo A</t>
        </is>
      </c>
      <c r="P1092" t="inlineStr">
        <is>
          <t>23+250</t>
        </is>
      </c>
      <c r="Q1092">
        <v>23250</v>
      </c>
      <c r="R1092" t="inlineStr">
        <is>
          <t>Aberta</t>
        </is>
      </c>
      <c r="T1092" t="inlineStr">
        <is>
          <t>Aline Batista</t>
        </is>
      </c>
      <c r="U1092" t="inlineStr">
        <is>
          <t>15/05/2026</t>
        </is>
      </c>
      <c r="V1092" t="inlineStr">
        <is>
          <t>22/05/2026</t>
        </is>
      </c>
      <c r="W1092">
        <v>19</v>
      </c>
      <c r="AA1092" t="inlineStr">
        <is>
          <t>Aberta -30 dias</t>
        </is>
      </c>
      <c r="AB1092" t="inlineStr">
        <is>
          <t>EMPA</t>
        </is>
      </c>
      <c r="AC1092" t="inlineStr">
        <is>
          <t>Aline</t>
        </is>
      </c>
      <c r="AD1092" t="inlineStr">
        <is>
          <t>16/07/2026</t>
        </is>
      </c>
      <c r="AE1092" t="inlineStr">
        <is>
          <t>21/07/2026</t>
        </is>
      </c>
      <c r="AF1092" t="inlineStr">
        <is>
          <t>Prazo Premissa VALE</t>
        </is>
      </c>
    </row>
    <row r="1093">
      <c r="A1093">
        <v>1091</v>
      </c>
      <c r="B1093">
        <v>1</v>
      </c>
      <c r="C1093" t="inlineStr">
        <is>
          <t>1.2</t>
        </is>
      </c>
      <c r="D1093" t="inlineStr">
        <is>
          <t>C43</t>
        </is>
      </c>
      <c r="E1093" t="inlineStr">
        <is>
          <t>LD</t>
        </is>
      </c>
      <c r="F1093" t="inlineStr">
        <is>
          <t>EMPA</t>
        </is>
      </c>
      <c r="G1093" t="inlineStr">
        <is>
          <t>CLP-016</t>
        </is>
      </c>
      <c r="H1093" t="inlineStr">
        <is>
          <t>Protocolo</t>
        </is>
      </c>
      <c r="I1093">
        <v>4</v>
      </c>
      <c r="J1093" t="inlineStr">
        <is>
          <t>Terraplenagem</t>
        </is>
      </c>
      <c r="K1093" t="inlineStr">
        <is>
          <t>4.22</t>
        </is>
      </c>
      <c r="L1093" t="inlineStr">
        <is>
          <t>Talude</t>
        </is>
      </c>
      <c r="M1093" t="inlineStr">
        <is>
          <t>Inclinação</t>
        </is>
      </c>
      <c r="N1093" t="inlineStr">
        <is>
          <t>Banqueta com verticalização do pé do talude.</t>
        </is>
      </c>
      <c r="O1093" t="inlineStr">
        <is>
          <t>Tipo A</t>
        </is>
      </c>
      <c r="P1093" t="inlineStr">
        <is>
          <t>25+040</t>
        </is>
      </c>
      <c r="Q1093">
        <v>25040</v>
      </c>
      <c r="R1093" t="inlineStr">
        <is>
          <t>Aberta</t>
        </is>
      </c>
      <c r="T1093" t="inlineStr">
        <is>
          <t>Aline Batista</t>
        </is>
      </c>
      <c r="U1093" t="inlineStr">
        <is>
          <t>15/05/2026</t>
        </is>
      </c>
      <c r="V1093" t="inlineStr">
        <is>
          <t>22/05/2026</t>
        </is>
      </c>
      <c r="W1093">
        <v>19</v>
      </c>
      <c r="AA1093" t="inlineStr">
        <is>
          <t>Aberta -30 dias</t>
        </is>
      </c>
      <c r="AB1093" t="inlineStr">
        <is>
          <t>EMPA</t>
        </is>
      </c>
      <c r="AC1093" t="inlineStr">
        <is>
          <t>Aline</t>
        </is>
      </c>
      <c r="AD1093" t="inlineStr">
        <is>
          <t>20/07/2026</t>
        </is>
      </c>
      <c r="AE1093" t="inlineStr">
        <is>
          <t>31/07/2026</t>
        </is>
      </c>
      <c r="AF1093" t="inlineStr">
        <is>
          <t>Prazo premissa VALE</t>
        </is>
      </c>
    </row>
    <row r="1094">
      <c r="A1094">
        <v>1092</v>
      </c>
      <c r="B1094">
        <v>1</v>
      </c>
      <c r="C1094" t="inlineStr">
        <is>
          <t>1.2</t>
        </is>
      </c>
      <c r="D1094" t="inlineStr">
        <is>
          <t>A46</t>
        </is>
      </c>
      <c r="E1094" t="inlineStr">
        <is>
          <t>LD/LE</t>
        </is>
      </c>
      <c r="F1094" t="inlineStr">
        <is>
          <t>EMPA</t>
        </is>
      </c>
      <c r="G1094" t="inlineStr">
        <is>
          <t>CLP-016</t>
        </is>
      </c>
      <c r="H1094" t="inlineStr">
        <is>
          <t>Protocolo</t>
        </is>
      </c>
      <c r="I1094">
        <v>4</v>
      </c>
      <c r="J1094" t="inlineStr">
        <is>
          <t>Terraplenagem</t>
        </is>
      </c>
      <c r="K1094" t="inlineStr">
        <is>
          <t>4.22</t>
        </is>
      </c>
      <c r="L1094" t="inlineStr">
        <is>
          <t>Talude</t>
        </is>
      </c>
      <c r="M1094" t="inlineStr">
        <is>
          <t>Conformação</t>
        </is>
      </c>
      <c r="N1094" t="inlineStr">
        <is>
          <t>Pendente conformação de talude e aplicação de hidrossemeadura.</t>
        </is>
      </c>
      <c r="O1094" t="inlineStr">
        <is>
          <t>Tipo A</t>
        </is>
      </c>
      <c r="P1094" t="inlineStr">
        <is>
          <t>23+000</t>
        </is>
      </c>
      <c r="Q1094">
        <v>23000</v>
      </c>
      <c r="R1094" t="inlineStr">
        <is>
          <t>Aberta</t>
        </is>
      </c>
      <c r="T1094" t="inlineStr">
        <is>
          <t>Aline Batista</t>
        </is>
      </c>
      <c r="U1094" t="inlineStr">
        <is>
          <t>15/05/2026</t>
        </is>
      </c>
      <c r="V1094" t="inlineStr">
        <is>
          <t>22/05/2026</t>
        </is>
      </c>
      <c r="W1094">
        <v>19</v>
      </c>
      <c r="AA1094" t="inlineStr">
        <is>
          <t>Aberta -30 dias</t>
        </is>
      </c>
      <c r="AB1094" t="inlineStr">
        <is>
          <t>EMPA</t>
        </is>
      </c>
      <c r="AC1094" t="inlineStr">
        <is>
          <t>Aline</t>
        </is>
      </c>
      <c r="AD1094" t="inlineStr">
        <is>
          <t>16/07/2026</t>
        </is>
      </c>
      <c r="AE1094" t="inlineStr">
        <is>
          <t>21/07/2026</t>
        </is>
      </c>
      <c r="AF1094" t="inlineStr">
        <is>
          <t>Prazo Premissa VALE</t>
        </is>
      </c>
    </row>
    <row r="1095">
      <c r="A1095">
        <v>1093</v>
      </c>
      <c r="B1095">
        <v>1</v>
      </c>
      <c r="C1095" t="inlineStr">
        <is>
          <t>1.2</t>
        </is>
      </c>
      <c r="D1095" t="inlineStr">
        <is>
          <t>A46</t>
        </is>
      </c>
      <c r="E1095" t="inlineStr">
        <is>
          <t>LE</t>
        </is>
      </c>
      <c r="F1095" t="inlineStr">
        <is>
          <t>EMPA</t>
        </is>
      </c>
      <c r="G1095" t="inlineStr">
        <is>
          <t>CLP-016</t>
        </is>
      </c>
      <c r="H1095" t="inlineStr">
        <is>
          <t>Protocolo</t>
        </is>
      </c>
      <c r="I1095">
        <v>4</v>
      </c>
      <c r="J1095" t="inlineStr">
        <is>
          <t>Terraplenagem</t>
        </is>
      </c>
      <c r="K1095" t="inlineStr">
        <is>
          <t>4.22</t>
        </is>
      </c>
      <c r="L1095" t="inlineStr">
        <is>
          <t>Talude</t>
        </is>
      </c>
      <c r="M1095" t="inlineStr">
        <is>
          <t>Conformação</t>
        </is>
      </c>
      <c r="N1095" t="inlineStr">
        <is>
          <t>Pendente conformação de talude e aplicação de hidrossemeadura.</t>
        </is>
      </c>
      <c r="O1095" t="inlineStr">
        <is>
          <t>Tipo A</t>
        </is>
      </c>
      <c r="P1095" t="inlineStr">
        <is>
          <t>23+400</t>
        </is>
      </c>
      <c r="Q1095">
        <v>23400</v>
      </c>
      <c r="R1095" t="inlineStr">
        <is>
          <t>Aberta</t>
        </is>
      </c>
      <c r="T1095" t="inlineStr">
        <is>
          <t>Aline Batista</t>
        </is>
      </c>
      <c r="U1095" t="inlineStr">
        <is>
          <t>15/05/2026</t>
        </is>
      </c>
      <c r="V1095" t="inlineStr">
        <is>
          <t>22/05/2026</t>
        </is>
      </c>
      <c r="W1095">
        <v>19</v>
      </c>
      <c r="AA1095" t="inlineStr">
        <is>
          <t>Aberta -30 dias</t>
        </is>
      </c>
      <c r="AB1095" t="inlineStr">
        <is>
          <t>EMPA</t>
        </is>
      </c>
      <c r="AC1095" t="inlineStr">
        <is>
          <t>Aline</t>
        </is>
      </c>
      <c r="AD1095" t="inlineStr">
        <is>
          <t>16/07/2026</t>
        </is>
      </c>
      <c r="AE1095" t="inlineStr">
        <is>
          <t>21/07/2026</t>
        </is>
      </c>
      <c r="AF1095" t="inlineStr">
        <is>
          <t>Prazo Premissa VALE</t>
        </is>
      </c>
    </row>
    <row r="1096">
      <c r="A1096">
        <v>1094</v>
      </c>
      <c r="B1096">
        <v>1</v>
      </c>
      <c r="C1096" t="inlineStr">
        <is>
          <t>1.2</t>
        </is>
      </c>
      <c r="D1096" t="inlineStr">
        <is>
          <t>A46</t>
        </is>
      </c>
      <c r="E1096" t="inlineStr">
        <is>
          <t>LE</t>
        </is>
      </c>
      <c r="F1096" t="inlineStr">
        <is>
          <t>EMPA</t>
        </is>
      </c>
      <c r="G1096" t="inlineStr">
        <is>
          <t>CLP-016</t>
        </is>
      </c>
      <c r="H1096" t="inlineStr">
        <is>
          <t>Protocolo</t>
        </is>
      </c>
      <c r="I1096">
        <v>4</v>
      </c>
      <c r="J1096" t="inlineStr">
        <is>
          <t>Terraplenagem</t>
        </is>
      </c>
      <c r="K1096" t="inlineStr">
        <is>
          <t>4.22</t>
        </is>
      </c>
      <c r="L1096" t="inlineStr">
        <is>
          <t>Talude</t>
        </is>
      </c>
      <c r="M1096" t="inlineStr">
        <is>
          <t>Conformação</t>
        </is>
      </c>
      <c r="N1096" t="inlineStr">
        <is>
          <t>Pendente conformação de talude e aplicação de hidrossemeadura.</t>
        </is>
      </c>
      <c r="O1096" t="inlineStr">
        <is>
          <t>Tipo A</t>
        </is>
      </c>
      <c r="P1096" t="inlineStr">
        <is>
          <t>24+550</t>
        </is>
      </c>
      <c r="Q1096">
        <v>24550</v>
      </c>
      <c r="R1096" t="inlineStr">
        <is>
          <t>Aberta</t>
        </is>
      </c>
      <c r="T1096" t="inlineStr">
        <is>
          <t>Aline Batista</t>
        </is>
      </c>
      <c r="U1096" t="inlineStr">
        <is>
          <t>15/05/2026</t>
        </is>
      </c>
      <c r="V1096" t="inlineStr">
        <is>
          <t>22/05/2026</t>
        </is>
      </c>
      <c r="W1096">
        <v>19</v>
      </c>
      <c r="AA1096" t="inlineStr">
        <is>
          <t>Aberta -30 dias</t>
        </is>
      </c>
      <c r="AB1096" t="inlineStr">
        <is>
          <t>EMPA</t>
        </is>
      </c>
      <c r="AC1096" t="inlineStr">
        <is>
          <t>Aline</t>
        </is>
      </c>
      <c r="AD1096" t="inlineStr">
        <is>
          <t>20/07/2026</t>
        </is>
      </c>
      <c r="AE1096" t="inlineStr">
        <is>
          <t>31/07/2026</t>
        </is>
      </c>
      <c r="AF1096" t="inlineStr">
        <is>
          <t>Prazo premissa VALE</t>
        </is>
      </c>
    </row>
    <row r="1097">
      <c r="A1097">
        <v>1095</v>
      </c>
      <c r="B1097">
        <v>1</v>
      </c>
      <c r="C1097" t="inlineStr">
        <is>
          <t>1.2</t>
        </is>
      </c>
      <c r="D1097" t="inlineStr">
        <is>
          <t>A46</t>
        </is>
      </c>
      <c r="E1097" t="inlineStr">
        <is>
          <t>LD</t>
        </is>
      </c>
      <c r="F1097" t="inlineStr">
        <is>
          <t>EMPA</t>
        </is>
      </c>
      <c r="G1097" t="inlineStr">
        <is>
          <t>CLP-016</t>
        </is>
      </c>
      <c r="H1097" t="inlineStr">
        <is>
          <t>Protocolo</t>
        </is>
      </c>
      <c r="I1097">
        <v>4</v>
      </c>
      <c r="J1097" t="inlineStr">
        <is>
          <t>Terraplenagem</t>
        </is>
      </c>
      <c r="K1097" t="inlineStr">
        <is>
          <t>4.22</t>
        </is>
      </c>
      <c r="L1097" t="inlineStr">
        <is>
          <t>Talude</t>
        </is>
      </c>
      <c r="M1097" t="inlineStr">
        <is>
          <t>Conformação</t>
        </is>
      </c>
      <c r="N1097" t="inlineStr">
        <is>
          <t>Talude de banqueta não conformado, necessário aplicação de hidrossemeadura.</t>
        </is>
      </c>
      <c r="O1097" t="inlineStr">
        <is>
          <t>Tipo A</t>
        </is>
      </c>
      <c r="P1097" t="inlineStr">
        <is>
          <t>23+210</t>
        </is>
      </c>
      <c r="Q1097">
        <v>23340</v>
      </c>
      <c r="R1097" t="inlineStr">
        <is>
          <t>Aberta</t>
        </is>
      </c>
      <c r="T1097" t="inlineStr">
        <is>
          <t>Aline Batista</t>
        </is>
      </c>
      <c r="U1097" t="inlineStr">
        <is>
          <t>15/05/2026</t>
        </is>
      </c>
      <c r="V1097" t="inlineStr">
        <is>
          <t>22/05/2026</t>
        </is>
      </c>
      <c r="W1097">
        <v>19</v>
      </c>
      <c r="AA1097" t="inlineStr">
        <is>
          <t>Aberta -30 dias</t>
        </is>
      </c>
      <c r="AB1097" t="inlineStr">
        <is>
          <t>EMPA</t>
        </is>
      </c>
      <c r="AC1097" t="inlineStr">
        <is>
          <t>Aline</t>
        </is>
      </c>
      <c r="AD1097" t="inlineStr">
        <is>
          <t>16/07/2026</t>
        </is>
      </c>
      <c r="AE1097" t="inlineStr">
        <is>
          <t>21/07/2026</t>
        </is>
      </c>
      <c r="AF1097" t="inlineStr">
        <is>
          <t>Prazo Premissa VALE</t>
        </is>
      </c>
    </row>
    <row r="1098">
      <c r="A1098">
        <v>1096</v>
      </c>
      <c r="B1098">
        <v>1</v>
      </c>
      <c r="C1098" t="inlineStr">
        <is>
          <t>1.2</t>
        </is>
      </c>
      <c r="D1098" t="inlineStr">
        <is>
          <t>A46</t>
        </is>
      </c>
      <c r="E1098" t="inlineStr">
        <is>
          <t>LD</t>
        </is>
      </c>
      <c r="F1098" t="inlineStr">
        <is>
          <t>EMPA</t>
        </is>
      </c>
      <c r="G1098" t="inlineStr">
        <is>
          <t>CLP-016</t>
        </is>
      </c>
      <c r="H1098" t="inlineStr">
        <is>
          <t>Protocolo</t>
        </is>
      </c>
      <c r="I1098">
        <v>4</v>
      </c>
      <c r="J1098" t="inlineStr">
        <is>
          <t>Terraplenagem</t>
        </is>
      </c>
      <c r="K1098" t="inlineStr">
        <is>
          <t>4.22</t>
        </is>
      </c>
      <c r="L1098" t="inlineStr">
        <is>
          <t>Talude</t>
        </is>
      </c>
      <c r="M1098" t="inlineStr">
        <is>
          <t>Inclinação</t>
        </is>
      </c>
      <c r="N1098" t="inlineStr">
        <is>
          <t>Verificado irregularidades na inclinação do talude do aterro e/ou presença de sobrelargura.</t>
        </is>
      </c>
      <c r="O1098" t="inlineStr">
        <is>
          <t>Tipo A</t>
        </is>
      </c>
      <c r="P1098" t="inlineStr">
        <is>
          <t>23+300</t>
        </is>
      </c>
      <c r="Q1098">
        <v>23300</v>
      </c>
      <c r="R1098" t="inlineStr">
        <is>
          <t>Aberta</t>
        </is>
      </c>
      <c r="T1098" t="inlineStr">
        <is>
          <t>Aline Batista</t>
        </is>
      </c>
      <c r="U1098" t="inlineStr">
        <is>
          <t>15/05/2026</t>
        </is>
      </c>
      <c r="V1098" t="inlineStr">
        <is>
          <t>22/05/2026</t>
        </is>
      </c>
      <c r="W1098">
        <v>19</v>
      </c>
      <c r="AA1098" t="inlineStr">
        <is>
          <t>Aberta -30 dias</t>
        </is>
      </c>
      <c r="AB1098" t="inlineStr">
        <is>
          <t>EMPA</t>
        </is>
      </c>
      <c r="AC1098" t="inlineStr">
        <is>
          <t>Aline</t>
        </is>
      </c>
      <c r="AD1098" t="inlineStr">
        <is>
          <t>22/07/2026</t>
        </is>
      </c>
      <c r="AE1098" t="inlineStr">
        <is>
          <t>29/07/2026</t>
        </is>
      </c>
      <c r="AF1098" t="inlineStr">
        <is>
          <t>Prazo Premissa VALE</t>
        </is>
      </c>
    </row>
    <row r="1099">
      <c r="A1099">
        <v>1097</v>
      </c>
      <c r="B1099">
        <v>1</v>
      </c>
      <c r="C1099" t="inlineStr">
        <is>
          <t>1.2</t>
        </is>
      </c>
      <c r="D1099" t="inlineStr">
        <is>
          <t>A46</t>
        </is>
      </c>
      <c r="E1099" t="inlineStr">
        <is>
          <t>LD/LE</t>
        </is>
      </c>
      <c r="F1099" t="inlineStr">
        <is>
          <t>EMPA</t>
        </is>
      </c>
      <c r="G1099" t="inlineStr">
        <is>
          <t>CLP-016</t>
        </is>
      </c>
      <c r="H1099" t="inlineStr">
        <is>
          <t>Protocolo</t>
        </is>
      </c>
      <c r="I1099">
        <v>4</v>
      </c>
      <c r="J1099" t="inlineStr">
        <is>
          <t>Terraplenagem</t>
        </is>
      </c>
      <c r="K1099" t="inlineStr">
        <is>
          <t>4.22</t>
        </is>
      </c>
      <c r="L1099" t="inlineStr">
        <is>
          <t>Talude</t>
        </is>
      </c>
      <c r="M1099" t="inlineStr">
        <is>
          <t>Conformação</t>
        </is>
      </c>
      <c r="N1099" t="inlineStr">
        <is>
          <t>Ausência de conformação no talude e aplicação de hidrossemeadura.</t>
        </is>
      </c>
      <c r="O1099" t="inlineStr">
        <is>
          <t>Tipo A</t>
        </is>
      </c>
      <c r="P1099" t="inlineStr">
        <is>
          <t>23+200</t>
        </is>
      </c>
      <c r="Q1099">
        <v>23200</v>
      </c>
      <c r="R1099" t="inlineStr">
        <is>
          <t>Aberta</t>
        </is>
      </c>
      <c r="T1099" t="inlineStr">
        <is>
          <t>Aline Batista</t>
        </is>
      </c>
      <c r="U1099" t="inlineStr">
        <is>
          <t>15/05/2026</t>
        </is>
      </c>
      <c r="V1099" t="inlineStr">
        <is>
          <t>22/05/2026</t>
        </is>
      </c>
      <c r="W1099">
        <v>19</v>
      </c>
      <c r="AA1099" t="inlineStr">
        <is>
          <t>Aberta -30 dias</t>
        </is>
      </c>
      <c r="AB1099" t="inlineStr">
        <is>
          <t>EMPA</t>
        </is>
      </c>
      <c r="AC1099" t="inlineStr">
        <is>
          <t>Aline</t>
        </is>
      </c>
      <c r="AD1099" t="inlineStr">
        <is>
          <t>22/07/2026</t>
        </is>
      </c>
      <c r="AE1099" t="inlineStr">
        <is>
          <t>29/07/2026</t>
        </is>
      </c>
      <c r="AF1099" t="inlineStr">
        <is>
          <t>Prazo Premissa VALE</t>
        </is>
      </c>
    </row>
    <row r="1100">
      <c r="A1100">
        <v>1098</v>
      </c>
      <c r="B1100">
        <v>1</v>
      </c>
      <c r="C1100" t="inlineStr">
        <is>
          <t>1.2</t>
        </is>
      </c>
      <c r="D1100" t="inlineStr">
        <is>
          <t>C43</t>
        </is>
      </c>
      <c r="E1100" t="inlineStr">
        <is>
          <t>LD</t>
        </is>
      </c>
      <c r="F1100" t="inlineStr">
        <is>
          <t>EMPA</t>
        </is>
      </c>
      <c r="G1100" t="inlineStr">
        <is>
          <t>CLP-016</t>
        </is>
      </c>
      <c r="H1100" t="inlineStr">
        <is>
          <t>Protocolo</t>
        </is>
      </c>
      <c r="I1100">
        <v>4</v>
      </c>
      <c r="J1100" t="inlineStr">
        <is>
          <t>Terraplenagem</t>
        </is>
      </c>
      <c r="K1100" t="inlineStr">
        <is>
          <t>4.23</t>
        </is>
      </c>
      <c r="L1100" t="inlineStr">
        <is>
          <t>TDP</t>
        </is>
      </c>
      <c r="M1100" t="inlineStr">
        <is>
          <t>Dispositivo não executado</t>
        </is>
      </c>
      <c r="N1100" t="inlineStr">
        <is>
          <t>Pendência de execução de TDP a jusante do dreno profundo.</t>
        </is>
      </c>
      <c r="O1100" t="inlineStr">
        <is>
          <t>Tipo A</t>
        </is>
      </c>
      <c r="P1100" t="inlineStr">
        <is>
          <t>25+530</t>
        </is>
      </c>
      <c r="Q1100">
        <v>25530</v>
      </c>
      <c r="R1100" t="inlineStr">
        <is>
          <t>Aberta</t>
        </is>
      </c>
      <c r="T1100" t="inlineStr">
        <is>
          <t>Aline Batista</t>
        </is>
      </c>
      <c r="U1100" t="inlineStr">
        <is>
          <t>15/05/2026</t>
        </is>
      </c>
      <c r="V1100" t="inlineStr">
        <is>
          <t>22/05/2026</t>
        </is>
      </c>
      <c r="W1100">
        <v>19</v>
      </c>
      <c r="AA1100" t="inlineStr">
        <is>
          <t>Aberta -30 dias</t>
        </is>
      </c>
      <c r="AB1100" t="inlineStr">
        <is>
          <t>EMPA</t>
        </is>
      </c>
      <c r="AC1100" t="inlineStr">
        <is>
          <t>Aline</t>
        </is>
      </c>
      <c r="AD1100" t="inlineStr">
        <is>
          <t>20/07/2026</t>
        </is>
      </c>
      <c r="AE1100" t="inlineStr">
        <is>
          <t>31/07/2026</t>
        </is>
      </c>
      <c r="AF1100" t="inlineStr">
        <is>
          <t>Prazo premissa VALE</t>
        </is>
      </c>
    </row>
    <row r="1101">
      <c r="A1101">
        <v>1099</v>
      </c>
      <c r="B1101">
        <v>1</v>
      </c>
      <c r="C1101" t="inlineStr">
        <is>
          <t>1.2</t>
        </is>
      </c>
      <c r="D1101" t="inlineStr">
        <is>
          <t>A46</t>
        </is>
      </c>
      <c r="E1101" t="inlineStr">
        <is>
          <t>LD/LE</t>
        </is>
      </c>
      <c r="F1101" t="inlineStr">
        <is>
          <t>EMPA</t>
        </is>
      </c>
      <c r="G1101" t="inlineStr">
        <is>
          <t>CLP-016</t>
        </is>
      </c>
      <c r="H1101" t="inlineStr">
        <is>
          <t>Protocolo</t>
        </is>
      </c>
      <c r="I1101">
        <v>4</v>
      </c>
      <c r="J1101" t="inlineStr">
        <is>
          <t>Terraplenagem</t>
        </is>
      </c>
      <c r="K1101" t="inlineStr">
        <is>
          <t>4.23</t>
        </is>
      </c>
      <c r="L1101" t="inlineStr">
        <is>
          <t>Dreno profundo</t>
        </is>
      </c>
      <c r="M1101" t="inlineStr">
        <is>
          <t>Dispositivo não executado</t>
        </is>
      </c>
      <c r="N1101" t="inlineStr">
        <is>
          <t>Pendente as instalação das saídas de dreno.</t>
        </is>
      </c>
      <c r="O1101" t="inlineStr">
        <is>
          <t>Tipo A</t>
        </is>
      </c>
      <c r="P1101" t="inlineStr">
        <is>
          <t>23+000</t>
        </is>
      </c>
      <c r="Q1101">
        <v>23000</v>
      </c>
      <c r="R1101" t="inlineStr">
        <is>
          <t>Aberta</t>
        </is>
      </c>
      <c r="T1101" t="inlineStr">
        <is>
          <t>Aline Batista</t>
        </is>
      </c>
      <c r="U1101" t="inlineStr">
        <is>
          <t>15/05/2026</t>
        </is>
      </c>
      <c r="V1101" t="inlineStr">
        <is>
          <t>22/05/2026</t>
        </is>
      </c>
      <c r="W1101">
        <v>19</v>
      </c>
      <c r="AA1101" t="inlineStr">
        <is>
          <t>Aberta -30 dias</t>
        </is>
      </c>
      <c r="AB1101" t="inlineStr">
        <is>
          <t>EMPA</t>
        </is>
      </c>
      <c r="AC1101" t="inlineStr">
        <is>
          <t>Aline</t>
        </is>
      </c>
      <c r="AD1101" t="inlineStr">
        <is>
          <t>22/07/2026</t>
        </is>
      </c>
      <c r="AE1101" t="inlineStr">
        <is>
          <t>29/07/2026</t>
        </is>
      </c>
      <c r="AF1101" t="inlineStr">
        <is>
          <t>Prazo Premissa VALE</t>
        </is>
      </c>
    </row>
    <row r="1102">
      <c r="A1102">
        <v>1100</v>
      </c>
      <c r="B1102">
        <v>1</v>
      </c>
      <c r="C1102" t="inlineStr">
        <is>
          <t>1.2</t>
        </is>
      </c>
      <c r="D1102" t="inlineStr">
        <is>
          <t>A46</t>
        </is>
      </c>
      <c r="E1102" t="inlineStr">
        <is>
          <t>LD</t>
        </is>
      </c>
      <c r="F1102" t="inlineStr">
        <is>
          <t>EMPA</t>
        </is>
      </c>
      <c r="G1102" t="inlineStr">
        <is>
          <t>CLP-016</t>
        </is>
      </c>
      <c r="H1102" t="inlineStr">
        <is>
          <t>Protocolo</t>
        </is>
      </c>
      <c r="I1102">
        <v>4</v>
      </c>
      <c r="J1102" t="inlineStr">
        <is>
          <t>Terraplenagem</t>
        </is>
      </c>
      <c r="K1102" t="inlineStr">
        <is>
          <t>4.24</t>
        </is>
      </c>
      <c r="L1102" t="inlineStr">
        <is>
          <t>Acesso</t>
        </is>
      </c>
      <c r="M1102" t="inlineStr">
        <is>
          <t>Erosões</t>
        </is>
      </c>
      <c r="N1102" t="inlineStr">
        <is>
          <t>Caminho de serviço não recuperado, presença de processos erosivos.</t>
        </is>
      </c>
      <c r="O1102" t="inlineStr">
        <is>
          <t>Tipo A</t>
        </is>
      </c>
      <c r="P1102" t="inlineStr">
        <is>
          <t>23+200</t>
        </is>
      </c>
      <c r="Q1102">
        <v>23220</v>
      </c>
      <c r="R1102" t="inlineStr">
        <is>
          <t>Aberta</t>
        </is>
      </c>
      <c r="T1102" t="inlineStr">
        <is>
          <t>Aline Batista</t>
        </is>
      </c>
      <c r="U1102" t="inlineStr">
        <is>
          <t>15/05/2026</t>
        </is>
      </c>
      <c r="V1102" t="inlineStr">
        <is>
          <t>22/05/2026</t>
        </is>
      </c>
      <c r="W1102">
        <v>19</v>
      </c>
      <c r="AA1102" t="inlineStr">
        <is>
          <t>Aberta -30 dias</t>
        </is>
      </c>
      <c r="AB1102" t="inlineStr">
        <is>
          <t>EMPA</t>
        </is>
      </c>
      <c r="AC1102" t="inlineStr">
        <is>
          <t>Aline</t>
        </is>
      </c>
      <c r="AD1102" t="inlineStr">
        <is>
          <t>22/07/2026</t>
        </is>
      </c>
      <c r="AE1102" t="inlineStr">
        <is>
          <t>29/07/2026</t>
        </is>
      </c>
      <c r="AF1102" t="inlineStr">
        <is>
          <t>Prazo Premissa VALE</t>
        </is>
      </c>
    </row>
    <row r="1103">
      <c r="A1103">
        <v>1101</v>
      </c>
      <c r="B1103">
        <v>1</v>
      </c>
      <c r="C1103" t="inlineStr">
        <is>
          <t>1.2</t>
        </is>
      </c>
      <c r="D1103" t="inlineStr">
        <is>
          <t>A46</t>
        </is>
      </c>
      <c r="E1103" t="inlineStr">
        <is>
          <t>LD/LE</t>
        </is>
      </c>
      <c r="F1103" t="inlineStr">
        <is>
          <t>EMPA</t>
        </is>
      </c>
      <c r="G1103" t="inlineStr">
        <is>
          <t>CLP-016</t>
        </is>
      </c>
      <c r="H1103" t="inlineStr">
        <is>
          <t>Fiscalização</t>
        </is>
      </c>
      <c r="I1103">
        <v>4</v>
      </c>
      <c r="J1103" t="inlineStr">
        <is>
          <t>Terraplenagem</t>
        </is>
      </c>
      <c r="K1103" t="inlineStr">
        <is>
          <t>4.24</t>
        </is>
      </c>
      <c r="L1103" t="inlineStr">
        <is>
          <t>Acesso</t>
        </is>
      </c>
      <c r="M1103" t="inlineStr">
        <is>
          <t>Erosões</t>
        </is>
      </c>
      <c r="N1103" t="inlineStr">
        <is>
          <t>Presença de processos erosivos em caminho de serviço, pendente recueprar área.</t>
        </is>
      </c>
      <c r="O1103" t="inlineStr">
        <is>
          <t>Tipo A</t>
        </is>
      </c>
      <c r="P1103" t="inlineStr">
        <is>
          <t>23+350</t>
        </is>
      </c>
      <c r="Q1103">
        <v>23350</v>
      </c>
      <c r="R1103" t="inlineStr">
        <is>
          <t>Aberta</t>
        </is>
      </c>
      <c r="T1103" t="inlineStr">
        <is>
          <t>Aline Batista</t>
        </is>
      </c>
      <c r="U1103" t="inlineStr">
        <is>
          <t>15/05/2026</t>
        </is>
      </c>
      <c r="V1103" t="inlineStr">
        <is>
          <t>22/05/2026</t>
        </is>
      </c>
      <c r="W1103">
        <v>19</v>
      </c>
      <c r="AA1103" t="inlineStr">
        <is>
          <t>Aberta -30 dias</t>
        </is>
      </c>
      <c r="AB1103" t="inlineStr">
        <is>
          <t>EMPA</t>
        </is>
      </c>
      <c r="AC1103" t="inlineStr">
        <is>
          <t>Aline</t>
        </is>
      </c>
      <c r="AD1103" t="inlineStr">
        <is>
          <t>22/07/2026</t>
        </is>
      </c>
      <c r="AE1103" t="inlineStr">
        <is>
          <t>29/07/2026</t>
        </is>
      </c>
      <c r="AF1103" t="inlineStr">
        <is>
          <t>Prazo Premissa VALE</t>
        </is>
      </c>
    </row>
    <row r="1104">
      <c r="A1104">
        <v>1102</v>
      </c>
      <c r="B1104">
        <v>1</v>
      </c>
      <c r="C1104" t="inlineStr">
        <is>
          <t>1.2</t>
        </is>
      </c>
      <c r="D1104" t="inlineStr">
        <is>
          <t>A46</t>
        </is>
      </c>
      <c r="E1104" t="inlineStr">
        <is>
          <t>LD</t>
        </is>
      </c>
      <c r="F1104" t="inlineStr">
        <is>
          <t>EMPA</t>
        </is>
      </c>
      <c r="G1104" t="inlineStr">
        <is>
          <t>CLP-016</t>
        </is>
      </c>
      <c r="H1104" t="inlineStr">
        <is>
          <t>Protocolo</t>
        </is>
      </c>
      <c r="I1104">
        <v>4</v>
      </c>
      <c r="J1104" t="inlineStr">
        <is>
          <t>Terraplenagem</t>
        </is>
      </c>
      <c r="K1104" t="inlineStr">
        <is>
          <t>4.24</t>
        </is>
      </c>
      <c r="L1104" t="inlineStr">
        <is>
          <t>Acesso</t>
        </is>
      </c>
      <c r="M1104" t="inlineStr">
        <is>
          <t>Revegetação/ Hidrossemeadura</t>
        </is>
      </c>
      <c r="N1104" t="inlineStr">
        <is>
          <t>Área com solo exposto necessário revegatção do local.</t>
        </is>
      </c>
      <c r="O1104" t="inlineStr">
        <is>
          <t>Tipo A</t>
        </is>
      </c>
      <c r="P1104" t="inlineStr">
        <is>
          <t>23+700</t>
        </is>
      </c>
      <c r="Q1104">
        <v>23700</v>
      </c>
      <c r="R1104" t="inlineStr">
        <is>
          <t>Aberta</t>
        </is>
      </c>
      <c r="T1104" t="inlineStr">
        <is>
          <t>Aline Batista</t>
        </is>
      </c>
      <c r="U1104" t="inlineStr">
        <is>
          <t>15/05/2026</t>
        </is>
      </c>
      <c r="V1104" t="inlineStr">
        <is>
          <t>22/05/2026</t>
        </is>
      </c>
      <c r="W1104">
        <v>19</v>
      </c>
      <c r="AA1104" t="inlineStr">
        <is>
          <t>Aberta -30 dias</t>
        </is>
      </c>
      <c r="AB1104" t="inlineStr">
        <is>
          <t>EMPA</t>
        </is>
      </c>
      <c r="AC1104" t="inlineStr">
        <is>
          <t>Aline</t>
        </is>
      </c>
      <c r="AD1104" t="inlineStr">
        <is>
          <t>22/07/2026</t>
        </is>
      </c>
      <c r="AE1104" t="inlineStr">
        <is>
          <t>29/07/2026</t>
        </is>
      </c>
      <c r="AF1104" t="inlineStr">
        <is>
          <t>Prazo Premissa VALE</t>
        </is>
      </c>
    </row>
    <row r="1105">
      <c r="A1105">
        <v>1103</v>
      </c>
      <c r="B1105">
        <v>1</v>
      </c>
      <c r="C1105" t="inlineStr">
        <is>
          <t>1.2</t>
        </is>
      </c>
      <c r="D1105" t="inlineStr">
        <is>
          <t>C43</t>
        </is>
      </c>
      <c r="E1105" t="inlineStr">
        <is>
          <t xml:space="preserve">LE </t>
        </is>
      </c>
      <c r="F1105" t="inlineStr">
        <is>
          <t>EMPA</t>
        </is>
      </c>
      <c r="G1105" t="inlineStr">
        <is>
          <t>CLP-016</t>
        </is>
      </c>
      <c r="H1105" t="inlineStr">
        <is>
          <t>Protocolo</t>
        </is>
      </c>
      <c r="I1105">
        <v>4</v>
      </c>
      <c r="J1105" t="inlineStr">
        <is>
          <t>Terraplenagem</t>
        </is>
      </c>
      <c r="K1105" t="inlineStr">
        <is>
          <t>4.24</t>
        </is>
      </c>
      <c r="L1105" t="inlineStr">
        <is>
          <t xml:space="preserve">Faixa de domínio </t>
        </is>
      </c>
      <c r="M1105" t="inlineStr">
        <is>
          <t>Regularização e recuperação de área</t>
        </is>
      </c>
      <c r="N1105" t="inlineStr">
        <is>
          <t>Pendente recuperação de área fora da faixa de domínio.</t>
        </is>
      </c>
      <c r="O1105" t="inlineStr">
        <is>
          <t>Tipo A</t>
        </is>
      </c>
      <c r="P1105" t="inlineStr">
        <is>
          <t>25+350</t>
        </is>
      </c>
      <c r="Q1105">
        <v>25350</v>
      </c>
      <c r="R1105" t="inlineStr">
        <is>
          <t>Aberta</t>
        </is>
      </c>
      <c r="T1105" t="inlineStr">
        <is>
          <t>Aline Batista</t>
        </is>
      </c>
      <c r="U1105" t="inlineStr">
        <is>
          <t>15/05/2026</t>
        </is>
      </c>
      <c r="V1105" t="inlineStr">
        <is>
          <t>22/05/2026</t>
        </is>
      </c>
      <c r="W1105">
        <v>19</v>
      </c>
      <c r="AA1105" t="inlineStr">
        <is>
          <t>Aberta -30 dias</t>
        </is>
      </c>
      <c r="AB1105" t="inlineStr">
        <is>
          <t>EMPA</t>
        </is>
      </c>
      <c r="AC1105" t="inlineStr">
        <is>
          <t>Aline</t>
        </is>
      </c>
      <c r="AD1105" t="inlineStr">
        <is>
          <t>20/07/2026</t>
        </is>
      </c>
      <c r="AE1105" t="inlineStr">
        <is>
          <t>31/07/2026</t>
        </is>
      </c>
      <c r="AF1105" t="inlineStr">
        <is>
          <t>Prazo premissa VALE</t>
        </is>
      </c>
    </row>
    <row r="1106">
      <c r="A1106">
        <v>1104</v>
      </c>
      <c r="B1106">
        <v>1</v>
      </c>
      <c r="C1106" t="inlineStr">
        <is>
          <t>1.2</t>
        </is>
      </c>
      <c r="D1106" t="inlineStr">
        <is>
          <t>A46</t>
        </is>
      </c>
      <c r="E1106" t="inlineStr">
        <is>
          <t>LD/LE</t>
        </is>
      </c>
      <c r="F1106" t="inlineStr">
        <is>
          <t>EMPA</t>
        </is>
      </c>
      <c r="G1106" t="inlineStr">
        <is>
          <t>CLP-016</t>
        </is>
      </c>
      <c r="H1106" t="inlineStr">
        <is>
          <t>Protocolo</t>
        </is>
      </c>
      <c r="I1106">
        <v>4</v>
      </c>
      <c r="J1106" t="inlineStr">
        <is>
          <t>Terraplenagem</t>
        </is>
      </c>
      <c r="K1106" t="inlineStr">
        <is>
          <t>4.25</t>
        </is>
      </c>
      <c r="L1106" t="inlineStr">
        <is>
          <t xml:space="preserve">Faixa de domínio </t>
        </is>
      </c>
      <c r="M1106" t="inlineStr">
        <is>
          <t>Assoreamento</t>
        </is>
      </c>
      <c r="N1106" t="inlineStr">
        <is>
          <t>Carreamento de sedimentos para fora da faixa de domínio.</t>
        </is>
      </c>
      <c r="O1106" t="inlineStr">
        <is>
          <t>Tipo A</t>
        </is>
      </c>
      <c r="P1106" t="inlineStr">
        <is>
          <t>23+350</t>
        </is>
      </c>
      <c r="Q1106">
        <v>23350</v>
      </c>
      <c r="R1106" t="inlineStr">
        <is>
          <t>Aberta</t>
        </is>
      </c>
      <c r="T1106" t="inlineStr">
        <is>
          <t>Aline Batista</t>
        </is>
      </c>
      <c r="U1106" t="inlineStr">
        <is>
          <t>15/05/2026</t>
        </is>
      </c>
      <c r="V1106" t="inlineStr">
        <is>
          <t>22/05/2026</t>
        </is>
      </c>
      <c r="W1106">
        <v>19</v>
      </c>
      <c r="AA1106" t="inlineStr">
        <is>
          <t>Aberta -30 dias</t>
        </is>
      </c>
      <c r="AB1106" t="inlineStr">
        <is>
          <t>EMPA</t>
        </is>
      </c>
      <c r="AC1106" t="inlineStr">
        <is>
          <t>Aline</t>
        </is>
      </c>
      <c r="AD1106" t="inlineStr">
        <is>
          <t>22/07/2026</t>
        </is>
      </c>
      <c r="AE1106" t="inlineStr">
        <is>
          <t>29/07/2026</t>
        </is>
      </c>
      <c r="AF1106" t="inlineStr">
        <is>
          <t>Prazo Premissa VALE</t>
        </is>
      </c>
    </row>
    <row r="1107">
      <c r="A1107">
        <v>1105</v>
      </c>
      <c r="B1107">
        <v>1</v>
      </c>
      <c r="C1107" t="inlineStr">
        <is>
          <t>1.2</t>
        </is>
      </c>
      <c r="D1107" t="inlineStr">
        <is>
          <t>A46</t>
        </is>
      </c>
      <c r="E1107" t="inlineStr">
        <is>
          <t>LD</t>
        </is>
      </c>
      <c r="F1107" t="inlineStr">
        <is>
          <t>EMPA</t>
        </is>
      </c>
      <c r="G1107" t="inlineStr">
        <is>
          <t>CLP-016</t>
        </is>
      </c>
      <c r="H1107" t="inlineStr">
        <is>
          <t>Protocolo</t>
        </is>
      </c>
      <c r="I1107">
        <v>4</v>
      </c>
      <c r="J1107" t="inlineStr">
        <is>
          <t>Terraplenagem</t>
        </is>
      </c>
      <c r="K1107" t="inlineStr">
        <is>
          <t>4.25</t>
        </is>
      </c>
      <c r="L1107" t="inlineStr">
        <is>
          <t>Acesso</t>
        </is>
      </c>
      <c r="M1107" t="inlineStr">
        <is>
          <t>Assoreamento</t>
        </is>
      </c>
      <c r="N1107" t="inlineStr">
        <is>
          <t>Carreamento de material para OAC.</t>
        </is>
      </c>
      <c r="O1107" t="inlineStr">
        <is>
          <t>Tipo A</t>
        </is>
      </c>
      <c r="P1107" t="inlineStr">
        <is>
          <t>23+300</t>
        </is>
      </c>
      <c r="Q1107">
        <v>23300</v>
      </c>
      <c r="R1107" t="inlineStr">
        <is>
          <t>Aberta</t>
        </is>
      </c>
      <c r="T1107" t="inlineStr">
        <is>
          <t>Aline Batista</t>
        </is>
      </c>
      <c r="U1107" t="inlineStr">
        <is>
          <t>15/05/2026</t>
        </is>
      </c>
      <c r="V1107" t="inlineStr">
        <is>
          <t>22/05/2026</t>
        </is>
      </c>
      <c r="W1107">
        <v>19</v>
      </c>
      <c r="AA1107" t="inlineStr">
        <is>
          <t>Aberta -30 dias</t>
        </is>
      </c>
      <c r="AB1107" t="inlineStr">
        <is>
          <t>EMPA</t>
        </is>
      </c>
      <c r="AC1107" t="inlineStr">
        <is>
          <t>Aline</t>
        </is>
      </c>
      <c r="AD1107" t="inlineStr">
        <is>
          <t>22/07/2026</t>
        </is>
      </c>
      <c r="AE1107" t="inlineStr">
        <is>
          <t>29/07/2026</t>
        </is>
      </c>
      <c r="AF1107" t="inlineStr">
        <is>
          <t>Prazo Premissa VALE</t>
        </is>
      </c>
    </row>
    <row r="1108">
      <c r="A1108">
        <v>1106</v>
      </c>
      <c r="B1108">
        <v>1</v>
      </c>
      <c r="C1108" t="inlineStr">
        <is>
          <t>1.3</t>
        </is>
      </c>
      <c r="D1108" t="inlineStr">
        <is>
          <t>C43</t>
        </is>
      </c>
      <c r="E1108" t="inlineStr">
        <is>
          <t>LE</t>
        </is>
      </c>
      <c r="F1108" t="inlineStr">
        <is>
          <t>EMPA</t>
        </is>
      </c>
      <c r="G1108" t="inlineStr">
        <is>
          <t>CLP-016</t>
        </is>
      </c>
      <c r="H1108" t="inlineStr">
        <is>
          <t>Protocolo</t>
        </is>
      </c>
      <c r="I1108">
        <v>4</v>
      </c>
      <c r="J1108" t="inlineStr">
        <is>
          <t>Terraplenagem</t>
        </is>
      </c>
      <c r="K1108" t="inlineStr">
        <is>
          <t>4.25</t>
        </is>
      </c>
      <c r="L1108" t="inlineStr">
        <is>
          <t>Acesso</t>
        </is>
      </c>
      <c r="M1108" t="inlineStr">
        <is>
          <t>Assoreamento</t>
        </is>
      </c>
      <c r="N1108" t="inlineStr">
        <is>
          <t>Material carreado para fora da faixa de domínio.</t>
        </is>
      </c>
      <c r="O1108" t="inlineStr">
        <is>
          <t>Tipo A</t>
        </is>
      </c>
      <c r="P1108" t="inlineStr">
        <is>
          <t>26+650</t>
        </is>
      </c>
      <c r="Q1108" t="inlineStr">
        <is>
          <t>26+650</t>
        </is>
      </c>
      <c r="R1108" t="inlineStr">
        <is>
          <t>Aberta</t>
        </is>
      </c>
      <c r="T1108" t="inlineStr">
        <is>
          <t>Aline Batista</t>
        </is>
      </c>
      <c r="U1108" t="inlineStr">
        <is>
          <t>15/05/2026</t>
        </is>
      </c>
      <c r="V1108" t="inlineStr">
        <is>
          <t>22/05/2026</t>
        </is>
      </c>
      <c r="W1108">
        <v>19</v>
      </c>
      <c r="AA1108" t="inlineStr">
        <is>
          <t>Aberta -30 dias</t>
        </is>
      </c>
      <c r="AB1108" t="inlineStr">
        <is>
          <t>EMPA</t>
        </is>
      </c>
      <c r="AC1108" t="inlineStr">
        <is>
          <t>Aline</t>
        </is>
      </c>
      <c r="AD1108" t="inlineStr">
        <is>
          <t>20/07/2026</t>
        </is>
      </c>
      <c r="AE1108" t="inlineStr">
        <is>
          <t>31/07/2026</t>
        </is>
      </c>
      <c r="AF1108" t="inlineStr">
        <is>
          <t>Prazo Premissa VALE</t>
        </is>
      </c>
    </row>
    <row r="1109">
      <c r="A1109">
        <v>1107</v>
      </c>
      <c r="B1109">
        <v>1</v>
      </c>
      <c r="C1109" t="inlineStr">
        <is>
          <t>1.2</t>
        </is>
      </c>
      <c r="D1109" t="inlineStr">
        <is>
          <t>GERAL</t>
        </is>
      </c>
      <c r="E1109" t="inlineStr">
        <is>
          <t>-</t>
        </is>
      </c>
      <c r="F1109" t="inlineStr">
        <is>
          <t>EMPA</t>
        </is>
      </c>
      <c r="G1109" t="inlineStr">
        <is>
          <t>CLP-016</t>
        </is>
      </c>
      <c r="H1109" t="inlineStr">
        <is>
          <t>Protocolo</t>
        </is>
      </c>
      <c r="I1109">
        <v>4</v>
      </c>
      <c r="J1109" t="inlineStr">
        <is>
          <t>Terraplenagem</t>
        </is>
      </c>
      <c r="K1109" t="inlineStr">
        <is>
          <t>4.26</t>
        </is>
      </c>
      <c r="L1109" t="inlineStr">
        <is>
          <t>As Built</t>
        </is>
      </c>
      <c r="M1109" t="inlineStr">
        <is>
          <t>Documental</t>
        </is>
      </c>
      <c r="N1109" t="inlineStr">
        <is>
          <t>As Built pendente de aprovação.</t>
        </is>
      </c>
      <c r="O1109" t="inlineStr">
        <is>
          <t>Tipo B</t>
        </is>
      </c>
      <c r="P1109" t="inlineStr">
        <is>
          <t>-</t>
        </is>
      </c>
      <c r="Q1109" t="inlineStr">
        <is>
          <t>-</t>
        </is>
      </c>
      <c r="R1109" t="inlineStr">
        <is>
          <t>Aberta</t>
        </is>
      </c>
      <c r="T1109" t="inlineStr">
        <is>
          <t>Aline Batista</t>
        </is>
      </c>
      <c r="U1109" t="inlineStr">
        <is>
          <t>15/05/2026</t>
        </is>
      </c>
      <c r="V1109" t="inlineStr">
        <is>
          <t>30/05/2026</t>
        </is>
      </c>
      <c r="W1109">
        <v>11</v>
      </c>
      <c r="AA1109" t="inlineStr">
        <is>
          <t>Aberta -30 dias</t>
        </is>
      </c>
      <c r="AB1109" t="inlineStr">
        <is>
          <t>EMPA</t>
        </is>
      </c>
      <c r="AC1109" t="inlineStr">
        <is>
          <t>Aline</t>
        </is>
      </c>
      <c r="AE1109" t="inlineStr">
        <is>
          <t>19/06/2026</t>
        </is>
      </c>
      <c r="AF1109" t="inlineStr">
        <is>
          <t>Ata de reunião de RM p/ BK</t>
        </is>
      </c>
    </row>
    <row r="1110">
      <c r="A1110">
        <v>1108</v>
      </c>
      <c r="B1110">
        <v>1</v>
      </c>
      <c r="C1110" t="inlineStr">
        <is>
          <t>1.2</t>
        </is>
      </c>
      <c r="D1110" t="inlineStr">
        <is>
          <t>GERAL</t>
        </is>
      </c>
      <c r="E1110" t="inlineStr">
        <is>
          <t>-</t>
        </is>
      </c>
      <c r="F1110" t="inlineStr">
        <is>
          <t>EMPA</t>
        </is>
      </c>
      <c r="G1110" t="inlineStr">
        <is>
          <t>CLP-016</t>
        </is>
      </c>
      <c r="H1110" t="inlineStr">
        <is>
          <t>Protocolo</t>
        </is>
      </c>
      <c r="I1110">
        <v>4</v>
      </c>
      <c r="J1110" t="inlineStr">
        <is>
          <t>Terraplenagem</t>
        </is>
      </c>
      <c r="K1110" t="inlineStr">
        <is>
          <t>4.28</t>
        </is>
      </c>
      <c r="L1110" t="inlineStr">
        <is>
          <t>RNC</t>
        </is>
      </c>
      <c r="M1110" t="inlineStr">
        <is>
          <t>Documental</t>
        </is>
      </c>
      <c r="N1110" t="inlineStr">
        <is>
          <t xml:space="preserve">Constam em aberto os seguintes referente a terraplenagem:
RNC-01170/26
RNC-01336/26
RNC-01396/26
RNC-01722/26
RNC-01841/26
RNC-02607/26
RNC-02608/26
RNC-04516/25
RNC-09943/24
RNC-09946/24
RNC-09947/24
RNC-09957/25</t>
        </is>
      </c>
      <c r="O1110" t="inlineStr">
        <is>
          <t>Tipo B</t>
        </is>
      </c>
      <c r="P1110" t="inlineStr">
        <is>
          <t>-</t>
        </is>
      </c>
      <c r="Q1110" t="inlineStr">
        <is>
          <t>-</t>
        </is>
      </c>
      <c r="R1110" t="inlineStr">
        <is>
          <t>Aberta</t>
        </is>
      </c>
      <c r="T1110" t="inlineStr">
        <is>
          <t>Aline Batista</t>
        </is>
      </c>
      <c r="U1110" t="inlineStr">
        <is>
          <t>15/05/2026</t>
        </is>
      </c>
      <c r="V1110" t="inlineStr">
        <is>
          <t>30/05/2026</t>
        </is>
      </c>
      <c r="W1110">
        <v>11</v>
      </c>
      <c r="AA1110" t="inlineStr">
        <is>
          <t>Aberta -30 dias</t>
        </is>
      </c>
      <c r="AB1110" t="inlineStr">
        <is>
          <t>EMPA</t>
        </is>
      </c>
      <c r="AC1110" t="inlineStr">
        <is>
          <t>Aline</t>
        </is>
      </c>
      <c r="AE1110" t="inlineStr">
        <is>
          <t>19/06/2026</t>
        </is>
      </c>
      <c r="AF1110" t="inlineStr">
        <is>
          <t>Ata de reunião de RM p/ BK</t>
        </is>
      </c>
    </row>
    <row r="1111">
      <c r="A1111">
        <v>1109</v>
      </c>
      <c r="B1111">
        <v>1</v>
      </c>
      <c r="C1111" t="inlineStr">
        <is>
          <t>1.2</t>
        </is>
      </c>
      <c r="D1111" t="inlineStr">
        <is>
          <t>A46</t>
        </is>
      </c>
      <c r="E1111" t="inlineStr">
        <is>
          <t>LD/LE</t>
        </is>
      </c>
      <c r="F1111" t="inlineStr">
        <is>
          <t>EMPA</t>
        </is>
      </c>
      <c r="G1111" t="inlineStr">
        <is>
          <t>CLP-016</t>
        </is>
      </c>
      <c r="H1111" t="inlineStr">
        <is>
          <t>Protocolo</t>
        </is>
      </c>
      <c r="I1111">
        <v>4</v>
      </c>
      <c r="J1111" t="inlineStr">
        <is>
          <t>Terraplenagem</t>
        </is>
      </c>
      <c r="K1111" t="inlineStr">
        <is>
          <t>4.29</t>
        </is>
      </c>
      <c r="L1111" t="inlineStr">
        <is>
          <t>Plataforma</t>
        </is>
      </c>
      <c r="M1111" t="inlineStr">
        <is>
          <t>Material Solto</t>
        </is>
      </c>
      <c r="N1111" t="inlineStr">
        <is>
          <t>Contaminação de materiais finos no colchão drenante, granulometria diversas.</t>
        </is>
      </c>
      <c r="O1111" t="inlineStr">
        <is>
          <t>Tipo A</t>
        </is>
      </c>
      <c r="P1111" t="inlineStr">
        <is>
          <t>23+700</t>
        </is>
      </c>
      <c r="Q1111">
        <v>23700</v>
      </c>
      <c r="R1111" t="inlineStr">
        <is>
          <t>Aberta</t>
        </is>
      </c>
      <c r="T1111" t="inlineStr">
        <is>
          <t>Aline Batista</t>
        </is>
      </c>
      <c r="U1111" t="inlineStr">
        <is>
          <t>15/05/2026</t>
        </is>
      </c>
      <c r="V1111" t="inlineStr">
        <is>
          <t>22/05/2026</t>
        </is>
      </c>
      <c r="W1111">
        <v>19</v>
      </c>
      <c r="AA1111" t="inlineStr">
        <is>
          <t>Aberta -30 dias</t>
        </is>
      </c>
      <c r="AB1111" t="inlineStr">
        <is>
          <t>VALE</t>
        </is>
      </c>
      <c r="AC1111" t="inlineStr">
        <is>
          <t>Enriko</t>
        </is>
      </c>
      <c r="AE1111" t="inlineStr">
        <is>
          <t>23/06/2026</t>
        </is>
      </c>
      <c r="AF1111" t="inlineStr">
        <is>
          <t>Avaliar com a engenharia a funcionalidade do colchão drenante</t>
        </is>
      </c>
    </row>
    <row r="1112">
      <c r="A1112">
        <v>1110</v>
      </c>
      <c r="B1112">
        <v>1</v>
      </c>
      <c r="C1112" t="inlineStr">
        <is>
          <t>1.2</t>
        </is>
      </c>
      <c r="D1112" t="inlineStr">
        <is>
          <t>C43</t>
        </is>
      </c>
      <c r="E1112" t="inlineStr">
        <is>
          <t xml:space="preserve">LE </t>
        </is>
      </c>
      <c r="F1112" t="inlineStr">
        <is>
          <t>EMPA</t>
        </is>
      </c>
      <c r="G1112" t="inlineStr">
        <is>
          <t>CLP-016</t>
        </is>
      </c>
      <c r="H1112" t="inlineStr">
        <is>
          <t>Protocolo</t>
        </is>
      </c>
      <c r="I1112">
        <v>4</v>
      </c>
      <c r="J1112" t="inlineStr">
        <is>
          <t>Terraplenagem</t>
        </is>
      </c>
      <c r="K1112" t="inlineStr">
        <is>
          <t>4.32</t>
        </is>
      </c>
      <c r="L1112" t="inlineStr">
        <is>
          <t>Sublastro</t>
        </is>
      </c>
      <c r="M1112" t="inlineStr">
        <is>
          <t>Limpeza/ remoção de material</t>
        </is>
      </c>
      <c r="N1112" t="inlineStr">
        <is>
          <t>Foram verificados restos de obra ao longo do trecho.</t>
        </is>
      </c>
      <c r="O1112" t="inlineStr">
        <is>
          <t>Tipo A</t>
        </is>
      </c>
      <c r="P1112" t="inlineStr">
        <is>
          <t>24+720</t>
        </is>
      </c>
      <c r="Q1112">
        <v>25320</v>
      </c>
      <c r="R1112" t="inlineStr">
        <is>
          <t>Aberta</t>
        </is>
      </c>
      <c r="T1112" t="inlineStr">
        <is>
          <t>Aline Batista</t>
        </is>
      </c>
      <c r="U1112" t="inlineStr">
        <is>
          <t>15/05/2026</t>
        </is>
      </c>
      <c r="V1112" t="inlineStr">
        <is>
          <t>22/05/2026</t>
        </is>
      </c>
      <c r="W1112">
        <v>19</v>
      </c>
      <c r="AA1112" t="inlineStr">
        <is>
          <t>Aberta -30 dias</t>
        </is>
      </c>
      <c r="AB1112" t="inlineStr">
        <is>
          <t>EMPA</t>
        </is>
      </c>
      <c r="AC1112" t="inlineStr">
        <is>
          <t>Aline</t>
        </is>
      </c>
      <c r="AD1112" t="inlineStr">
        <is>
          <t>20/07/2026</t>
        </is>
      </c>
      <c r="AE1112" t="inlineStr">
        <is>
          <t>31/07/2026</t>
        </is>
      </c>
      <c r="AF1112" t="inlineStr">
        <is>
          <t>Prazo premissa VALE</t>
        </is>
      </c>
    </row>
    <row r="1113">
      <c r="A1113">
        <v>1111</v>
      </c>
      <c r="B1113">
        <v>1</v>
      </c>
      <c r="C1113" t="inlineStr">
        <is>
          <t>1.2</t>
        </is>
      </c>
      <c r="D1113" t="inlineStr">
        <is>
          <t>C43</t>
        </is>
      </c>
      <c r="E1113" t="inlineStr">
        <is>
          <t>LD</t>
        </is>
      </c>
      <c r="F1113" t="inlineStr">
        <is>
          <t>EMPA</t>
        </is>
      </c>
      <c r="G1113" t="inlineStr">
        <is>
          <t>CLP-016</t>
        </is>
      </c>
      <c r="H1113" t="inlineStr">
        <is>
          <t>Protocolo</t>
        </is>
      </c>
      <c r="I1113">
        <v>4</v>
      </c>
      <c r="J1113" t="inlineStr">
        <is>
          <t>Terraplenagem</t>
        </is>
      </c>
      <c r="K1113" t="inlineStr">
        <is>
          <t>4.32</t>
        </is>
      </c>
      <c r="L1113" t="inlineStr">
        <is>
          <t>VBC</t>
        </is>
      </c>
      <c r="M1113" t="inlineStr">
        <is>
          <t>Limpeza/ remoção de material</t>
        </is>
      </c>
      <c r="N1113" t="inlineStr">
        <is>
          <t>Resíduos de concreto na lateral da drenagem da banqueta.</t>
        </is>
      </c>
      <c r="O1113" t="inlineStr">
        <is>
          <t>Tipo A</t>
        </is>
      </c>
      <c r="P1113" t="inlineStr">
        <is>
          <t>25+100</t>
        </is>
      </c>
      <c r="Q1113">
        <v>25100</v>
      </c>
      <c r="R1113" t="inlineStr">
        <is>
          <t>Aberta</t>
        </is>
      </c>
      <c r="T1113" t="inlineStr">
        <is>
          <t>Aline Batista</t>
        </is>
      </c>
      <c r="U1113" t="inlineStr">
        <is>
          <t>15/05/2026</t>
        </is>
      </c>
      <c r="V1113" t="inlineStr">
        <is>
          <t>22/05/2026</t>
        </is>
      </c>
      <c r="W1113">
        <v>19</v>
      </c>
      <c r="AA1113" t="inlineStr">
        <is>
          <t>Aberta -30 dias</t>
        </is>
      </c>
      <c r="AB1113" t="inlineStr">
        <is>
          <t>EMPA</t>
        </is>
      </c>
      <c r="AC1113" t="inlineStr">
        <is>
          <t>Aline</t>
        </is>
      </c>
      <c r="AD1113" t="inlineStr">
        <is>
          <t>20/07/2026</t>
        </is>
      </c>
      <c r="AE1113" t="inlineStr">
        <is>
          <t>31/07/2026</t>
        </is>
      </c>
      <c r="AF1113" t="inlineStr">
        <is>
          <t>Prazo premissa VALE</t>
        </is>
      </c>
    </row>
    <row r="1114">
      <c r="A1114">
        <v>1112</v>
      </c>
      <c r="B1114">
        <v>1</v>
      </c>
      <c r="C1114" t="inlineStr">
        <is>
          <t>1.2</t>
        </is>
      </c>
      <c r="D1114" t="inlineStr">
        <is>
          <t>A46</t>
        </is>
      </c>
      <c r="E1114" t="inlineStr">
        <is>
          <t>LD</t>
        </is>
      </c>
      <c r="F1114" t="inlineStr">
        <is>
          <t>EMPA</t>
        </is>
      </c>
      <c r="G1114" t="inlineStr">
        <is>
          <t>CLP-016</t>
        </is>
      </c>
      <c r="H1114" t="inlineStr">
        <is>
          <t>Protocolo</t>
        </is>
      </c>
      <c r="I1114">
        <v>4</v>
      </c>
      <c r="J1114" t="inlineStr">
        <is>
          <t>Terraplenagem</t>
        </is>
      </c>
      <c r="K1114" t="inlineStr">
        <is>
          <t>4.32</t>
        </is>
      </c>
      <c r="L1114" t="inlineStr">
        <is>
          <t>Plataforma</t>
        </is>
      </c>
      <c r="M1114" t="inlineStr">
        <is>
          <t>Limpeza/ remoção de material</t>
        </is>
      </c>
      <c r="N1114" t="inlineStr">
        <is>
          <t>Presença de resíduos de obra na plataforma.</t>
        </is>
      </c>
      <c r="O1114" t="inlineStr">
        <is>
          <t>Tipo A</t>
        </is>
      </c>
      <c r="P1114" t="inlineStr">
        <is>
          <t>23+220</t>
        </is>
      </c>
      <c r="Q1114">
        <v>23220</v>
      </c>
      <c r="R1114" t="inlineStr">
        <is>
          <t>Aberta</t>
        </is>
      </c>
      <c r="T1114" t="inlineStr">
        <is>
          <t>Aline Batista</t>
        </is>
      </c>
      <c r="U1114" t="inlineStr">
        <is>
          <t>15/05/2026</t>
        </is>
      </c>
      <c r="V1114" t="inlineStr">
        <is>
          <t>22/05/2026</t>
        </is>
      </c>
      <c r="W1114">
        <v>19</v>
      </c>
      <c r="AA1114" t="inlineStr">
        <is>
          <t>Aberta -30 dias</t>
        </is>
      </c>
      <c r="AB1114" t="inlineStr">
        <is>
          <t>EMPA</t>
        </is>
      </c>
      <c r="AC1114" t="inlineStr">
        <is>
          <t>Aline</t>
        </is>
      </c>
      <c r="AD1114" t="inlineStr">
        <is>
          <t>22/07/2026</t>
        </is>
      </c>
      <c r="AE1114" t="inlineStr">
        <is>
          <t>29/07/2026</t>
        </is>
      </c>
      <c r="AF1114" t="inlineStr">
        <is>
          <t>Prazo Premissa VALE</t>
        </is>
      </c>
    </row>
    <row r="1115">
      <c r="A1115">
        <v>1113</v>
      </c>
      <c r="B1115">
        <v>1</v>
      </c>
      <c r="C1115" t="inlineStr">
        <is>
          <t>1.2</t>
        </is>
      </c>
      <c r="D1115" t="inlineStr">
        <is>
          <t>A46</t>
        </is>
      </c>
      <c r="E1115" t="inlineStr">
        <is>
          <t>LE</t>
        </is>
      </c>
      <c r="F1115" t="inlineStr">
        <is>
          <t>EMPA</t>
        </is>
      </c>
      <c r="G1115" t="inlineStr">
        <is>
          <t>CLP-016</t>
        </is>
      </c>
      <c r="H1115" t="inlineStr">
        <is>
          <t>Protocolo</t>
        </is>
      </c>
      <c r="I1115">
        <v>4</v>
      </c>
      <c r="J1115" t="inlineStr">
        <is>
          <t>Terraplenagem</t>
        </is>
      </c>
      <c r="K1115" t="inlineStr">
        <is>
          <t>4.4</t>
        </is>
      </c>
      <c r="L1115" t="inlineStr">
        <is>
          <t>Plataforma</t>
        </is>
      </c>
      <c r="M1115" t="inlineStr">
        <is>
          <t>Limpeza/ remoção de material</t>
        </is>
      </c>
      <c r="N1115" t="inlineStr">
        <is>
          <t>Acumulo de material lateral as canaletas.</t>
        </is>
      </c>
      <c r="O1115" t="inlineStr">
        <is>
          <t>Tipo A</t>
        </is>
      </c>
      <c r="P1115" t="inlineStr">
        <is>
          <t>23+800</t>
        </is>
      </c>
      <c r="Q1115">
        <v>23800</v>
      </c>
      <c r="R1115" t="inlineStr">
        <is>
          <t>Aberta</t>
        </is>
      </c>
      <c r="T1115" t="inlineStr">
        <is>
          <t>Aline Batista</t>
        </is>
      </c>
      <c r="U1115" t="inlineStr">
        <is>
          <t>15/05/2026</t>
        </is>
      </c>
      <c r="V1115" t="inlineStr">
        <is>
          <t>22/05/2026</t>
        </is>
      </c>
      <c r="W1115">
        <v>19</v>
      </c>
      <c r="AA1115" t="inlineStr">
        <is>
          <t>Aberta -30 dias</t>
        </is>
      </c>
      <c r="AB1115" t="inlineStr">
        <is>
          <t>EMPA</t>
        </is>
      </c>
      <c r="AC1115" t="inlineStr">
        <is>
          <t>Aline</t>
        </is>
      </c>
      <c r="AD1115" t="inlineStr">
        <is>
          <t>22/07/2026</t>
        </is>
      </c>
      <c r="AE1115" t="inlineStr">
        <is>
          <t>29/07/2026</t>
        </is>
      </c>
      <c r="AF1115" t="inlineStr">
        <is>
          <t>Prazo Premissa VALE</t>
        </is>
      </c>
    </row>
    <row r="1116">
      <c r="A1116">
        <v>1114</v>
      </c>
      <c r="B1116">
        <v>1</v>
      </c>
      <c r="C1116" t="inlineStr">
        <is>
          <t>1.2</t>
        </is>
      </c>
      <c r="D1116" t="inlineStr">
        <is>
          <t>C43</t>
        </is>
      </c>
      <c r="E1116" t="inlineStr">
        <is>
          <t>LD</t>
        </is>
      </c>
      <c r="F1116" t="inlineStr">
        <is>
          <t>EMPA</t>
        </is>
      </c>
      <c r="G1116" t="inlineStr">
        <is>
          <t>CLP-016</t>
        </is>
      </c>
      <c r="H1116" t="inlineStr">
        <is>
          <t>Protocolo</t>
        </is>
      </c>
      <c r="I1116">
        <v>4</v>
      </c>
      <c r="J1116" t="inlineStr">
        <is>
          <t>Terraplenagem</t>
        </is>
      </c>
      <c r="K1116" t="inlineStr">
        <is>
          <t>4.4</t>
        </is>
      </c>
      <c r="L1116" t="inlineStr">
        <is>
          <t>Banqueta</t>
        </is>
      </c>
      <c r="M1116" t="inlineStr">
        <is>
          <t>Limpeza/ remoção de material</t>
        </is>
      </c>
      <c r="N1116" t="inlineStr">
        <is>
          <t xml:space="preserve">Material acumulado na banqueta </t>
        </is>
      </c>
      <c r="O1116" t="inlineStr">
        <is>
          <t>Tipo A</t>
        </is>
      </c>
      <c r="P1116" t="inlineStr">
        <is>
          <t>24+150</t>
        </is>
      </c>
      <c r="Q1116">
        <v>24150</v>
      </c>
      <c r="R1116" t="inlineStr">
        <is>
          <t>Aberta</t>
        </is>
      </c>
      <c r="T1116" t="inlineStr">
        <is>
          <t>Aline Batista</t>
        </is>
      </c>
      <c r="U1116" t="inlineStr">
        <is>
          <t>15/05/2026</t>
        </is>
      </c>
      <c r="V1116" t="inlineStr">
        <is>
          <t>22/05/2026</t>
        </is>
      </c>
      <c r="W1116">
        <v>19</v>
      </c>
      <c r="AA1116" t="inlineStr">
        <is>
          <t>Aberta -30 dias</t>
        </is>
      </c>
      <c r="AB1116" t="inlineStr">
        <is>
          <t>EMPA</t>
        </is>
      </c>
      <c r="AC1116" t="inlineStr">
        <is>
          <t>Aline</t>
        </is>
      </c>
      <c r="AD1116" t="inlineStr">
        <is>
          <t>20/07/2026</t>
        </is>
      </c>
      <c r="AE1116" t="inlineStr">
        <is>
          <t>31/07/2026</t>
        </is>
      </c>
      <c r="AF1116" t="inlineStr">
        <is>
          <t>Prazo premissa VALE</t>
        </is>
      </c>
    </row>
    <row r="1117">
      <c r="A1117">
        <v>1115</v>
      </c>
      <c r="B1117">
        <v>1</v>
      </c>
      <c r="C1117" t="inlineStr">
        <is>
          <t>1.2</t>
        </is>
      </c>
      <c r="D1117" t="inlineStr">
        <is>
          <t>A46</t>
        </is>
      </c>
      <c r="E1117" t="inlineStr">
        <is>
          <t>LD</t>
        </is>
      </c>
      <c r="F1117" t="inlineStr">
        <is>
          <t>EMPA</t>
        </is>
      </c>
      <c r="G1117" t="inlineStr">
        <is>
          <t>CLP-016</t>
        </is>
      </c>
      <c r="H1117" t="inlineStr">
        <is>
          <t>Protocolo</t>
        </is>
      </c>
      <c r="I1117">
        <v>4</v>
      </c>
      <c r="J1117" t="inlineStr">
        <is>
          <t>Terraplenagem</t>
        </is>
      </c>
      <c r="K1117" t="inlineStr">
        <is>
          <t>4.4</t>
        </is>
      </c>
      <c r="L1117" t="inlineStr">
        <is>
          <t>Acesso</t>
        </is>
      </c>
      <c r="M1117" t="inlineStr">
        <is>
          <t>Material Solto</t>
        </is>
      </c>
      <c r="N1117" t="inlineStr">
        <is>
          <t>Material solto depositado e pendente remoção da sobrelargura em acesso.</t>
        </is>
      </c>
      <c r="O1117" t="inlineStr">
        <is>
          <t>Tipo A</t>
        </is>
      </c>
      <c r="P1117" t="inlineStr">
        <is>
          <t>23+200</t>
        </is>
      </c>
      <c r="Q1117">
        <v>23200</v>
      </c>
      <c r="R1117" t="inlineStr">
        <is>
          <t>Aberta</t>
        </is>
      </c>
      <c r="T1117" t="inlineStr">
        <is>
          <t>Aline Batista</t>
        </is>
      </c>
      <c r="U1117" t="inlineStr">
        <is>
          <t>15/05/2026</t>
        </is>
      </c>
      <c r="V1117" t="inlineStr">
        <is>
          <t>22/05/2026</t>
        </is>
      </c>
      <c r="W1117">
        <v>19</v>
      </c>
      <c r="AA1117" t="inlineStr">
        <is>
          <t>Aberta -30 dias</t>
        </is>
      </c>
      <c r="AB1117" t="inlineStr">
        <is>
          <t>EMPA</t>
        </is>
      </c>
      <c r="AC1117" t="inlineStr">
        <is>
          <t>Aline</t>
        </is>
      </c>
      <c r="AD1117" t="inlineStr">
        <is>
          <t>22/07/2026</t>
        </is>
      </c>
      <c r="AE1117" t="inlineStr">
        <is>
          <t>29/07/2026</t>
        </is>
      </c>
      <c r="AF1117" t="inlineStr">
        <is>
          <t>Prazo Premissa VALE</t>
        </is>
      </c>
    </row>
    <row r="1118">
      <c r="A1118">
        <v>1116</v>
      </c>
      <c r="B1118">
        <v>1</v>
      </c>
      <c r="C1118" t="inlineStr">
        <is>
          <t>1.2</t>
        </is>
      </c>
      <c r="D1118" t="inlineStr">
        <is>
          <t>C43</t>
        </is>
      </c>
      <c r="E1118" t="inlineStr">
        <is>
          <t>LD</t>
        </is>
      </c>
      <c r="F1118" t="inlineStr">
        <is>
          <t>EMPA</t>
        </is>
      </c>
      <c r="G1118" t="inlineStr">
        <is>
          <t>CLP-016</t>
        </is>
      </c>
      <c r="H1118" t="inlineStr">
        <is>
          <t>Protocolo</t>
        </is>
      </c>
      <c r="I1118">
        <v>4</v>
      </c>
      <c r="J1118" t="inlineStr">
        <is>
          <t>Terraplenagem</t>
        </is>
      </c>
      <c r="K1118" t="inlineStr">
        <is>
          <t>4.4</t>
        </is>
      </c>
      <c r="L1118" t="inlineStr">
        <is>
          <t>Banqueta</t>
        </is>
      </c>
      <c r="M1118" t="inlineStr">
        <is>
          <t>Material Solto</t>
        </is>
      </c>
      <c r="N1118" t="inlineStr">
        <is>
          <t>Material depositado na banqueta ao lado do dispositivo de drenagem.</t>
        </is>
      </c>
      <c r="O1118" t="inlineStr">
        <is>
          <t>Tipo A</t>
        </is>
      </c>
      <c r="P1118" t="inlineStr">
        <is>
          <t>25+160</t>
        </is>
      </c>
      <c r="Q1118">
        <v>25160</v>
      </c>
      <c r="R1118" t="inlineStr">
        <is>
          <t>Aberta</t>
        </is>
      </c>
      <c r="T1118" t="inlineStr">
        <is>
          <t>Aline Batista</t>
        </is>
      </c>
      <c r="U1118" t="inlineStr">
        <is>
          <t>15/05/2026</t>
        </is>
      </c>
      <c r="V1118" t="inlineStr">
        <is>
          <t>22/05/2026</t>
        </is>
      </c>
      <c r="W1118">
        <v>19</v>
      </c>
      <c r="AA1118" t="inlineStr">
        <is>
          <t>Aberta -30 dias</t>
        </is>
      </c>
      <c r="AB1118" t="inlineStr">
        <is>
          <t>EMPA</t>
        </is>
      </c>
      <c r="AC1118" t="inlineStr">
        <is>
          <t>Aline</t>
        </is>
      </c>
      <c r="AD1118" t="inlineStr">
        <is>
          <t>20/07/2026</t>
        </is>
      </c>
      <c r="AE1118" t="inlineStr">
        <is>
          <t>31/07/2026</t>
        </is>
      </c>
      <c r="AF1118" t="inlineStr">
        <is>
          <t>Prazo premissa VALE</t>
        </is>
      </c>
    </row>
    <row r="1119">
      <c r="A1119">
        <v>1117</v>
      </c>
      <c r="B1119">
        <v>1</v>
      </c>
      <c r="C1119" t="inlineStr">
        <is>
          <t>1.2</t>
        </is>
      </c>
      <c r="D1119" t="inlineStr">
        <is>
          <t>A46</t>
        </is>
      </c>
      <c r="E1119" t="inlineStr">
        <is>
          <t>LD</t>
        </is>
      </c>
      <c r="F1119" t="inlineStr">
        <is>
          <t>EMPA</t>
        </is>
      </c>
      <c r="G1119" t="inlineStr">
        <is>
          <t>CLP-016</t>
        </is>
      </c>
      <c r="H1119" t="inlineStr">
        <is>
          <t>Protocolo</t>
        </is>
      </c>
      <c r="I1119">
        <v>4</v>
      </c>
      <c r="J1119" t="inlineStr">
        <is>
          <t>Terraplenagem</t>
        </is>
      </c>
      <c r="K1119" t="inlineStr">
        <is>
          <t>4.4</t>
        </is>
      </c>
      <c r="L1119" t="inlineStr">
        <is>
          <t>Banqueta</t>
        </is>
      </c>
      <c r="M1119" t="inlineStr">
        <is>
          <t>Material Solto</t>
        </is>
      </c>
      <c r="N1119" t="inlineStr">
        <is>
          <t>Material solto, necessário conformação na banqueta.</t>
        </is>
      </c>
      <c r="O1119" t="inlineStr">
        <is>
          <t>Tipo A</t>
        </is>
      </c>
      <c r="P1119" t="inlineStr">
        <is>
          <t>23+210</t>
        </is>
      </c>
      <c r="Q1119">
        <v>24420</v>
      </c>
      <c r="R1119" t="inlineStr">
        <is>
          <t>Aberta</t>
        </is>
      </c>
      <c r="T1119" t="inlineStr">
        <is>
          <t>Aline Batista</t>
        </is>
      </c>
      <c r="U1119" t="inlineStr">
        <is>
          <t>15/05/2026</t>
        </is>
      </c>
      <c r="V1119" t="inlineStr">
        <is>
          <t>22/05/2026</t>
        </is>
      </c>
      <c r="W1119">
        <v>19</v>
      </c>
      <c r="AA1119" t="inlineStr">
        <is>
          <t>Aberta -30 dias</t>
        </is>
      </c>
      <c r="AB1119" t="inlineStr">
        <is>
          <t>EMPA</t>
        </is>
      </c>
      <c r="AC1119" t="inlineStr">
        <is>
          <t>Aline</t>
        </is>
      </c>
      <c r="AD1119" t="inlineStr">
        <is>
          <t>22/07/2026</t>
        </is>
      </c>
      <c r="AE1119" t="inlineStr">
        <is>
          <t>29/07/2026</t>
        </is>
      </c>
      <c r="AF1119" t="inlineStr">
        <is>
          <t>Prazo Premissa VALE</t>
        </is>
      </c>
    </row>
    <row r="1120">
      <c r="A1120">
        <v>1118</v>
      </c>
      <c r="B1120">
        <v>1</v>
      </c>
      <c r="C1120" t="inlineStr">
        <is>
          <t>1.2</t>
        </is>
      </c>
      <c r="D1120" t="inlineStr">
        <is>
          <t>C43</t>
        </is>
      </c>
      <c r="E1120" t="inlineStr">
        <is>
          <t>LD</t>
        </is>
      </c>
      <c r="F1120" t="inlineStr">
        <is>
          <t>EMPA</t>
        </is>
      </c>
      <c r="G1120" t="inlineStr">
        <is>
          <t>CLP-016</t>
        </is>
      </c>
      <c r="H1120" t="inlineStr">
        <is>
          <t>Protocolo</t>
        </is>
      </c>
      <c r="I1120">
        <v>4</v>
      </c>
      <c r="J1120" t="inlineStr">
        <is>
          <t>Terraplenagem</t>
        </is>
      </c>
      <c r="K1120" t="inlineStr">
        <is>
          <t>4.4</t>
        </is>
      </c>
      <c r="L1120" t="inlineStr">
        <is>
          <t>Banqueta</t>
        </is>
      </c>
      <c r="M1120" t="inlineStr">
        <is>
          <t>Material Solto</t>
        </is>
      </c>
      <c r="N1120" t="inlineStr">
        <is>
          <t xml:space="preserve">Material solto na lateral do dispositivo, pendente remoção de pontos de pega de içamento. </t>
        </is>
      </c>
      <c r="O1120" t="inlineStr">
        <is>
          <t>Tipo A</t>
        </is>
      </c>
      <c r="P1120" t="inlineStr">
        <is>
          <t>25+420</t>
        </is>
      </c>
      <c r="Q1120">
        <v>25420</v>
      </c>
      <c r="R1120" t="inlineStr">
        <is>
          <t>Aberta</t>
        </is>
      </c>
      <c r="T1120" t="inlineStr">
        <is>
          <t>Aline Batista</t>
        </is>
      </c>
      <c r="U1120" t="inlineStr">
        <is>
          <t>15/05/2026</t>
        </is>
      </c>
      <c r="V1120" t="inlineStr">
        <is>
          <t>22/05/2026</t>
        </is>
      </c>
      <c r="W1120">
        <v>19</v>
      </c>
      <c r="AA1120" t="inlineStr">
        <is>
          <t>Aberta -30 dias</t>
        </is>
      </c>
      <c r="AB1120" t="inlineStr">
        <is>
          <t>EMPA</t>
        </is>
      </c>
      <c r="AC1120" t="inlineStr">
        <is>
          <t>Aline</t>
        </is>
      </c>
      <c r="AD1120" t="inlineStr">
        <is>
          <t>20/07/2026</t>
        </is>
      </c>
      <c r="AE1120" t="inlineStr">
        <is>
          <t>31/07/2026</t>
        </is>
      </c>
      <c r="AF1120" t="inlineStr">
        <is>
          <t>Prazo premissa VALE</t>
        </is>
      </c>
    </row>
    <row r="1121">
      <c r="A1121">
        <v>1119</v>
      </c>
      <c r="B1121">
        <v>1</v>
      </c>
      <c r="C1121" t="inlineStr">
        <is>
          <t>1.2</t>
        </is>
      </c>
      <c r="D1121" t="inlineStr">
        <is>
          <t>A46</t>
        </is>
      </c>
      <c r="E1121" t="inlineStr">
        <is>
          <t xml:space="preserve">LE </t>
        </is>
      </c>
      <c r="F1121" t="inlineStr">
        <is>
          <t>EMPA</t>
        </is>
      </c>
      <c r="G1121" t="inlineStr">
        <is>
          <t>CLP-016</t>
        </is>
      </c>
      <c r="H1121" t="inlineStr">
        <is>
          <t>Protocolo</t>
        </is>
      </c>
      <c r="I1121">
        <v>4</v>
      </c>
      <c r="J1121" t="inlineStr">
        <is>
          <t>Terraplenagem</t>
        </is>
      </c>
      <c r="K1121" t="inlineStr">
        <is>
          <t>4.9</t>
        </is>
      </c>
      <c r="L1121" t="inlineStr">
        <is>
          <t>ADME</t>
        </is>
      </c>
      <c r="M1121" t="inlineStr">
        <is>
          <t>Revegetação/ Hidrossemeadura</t>
        </is>
      </c>
      <c r="N1121" t="inlineStr">
        <is>
          <t>Necessário repasse de hidrossemeadura em ADME.</t>
        </is>
      </c>
      <c r="O1121" t="inlineStr">
        <is>
          <t>Tipo A</t>
        </is>
      </c>
      <c r="P1121" t="inlineStr">
        <is>
          <t>23+500</t>
        </is>
      </c>
      <c r="Q1121">
        <v>23500</v>
      </c>
      <c r="R1121" t="inlineStr">
        <is>
          <t>Aberta</t>
        </is>
      </c>
      <c r="T1121" t="inlineStr">
        <is>
          <t>Aline Batista</t>
        </is>
      </c>
      <c r="U1121" t="inlineStr">
        <is>
          <t>15/05/2026</t>
        </is>
      </c>
      <c r="V1121" t="inlineStr">
        <is>
          <t>22/05/2026</t>
        </is>
      </c>
      <c r="W1121">
        <v>19</v>
      </c>
      <c r="AA1121" t="inlineStr">
        <is>
          <t>Aberta -30 dias</t>
        </is>
      </c>
      <c r="AB1121" t="inlineStr">
        <is>
          <t>EMPA</t>
        </is>
      </c>
      <c r="AC1121" t="inlineStr">
        <is>
          <t>Aline</t>
        </is>
      </c>
      <c r="AD1121" t="inlineStr">
        <is>
          <t>22/07/2026</t>
        </is>
      </c>
      <c r="AE1121" t="inlineStr">
        <is>
          <t>29/07/2026</t>
        </is>
      </c>
      <c r="AF1121" t="inlineStr">
        <is>
          <t>Prazo Premissa VALE</t>
        </is>
      </c>
    </row>
    <row r="1122">
      <c r="A1122">
        <v>1120</v>
      </c>
      <c r="B1122">
        <v>1</v>
      </c>
      <c r="C1122" t="inlineStr">
        <is>
          <t>1.2</t>
        </is>
      </c>
      <c r="D1122" t="inlineStr">
        <is>
          <t>A46</t>
        </is>
      </c>
      <c r="E1122" t="inlineStr">
        <is>
          <t>LD</t>
        </is>
      </c>
      <c r="F1122" t="inlineStr">
        <is>
          <t>EMPA</t>
        </is>
      </c>
      <c r="G1122" t="inlineStr">
        <is>
          <t>CLP-016</t>
        </is>
      </c>
      <c r="H1122" t="inlineStr">
        <is>
          <t>Protocolo</t>
        </is>
      </c>
      <c r="I1122">
        <v>6</v>
      </c>
      <c r="J1122" t="inlineStr">
        <is>
          <t>Drenagem Superficial</t>
        </is>
      </c>
      <c r="K1122" t="inlineStr">
        <is>
          <t>6.1</t>
        </is>
      </c>
      <c r="L1122" t="inlineStr">
        <is>
          <t>VPC</t>
        </is>
      </c>
      <c r="M1122" t="inlineStr">
        <is>
          <t>Dispositivo não executado</t>
        </is>
      </c>
      <c r="N1122" t="inlineStr">
        <is>
          <t>Pendente execução de drenagem do acesso.</t>
        </is>
      </c>
      <c r="O1122" t="inlineStr">
        <is>
          <t>Tipo A</t>
        </is>
      </c>
      <c r="P1122" t="inlineStr">
        <is>
          <t>23+100</t>
        </is>
      </c>
      <c r="Q1122" t="inlineStr">
        <is>
          <t>23+100</t>
        </is>
      </c>
      <c r="R1122" t="inlineStr">
        <is>
          <t>Aberta</t>
        </is>
      </c>
      <c r="T1122" t="inlineStr">
        <is>
          <t>Aline Batista</t>
        </is>
      </c>
      <c r="U1122" t="inlineStr">
        <is>
          <t>15/05/2026</t>
        </is>
      </c>
      <c r="V1122" t="inlineStr">
        <is>
          <t>22/05/2026</t>
        </is>
      </c>
      <c r="W1122">
        <v>19</v>
      </c>
      <c r="AA1122" t="inlineStr">
        <is>
          <t>Aberta -30 dias</t>
        </is>
      </c>
      <c r="AB1122" t="inlineStr">
        <is>
          <t>EMPA</t>
        </is>
      </c>
      <c r="AC1122" t="inlineStr">
        <is>
          <t>Aline</t>
        </is>
      </c>
      <c r="AD1122" t="inlineStr">
        <is>
          <t>22/07/2026</t>
        </is>
      </c>
      <c r="AE1122" t="inlineStr">
        <is>
          <t>29/07/2026</t>
        </is>
      </c>
      <c r="AF1122" t="inlineStr">
        <is>
          <t>Prazo Premissa VALE</t>
        </is>
      </c>
    </row>
    <row r="1123">
      <c r="A1123">
        <v>1121</v>
      </c>
      <c r="B1123">
        <v>1</v>
      </c>
      <c r="C1123" t="inlineStr">
        <is>
          <t>1.2</t>
        </is>
      </c>
      <c r="D1123" t="inlineStr">
        <is>
          <t>A46</t>
        </is>
      </c>
      <c r="E1123" t="inlineStr">
        <is>
          <t>LD</t>
        </is>
      </c>
      <c r="F1123" t="inlineStr">
        <is>
          <t>EMPA</t>
        </is>
      </c>
      <c r="G1123" t="inlineStr">
        <is>
          <t>CLP-016</t>
        </is>
      </c>
      <c r="H1123" t="inlineStr">
        <is>
          <t>Protocolo</t>
        </is>
      </c>
      <c r="I1123">
        <v>6</v>
      </c>
      <c r="J1123" t="inlineStr">
        <is>
          <t>Drenagem Superficial</t>
        </is>
      </c>
      <c r="K1123" t="inlineStr">
        <is>
          <t>6.1</t>
        </is>
      </c>
      <c r="L1123" t="inlineStr">
        <is>
          <t>VPC</t>
        </is>
      </c>
      <c r="M1123" t="inlineStr">
        <is>
          <t>Dispositivo não executado</t>
        </is>
      </c>
      <c r="N1123" t="inlineStr">
        <is>
          <t>Pedência de execução do dispositivo de drenagem das banquetas.</t>
        </is>
      </c>
      <c r="O1123" t="inlineStr">
        <is>
          <t>Tipo A</t>
        </is>
      </c>
      <c r="P1123" t="inlineStr">
        <is>
          <t>23+200</t>
        </is>
      </c>
      <c r="Q1123">
        <v>23200</v>
      </c>
      <c r="R1123" t="inlineStr">
        <is>
          <t>Aberta</t>
        </is>
      </c>
      <c r="T1123" t="inlineStr">
        <is>
          <t>Aline Batista</t>
        </is>
      </c>
      <c r="U1123" t="inlineStr">
        <is>
          <t>15/05/2026</t>
        </is>
      </c>
      <c r="V1123" t="inlineStr">
        <is>
          <t>22/05/2026</t>
        </is>
      </c>
      <c r="W1123">
        <v>19</v>
      </c>
      <c r="AA1123" t="inlineStr">
        <is>
          <t>Aberta -30 dias</t>
        </is>
      </c>
      <c r="AB1123" t="inlineStr">
        <is>
          <t>EMPA</t>
        </is>
      </c>
      <c r="AC1123" t="inlineStr">
        <is>
          <t>Aline</t>
        </is>
      </c>
      <c r="AD1123" t="inlineStr">
        <is>
          <t>22/07/2026</t>
        </is>
      </c>
      <c r="AE1123" t="inlineStr">
        <is>
          <t>29/07/2026</t>
        </is>
      </c>
      <c r="AF1123" t="inlineStr">
        <is>
          <t>Prazo Premissa VALE</t>
        </is>
      </c>
    </row>
    <row r="1124">
      <c r="A1124">
        <v>1122</v>
      </c>
      <c r="B1124">
        <v>1</v>
      </c>
      <c r="C1124" t="inlineStr">
        <is>
          <t>1.2</t>
        </is>
      </c>
      <c r="D1124" t="inlineStr">
        <is>
          <t>A46</t>
        </is>
      </c>
      <c r="E1124" t="inlineStr">
        <is>
          <t>LD</t>
        </is>
      </c>
      <c r="F1124" t="inlineStr">
        <is>
          <t>EMPA</t>
        </is>
      </c>
      <c r="G1124" t="inlineStr">
        <is>
          <t>CLP-016</t>
        </is>
      </c>
      <c r="H1124" t="inlineStr">
        <is>
          <t>Protocolo</t>
        </is>
      </c>
      <c r="I1124">
        <v>6</v>
      </c>
      <c r="J1124" t="inlineStr">
        <is>
          <t>Drenagem Superficial</t>
        </is>
      </c>
      <c r="K1124" t="inlineStr">
        <is>
          <t>6.1</t>
        </is>
      </c>
      <c r="L1124" t="inlineStr">
        <is>
          <t>VPC</t>
        </is>
      </c>
      <c r="M1124" t="inlineStr">
        <is>
          <t>Dispositivo não executado</t>
        </is>
      </c>
      <c r="N1124" t="inlineStr">
        <is>
          <t>Pendência de execução de dispositivo de drenagem .</t>
        </is>
      </c>
      <c r="O1124" t="inlineStr">
        <is>
          <t>Tipo A</t>
        </is>
      </c>
      <c r="P1124" t="inlineStr">
        <is>
          <t>23+520</t>
        </is>
      </c>
      <c r="Q1124">
        <v>23520</v>
      </c>
      <c r="R1124" t="inlineStr">
        <is>
          <t>Aberta</t>
        </is>
      </c>
      <c r="T1124" t="inlineStr">
        <is>
          <t>Aline Batista</t>
        </is>
      </c>
      <c r="U1124" t="inlineStr">
        <is>
          <t>15/05/2026</t>
        </is>
      </c>
      <c r="V1124" t="inlineStr">
        <is>
          <t>22/05/2026</t>
        </is>
      </c>
      <c r="W1124">
        <v>19</v>
      </c>
      <c r="AA1124" t="inlineStr">
        <is>
          <t>Aberta -30 dias</t>
        </is>
      </c>
      <c r="AB1124" t="inlineStr">
        <is>
          <t>EMPA</t>
        </is>
      </c>
      <c r="AC1124" t="inlineStr">
        <is>
          <t>Aline</t>
        </is>
      </c>
      <c r="AD1124" t="inlineStr">
        <is>
          <t>22/07/2026</t>
        </is>
      </c>
      <c r="AE1124" t="inlineStr">
        <is>
          <t>29/07/2026</t>
        </is>
      </c>
      <c r="AF1124" t="inlineStr">
        <is>
          <t>Prazo Premissa VALE</t>
        </is>
      </c>
    </row>
    <row r="1125">
      <c r="A1125">
        <v>1123</v>
      </c>
      <c r="B1125">
        <v>1</v>
      </c>
      <c r="C1125" t="inlineStr">
        <is>
          <t>1.2</t>
        </is>
      </c>
      <c r="D1125" t="inlineStr">
        <is>
          <t>C43</t>
        </is>
      </c>
      <c r="E1125" t="inlineStr">
        <is>
          <t>LD</t>
        </is>
      </c>
      <c r="F1125" t="inlineStr">
        <is>
          <t>EMPA</t>
        </is>
      </c>
      <c r="G1125" t="inlineStr">
        <is>
          <t>CLP-016</t>
        </is>
      </c>
      <c r="H1125" t="inlineStr">
        <is>
          <t>Protocolo</t>
        </is>
      </c>
      <c r="I1125">
        <v>6</v>
      </c>
      <c r="J1125" t="inlineStr">
        <is>
          <t>Drenagem Superficial</t>
        </is>
      </c>
      <c r="K1125" t="inlineStr">
        <is>
          <t>6.1</t>
        </is>
      </c>
      <c r="L1125" t="inlineStr">
        <is>
          <t>CZB</t>
        </is>
      </c>
      <c r="M1125" t="inlineStr">
        <is>
          <t>Execuçao divergente do projeto</t>
        </is>
      </c>
      <c r="N1125" t="inlineStr">
        <is>
          <t>Pendência de execução de drenagem de banqueta.</t>
        </is>
      </c>
      <c r="O1125" t="inlineStr">
        <is>
          <t>Tipo A</t>
        </is>
      </c>
      <c r="P1125" t="inlineStr">
        <is>
          <t>24+260</t>
        </is>
      </c>
      <c r="Q1125">
        <v>24260</v>
      </c>
      <c r="R1125" t="inlineStr">
        <is>
          <t>Aberta</t>
        </is>
      </c>
      <c r="T1125" t="inlineStr">
        <is>
          <t>Aline Batista</t>
        </is>
      </c>
      <c r="U1125" t="inlineStr">
        <is>
          <t>15/05/2026</t>
        </is>
      </c>
      <c r="V1125" t="inlineStr">
        <is>
          <t>22/05/2026</t>
        </is>
      </c>
      <c r="W1125">
        <v>19</v>
      </c>
      <c r="AA1125" t="inlineStr">
        <is>
          <t>Aberta -30 dias</t>
        </is>
      </c>
      <c r="AB1125" t="inlineStr">
        <is>
          <t>EMPA</t>
        </is>
      </c>
      <c r="AC1125" t="inlineStr">
        <is>
          <t>Aline</t>
        </is>
      </c>
      <c r="AD1125" t="inlineStr">
        <is>
          <t>20/07/2026</t>
        </is>
      </c>
      <c r="AE1125" t="inlineStr">
        <is>
          <t>31/07/2026</t>
        </is>
      </c>
      <c r="AF1125" t="inlineStr">
        <is>
          <t>Prazo premissa VALE</t>
        </is>
      </c>
    </row>
    <row r="1126">
      <c r="A1126">
        <v>1124</v>
      </c>
      <c r="B1126">
        <v>1</v>
      </c>
      <c r="C1126" t="inlineStr">
        <is>
          <t>1.2</t>
        </is>
      </c>
      <c r="D1126" t="inlineStr">
        <is>
          <t>C43</t>
        </is>
      </c>
      <c r="E1126" t="inlineStr">
        <is>
          <t>LD</t>
        </is>
      </c>
      <c r="F1126" t="inlineStr">
        <is>
          <t>EMPA</t>
        </is>
      </c>
      <c r="G1126" t="inlineStr">
        <is>
          <t>CLP-016</t>
        </is>
      </c>
      <c r="H1126" t="inlineStr">
        <is>
          <t>Protocolo</t>
        </is>
      </c>
      <c r="I1126">
        <v>6</v>
      </c>
      <c r="J1126" t="inlineStr">
        <is>
          <t>Drenagem Superficial</t>
        </is>
      </c>
      <c r="K1126" t="inlineStr">
        <is>
          <t>6.1</t>
        </is>
      </c>
      <c r="L1126" t="inlineStr">
        <is>
          <t xml:space="preserve">Conexão </t>
        </is>
      </c>
      <c r="M1126" t="inlineStr">
        <is>
          <t>Execuçao divergente do projeto</t>
        </is>
      </c>
      <c r="N1126" t="inlineStr">
        <is>
          <t xml:space="preserve">Falta conexão entre a descida e a caixa coletora. </t>
        </is>
      </c>
      <c r="O1126" t="inlineStr">
        <is>
          <t>Tipo A</t>
        </is>
      </c>
      <c r="P1126" t="inlineStr">
        <is>
          <t>25+350</t>
        </is>
      </c>
      <c r="Q1126" t="inlineStr">
        <is>
          <t>25+351</t>
        </is>
      </c>
      <c r="R1126" t="inlineStr">
        <is>
          <t>Aberta</t>
        </is>
      </c>
      <c r="T1126" t="inlineStr">
        <is>
          <t>Aline Batista</t>
        </is>
      </c>
      <c r="U1126" t="inlineStr">
        <is>
          <t>15/05/2026</t>
        </is>
      </c>
      <c r="V1126" t="inlineStr">
        <is>
          <t>22/05/2026</t>
        </is>
      </c>
      <c r="W1126">
        <v>19</v>
      </c>
      <c r="AA1126" t="inlineStr">
        <is>
          <t>Aberta -30 dias</t>
        </is>
      </c>
      <c r="AB1126" t="inlineStr">
        <is>
          <t>EMPA</t>
        </is>
      </c>
      <c r="AC1126" t="inlineStr">
        <is>
          <t>Aline</t>
        </is>
      </c>
      <c r="AD1126" t="inlineStr">
        <is>
          <t>20/07/2026</t>
        </is>
      </c>
      <c r="AE1126" t="inlineStr">
        <is>
          <t>31/07/2026</t>
        </is>
      </c>
      <c r="AF1126" t="inlineStr">
        <is>
          <t>Prazo premissa VALE</t>
        </is>
      </c>
    </row>
    <row r="1127">
      <c r="A1127">
        <v>1125</v>
      </c>
      <c r="B1127">
        <v>1</v>
      </c>
      <c r="C1127" t="inlineStr">
        <is>
          <t>1.2</t>
        </is>
      </c>
      <c r="D1127" t="inlineStr">
        <is>
          <t>C43</t>
        </is>
      </c>
      <c r="E1127" t="inlineStr">
        <is>
          <t>LD</t>
        </is>
      </c>
      <c r="F1127" t="inlineStr">
        <is>
          <t>EMPA</t>
        </is>
      </c>
      <c r="G1127" t="inlineStr">
        <is>
          <t>CLP-016</t>
        </is>
      </c>
      <c r="H1127" t="inlineStr">
        <is>
          <t>Protocolo</t>
        </is>
      </c>
      <c r="I1127">
        <v>6</v>
      </c>
      <c r="J1127" t="inlineStr">
        <is>
          <t>Drenagem Superficial</t>
        </is>
      </c>
      <c r="K1127" t="inlineStr">
        <is>
          <t>6.1</t>
        </is>
      </c>
      <c r="L1127" t="inlineStr">
        <is>
          <t>VPC</t>
        </is>
      </c>
      <c r="M1127" t="inlineStr">
        <is>
          <t>Dispositivo não executado</t>
        </is>
      </c>
      <c r="N1127" t="inlineStr">
        <is>
          <t>Pendência de execução de drenagem de plataforma do acesso.</t>
        </is>
      </c>
      <c r="O1127" t="inlineStr">
        <is>
          <t>Tipo A</t>
        </is>
      </c>
      <c r="P1127" t="inlineStr">
        <is>
          <t>25+500</t>
        </is>
      </c>
      <c r="Q1127">
        <v>25500</v>
      </c>
      <c r="R1127" t="inlineStr">
        <is>
          <t>Aberta</t>
        </is>
      </c>
      <c r="T1127" t="inlineStr">
        <is>
          <t>Aline Batista</t>
        </is>
      </c>
      <c r="U1127" t="inlineStr">
        <is>
          <t>15/05/2026</t>
        </is>
      </c>
      <c r="V1127" t="inlineStr">
        <is>
          <t>22/05/2026</t>
        </is>
      </c>
      <c r="W1127">
        <v>19</v>
      </c>
      <c r="AA1127" t="inlineStr">
        <is>
          <t>Aberta -30 dias</t>
        </is>
      </c>
      <c r="AB1127" t="inlineStr">
        <is>
          <t>EMPA</t>
        </is>
      </c>
      <c r="AC1127" t="inlineStr">
        <is>
          <t>Aline</t>
        </is>
      </c>
      <c r="AD1127" t="inlineStr">
        <is>
          <t>20/07/2026</t>
        </is>
      </c>
      <c r="AE1127" t="inlineStr">
        <is>
          <t>31/07/2026</t>
        </is>
      </c>
      <c r="AF1127" t="inlineStr">
        <is>
          <t>Prazo premissa VALE</t>
        </is>
      </c>
    </row>
    <row r="1128">
      <c r="A1128">
        <v>1126</v>
      </c>
      <c r="B1128">
        <v>1</v>
      </c>
      <c r="C1128" t="inlineStr">
        <is>
          <t>1.2</t>
        </is>
      </c>
      <c r="D1128" t="inlineStr">
        <is>
          <t>A46</t>
        </is>
      </c>
      <c r="E1128" t="inlineStr">
        <is>
          <t>LE</t>
        </is>
      </c>
      <c r="F1128" t="inlineStr">
        <is>
          <t>EMPA</t>
        </is>
      </c>
      <c r="G1128" t="inlineStr">
        <is>
          <t>CLP-016</t>
        </is>
      </c>
      <c r="H1128" t="inlineStr">
        <is>
          <t>Protocolo</t>
        </is>
      </c>
      <c r="I1128">
        <v>6</v>
      </c>
      <c r="J1128" t="inlineStr">
        <is>
          <t>Drenagem Superficial</t>
        </is>
      </c>
      <c r="K1128" t="inlineStr">
        <is>
          <t>6.1</t>
        </is>
      </c>
      <c r="L1128" t="inlineStr">
        <is>
          <t>VPC</t>
        </is>
      </c>
      <c r="M1128" t="inlineStr">
        <is>
          <t>Dispositivo não executado</t>
        </is>
      </c>
      <c r="N1128" t="inlineStr">
        <is>
          <t>Drenagem de acesso lado esquerdo não finalizada.</t>
        </is>
      </c>
      <c r="O1128" t="inlineStr">
        <is>
          <t>Tipo A</t>
        </is>
      </c>
      <c r="P1128" t="inlineStr">
        <is>
          <t>23+700</t>
        </is>
      </c>
      <c r="Q1128">
        <v>23700</v>
      </c>
      <c r="R1128" t="inlineStr">
        <is>
          <t>Aberta</t>
        </is>
      </c>
      <c r="T1128" t="inlineStr">
        <is>
          <t>Aline Batista</t>
        </is>
      </c>
      <c r="U1128" t="inlineStr">
        <is>
          <t>15/05/2026</t>
        </is>
      </c>
      <c r="V1128" t="inlineStr">
        <is>
          <t>22/05/2026</t>
        </is>
      </c>
      <c r="W1128">
        <v>19</v>
      </c>
      <c r="AA1128" t="inlineStr">
        <is>
          <t>Aberta -30 dias</t>
        </is>
      </c>
      <c r="AB1128" t="inlineStr">
        <is>
          <t>EMPA</t>
        </is>
      </c>
      <c r="AC1128" t="inlineStr">
        <is>
          <t>Aline</t>
        </is>
      </c>
      <c r="AD1128" t="inlineStr">
        <is>
          <t>22/07/2026</t>
        </is>
      </c>
      <c r="AE1128" t="inlineStr">
        <is>
          <t>29/07/2026</t>
        </is>
      </c>
      <c r="AF1128" t="inlineStr">
        <is>
          <t>Prazo Premissa VALE</t>
        </is>
      </c>
    </row>
    <row r="1129">
      <c r="A1129">
        <v>1127</v>
      </c>
      <c r="B1129">
        <v>1</v>
      </c>
      <c r="C1129" t="inlineStr">
        <is>
          <t>1.2</t>
        </is>
      </c>
      <c r="D1129" t="inlineStr">
        <is>
          <t>A46</t>
        </is>
      </c>
      <c r="F1129" t="inlineStr">
        <is>
          <t>EMPA</t>
        </is>
      </c>
      <c r="G1129" t="inlineStr">
        <is>
          <t>CLP-016</t>
        </is>
      </c>
      <c r="H1129" t="inlineStr">
        <is>
          <t>Protocolo</t>
        </is>
      </c>
      <c r="I1129">
        <v>6</v>
      </c>
      <c r="J1129" t="inlineStr">
        <is>
          <t>Drenagem Superficial</t>
        </is>
      </c>
      <c r="K1129" t="inlineStr">
        <is>
          <t>6.1</t>
        </is>
      </c>
      <c r="L1129" t="inlineStr">
        <is>
          <t>CZB 01</t>
        </is>
      </c>
      <c r="M1129" t="inlineStr">
        <is>
          <t>Dispositivo não executado</t>
        </is>
      </c>
      <c r="N1129" t="inlineStr">
        <is>
          <t>CZB não executada.</t>
        </is>
      </c>
      <c r="O1129" t="inlineStr">
        <is>
          <t>Tipo A</t>
        </is>
      </c>
      <c r="P1129" t="inlineStr">
        <is>
          <t>23+140</t>
        </is>
      </c>
      <c r="Q1129" t="inlineStr">
        <is>
          <t>23+290</t>
        </is>
      </c>
      <c r="R1129" t="inlineStr">
        <is>
          <t>Aberta</t>
        </is>
      </c>
      <c r="T1129" t="inlineStr">
        <is>
          <t>Aline Batista</t>
        </is>
      </c>
      <c r="U1129" t="inlineStr">
        <is>
          <t>15/05/2026</t>
        </is>
      </c>
      <c r="V1129" t="inlineStr">
        <is>
          <t>22/05/2026</t>
        </is>
      </c>
      <c r="W1129">
        <v>19</v>
      </c>
      <c r="AA1129" t="inlineStr">
        <is>
          <t>Aberta -30 dias</t>
        </is>
      </c>
      <c r="AB1129" t="inlineStr">
        <is>
          <t>EMPA</t>
        </is>
      </c>
      <c r="AC1129" t="inlineStr">
        <is>
          <t>Aline</t>
        </is>
      </c>
      <c r="AD1129" t="inlineStr">
        <is>
          <t>22/07/2026</t>
        </is>
      </c>
      <c r="AE1129" t="inlineStr">
        <is>
          <t>29/07/2026</t>
        </is>
      </c>
      <c r="AF1129" t="inlineStr">
        <is>
          <t>Prazo Premissa VALE</t>
        </is>
      </c>
    </row>
    <row r="1130">
      <c r="A1130">
        <v>1128</v>
      </c>
      <c r="B1130">
        <v>1</v>
      </c>
      <c r="C1130" t="inlineStr">
        <is>
          <t>1.2</t>
        </is>
      </c>
      <c r="D1130" t="inlineStr">
        <is>
          <t>A46</t>
        </is>
      </c>
      <c r="F1130" t="inlineStr">
        <is>
          <t>EMPA</t>
        </is>
      </c>
      <c r="G1130" t="inlineStr">
        <is>
          <t>CLP-016</t>
        </is>
      </c>
      <c r="H1130" t="inlineStr">
        <is>
          <t>Protocolo</t>
        </is>
      </c>
      <c r="I1130">
        <v>6</v>
      </c>
      <c r="J1130" t="inlineStr">
        <is>
          <t>Drenagem Superficial</t>
        </is>
      </c>
      <c r="K1130" t="inlineStr">
        <is>
          <t>6.1</t>
        </is>
      </c>
      <c r="L1130" t="inlineStr">
        <is>
          <t>VPC 04</t>
        </is>
      </c>
      <c r="M1130" t="inlineStr">
        <is>
          <t>Dispositivo não executado</t>
        </is>
      </c>
      <c r="N1130" t="inlineStr">
        <is>
          <t>VPC não executada.</t>
        </is>
      </c>
      <c r="O1130" t="inlineStr">
        <is>
          <t>Tipo A</t>
        </is>
      </c>
      <c r="P1130" t="inlineStr">
        <is>
          <t>23+685</t>
        </is>
      </c>
      <c r="Q1130" t="inlineStr">
        <is>
          <t>23+308</t>
        </is>
      </c>
      <c r="R1130" t="inlineStr">
        <is>
          <t>Aberta</t>
        </is>
      </c>
      <c r="T1130" t="inlineStr">
        <is>
          <t>Aline Batista</t>
        </is>
      </c>
      <c r="U1130" t="inlineStr">
        <is>
          <t>15/05/2026</t>
        </is>
      </c>
      <c r="V1130" t="inlineStr">
        <is>
          <t>22/05/2026</t>
        </is>
      </c>
      <c r="W1130">
        <v>19</v>
      </c>
      <c r="AA1130" t="inlineStr">
        <is>
          <t>Aberta -30 dias</t>
        </is>
      </c>
      <c r="AB1130" t="inlineStr">
        <is>
          <t>EMPA</t>
        </is>
      </c>
      <c r="AC1130" t="inlineStr">
        <is>
          <t>Aline</t>
        </is>
      </c>
      <c r="AD1130" t="inlineStr">
        <is>
          <t>22/07/2026</t>
        </is>
      </c>
      <c r="AE1130" t="inlineStr">
        <is>
          <t>29/07/2026</t>
        </is>
      </c>
      <c r="AF1130" t="inlineStr">
        <is>
          <t>Prazo Premissa VALE</t>
        </is>
      </c>
    </row>
    <row r="1131">
      <c r="A1131">
        <v>1129</v>
      </c>
      <c r="B1131">
        <v>1</v>
      </c>
      <c r="C1131" t="inlineStr">
        <is>
          <t>1.2</t>
        </is>
      </c>
      <c r="D1131" t="inlineStr">
        <is>
          <t>A46</t>
        </is>
      </c>
      <c r="F1131" t="inlineStr">
        <is>
          <t>EMPA</t>
        </is>
      </c>
      <c r="G1131" t="inlineStr">
        <is>
          <t>CLP-016</t>
        </is>
      </c>
      <c r="H1131" t="inlineStr">
        <is>
          <t>Protocolo</t>
        </is>
      </c>
      <c r="I1131">
        <v>6</v>
      </c>
      <c r="J1131" t="inlineStr">
        <is>
          <t>Drenagem Superficial</t>
        </is>
      </c>
      <c r="K1131" t="inlineStr">
        <is>
          <t>6.1</t>
        </is>
      </c>
      <c r="L1131" t="inlineStr">
        <is>
          <t>VPC 01</t>
        </is>
      </c>
      <c r="M1131" t="inlineStr">
        <is>
          <t>Dispositivo não executado</t>
        </is>
      </c>
      <c r="N1131" t="inlineStr">
        <is>
          <t>VPC não executada.</t>
        </is>
      </c>
      <c r="O1131" t="inlineStr">
        <is>
          <t>Tipo A</t>
        </is>
      </c>
      <c r="P1131" t="inlineStr">
        <is>
          <t>23+685</t>
        </is>
      </c>
      <c r="Q1131" t="inlineStr">
        <is>
          <t>23+380</t>
        </is>
      </c>
      <c r="R1131" t="inlineStr">
        <is>
          <t>Aberta</t>
        </is>
      </c>
      <c r="T1131" t="inlineStr">
        <is>
          <t>Aline Batista</t>
        </is>
      </c>
      <c r="U1131" t="inlineStr">
        <is>
          <t>15/05/2026</t>
        </is>
      </c>
      <c r="V1131" t="inlineStr">
        <is>
          <t>22/05/2026</t>
        </is>
      </c>
      <c r="W1131">
        <v>19</v>
      </c>
      <c r="AA1131" t="inlineStr">
        <is>
          <t>Aberta -30 dias</t>
        </is>
      </c>
      <c r="AB1131" t="inlineStr">
        <is>
          <t>EMPA</t>
        </is>
      </c>
      <c r="AC1131" t="inlineStr">
        <is>
          <t>Aline</t>
        </is>
      </c>
      <c r="AD1131" t="inlineStr">
        <is>
          <t>22/07/2026</t>
        </is>
      </c>
      <c r="AE1131" t="inlineStr">
        <is>
          <t>29/07/2026</t>
        </is>
      </c>
      <c r="AF1131" t="inlineStr">
        <is>
          <t>Prazo Premissa VALE</t>
        </is>
      </c>
    </row>
    <row r="1132">
      <c r="A1132">
        <v>1130</v>
      </c>
      <c r="B1132">
        <v>1</v>
      </c>
      <c r="C1132" t="inlineStr">
        <is>
          <t>1.2</t>
        </is>
      </c>
      <c r="D1132" t="inlineStr">
        <is>
          <t>A46</t>
        </is>
      </c>
      <c r="F1132" t="inlineStr">
        <is>
          <t>EMPA</t>
        </is>
      </c>
      <c r="G1132" t="inlineStr">
        <is>
          <t>CLP-016</t>
        </is>
      </c>
      <c r="H1132" t="inlineStr">
        <is>
          <t>Protocolo</t>
        </is>
      </c>
      <c r="I1132">
        <v>6</v>
      </c>
      <c r="J1132" t="inlineStr">
        <is>
          <t>Drenagem Superficial</t>
        </is>
      </c>
      <c r="K1132" t="inlineStr">
        <is>
          <t>6.1</t>
        </is>
      </c>
      <c r="L1132" t="inlineStr">
        <is>
          <t>VPCD 01</t>
        </is>
      </c>
      <c r="M1132" t="inlineStr">
        <is>
          <t>Dispositivo não executado</t>
        </is>
      </c>
      <c r="N1132" t="inlineStr">
        <is>
          <t>VPCD não executada.</t>
        </is>
      </c>
      <c r="O1132" t="inlineStr">
        <is>
          <t>Tipo A</t>
        </is>
      </c>
      <c r="P1132" t="inlineStr">
        <is>
          <t>23+380</t>
        </is>
      </c>
      <c r="Q1132" t="inlineStr">
        <is>
          <t>23+350</t>
        </is>
      </c>
      <c r="R1132" t="inlineStr">
        <is>
          <t>Aberta</t>
        </is>
      </c>
      <c r="T1132" t="inlineStr">
        <is>
          <t>Aline Batista</t>
        </is>
      </c>
      <c r="U1132" t="inlineStr">
        <is>
          <t>15/05/2026</t>
        </is>
      </c>
      <c r="V1132" t="inlineStr">
        <is>
          <t>22/05/2026</t>
        </is>
      </c>
      <c r="W1132">
        <v>19</v>
      </c>
      <c r="AA1132" t="inlineStr">
        <is>
          <t>Aberta -30 dias</t>
        </is>
      </c>
      <c r="AB1132" t="inlineStr">
        <is>
          <t>EMPA</t>
        </is>
      </c>
      <c r="AC1132" t="inlineStr">
        <is>
          <t>Aline</t>
        </is>
      </c>
      <c r="AD1132" t="inlineStr">
        <is>
          <t>22/07/2026</t>
        </is>
      </c>
      <c r="AE1132" t="inlineStr">
        <is>
          <t>29/07/2026</t>
        </is>
      </c>
      <c r="AF1132" t="inlineStr">
        <is>
          <t>Prazo Premissa VALE</t>
        </is>
      </c>
    </row>
    <row r="1133">
      <c r="A1133">
        <v>1131</v>
      </c>
      <c r="B1133">
        <v>1</v>
      </c>
      <c r="C1133" t="inlineStr">
        <is>
          <t>1.2</t>
        </is>
      </c>
      <c r="D1133" t="inlineStr">
        <is>
          <t>A46</t>
        </is>
      </c>
      <c r="F1133" t="inlineStr">
        <is>
          <t>EMPA</t>
        </is>
      </c>
      <c r="G1133" t="inlineStr">
        <is>
          <t>CLP-016</t>
        </is>
      </c>
      <c r="H1133" t="inlineStr">
        <is>
          <t>Protocolo</t>
        </is>
      </c>
      <c r="I1133">
        <v>6</v>
      </c>
      <c r="J1133" t="inlineStr">
        <is>
          <t>Drenagem Superficial</t>
        </is>
      </c>
      <c r="K1133" t="inlineStr">
        <is>
          <t>6.1</t>
        </is>
      </c>
      <c r="L1133" t="inlineStr">
        <is>
          <t>VPC 04</t>
        </is>
      </c>
      <c r="M1133" t="inlineStr">
        <is>
          <t>Dispositivo não executado</t>
        </is>
      </c>
      <c r="N1133" t="inlineStr">
        <is>
          <t>VPC não executada.</t>
        </is>
      </c>
      <c r="O1133" t="inlineStr">
        <is>
          <t>Tipo A</t>
        </is>
      </c>
      <c r="P1133" t="inlineStr">
        <is>
          <t>23+350</t>
        </is>
      </c>
      <c r="Q1133" t="inlineStr">
        <is>
          <t>23+308</t>
        </is>
      </c>
      <c r="R1133" t="inlineStr">
        <is>
          <t>Aberta</t>
        </is>
      </c>
      <c r="T1133" t="inlineStr">
        <is>
          <t>Aline Batista</t>
        </is>
      </c>
      <c r="U1133" t="inlineStr">
        <is>
          <t>15/05/2026</t>
        </is>
      </c>
      <c r="V1133" t="inlineStr">
        <is>
          <t>22/05/2026</t>
        </is>
      </c>
      <c r="W1133">
        <v>19</v>
      </c>
      <c r="AA1133" t="inlineStr">
        <is>
          <t>Aberta -30 dias</t>
        </is>
      </c>
      <c r="AB1133" t="inlineStr">
        <is>
          <t>EMPA</t>
        </is>
      </c>
      <c r="AC1133" t="inlineStr">
        <is>
          <t>Aline</t>
        </is>
      </c>
      <c r="AD1133" t="inlineStr">
        <is>
          <t>22/07/2026</t>
        </is>
      </c>
      <c r="AE1133" t="inlineStr">
        <is>
          <t>29/07/2026</t>
        </is>
      </c>
      <c r="AF1133" t="inlineStr">
        <is>
          <t>Prazo Premissa VALE</t>
        </is>
      </c>
    </row>
    <row r="1134">
      <c r="A1134">
        <v>1132</v>
      </c>
      <c r="B1134">
        <v>1</v>
      </c>
      <c r="C1134" t="inlineStr">
        <is>
          <t>1.3</t>
        </is>
      </c>
      <c r="D1134" t="inlineStr">
        <is>
          <t>C43</t>
        </is>
      </c>
      <c r="F1134" t="inlineStr">
        <is>
          <t>EMPA</t>
        </is>
      </c>
      <c r="G1134" t="inlineStr">
        <is>
          <t>CLP-016</t>
        </is>
      </c>
      <c r="H1134" t="inlineStr">
        <is>
          <t>Protocolo</t>
        </is>
      </c>
      <c r="I1134">
        <v>6</v>
      </c>
      <c r="J1134" t="inlineStr">
        <is>
          <t>Drenagem Superficial</t>
        </is>
      </c>
      <c r="K1134" t="inlineStr">
        <is>
          <t>6.1</t>
        </is>
      </c>
      <c r="L1134" t="inlineStr">
        <is>
          <t>VPC 01</t>
        </is>
      </c>
      <c r="M1134" t="inlineStr">
        <is>
          <t>Dispositivo não executado</t>
        </is>
      </c>
      <c r="N1134" t="inlineStr">
        <is>
          <t>VPC não executada.</t>
        </is>
      </c>
      <c r="O1134" t="inlineStr">
        <is>
          <t>Tipo A</t>
        </is>
      </c>
      <c r="P1134" t="inlineStr">
        <is>
          <t>26+710</t>
        </is>
      </c>
      <c r="Q1134" t="inlineStr">
        <is>
          <t>26+580</t>
        </is>
      </c>
      <c r="R1134" t="inlineStr">
        <is>
          <t>Aberta</t>
        </is>
      </c>
      <c r="T1134" t="inlineStr">
        <is>
          <t>Aline Batista</t>
        </is>
      </c>
      <c r="U1134" t="inlineStr">
        <is>
          <t>15/05/2026</t>
        </is>
      </c>
      <c r="V1134" t="inlineStr">
        <is>
          <t>22/05/2026</t>
        </is>
      </c>
      <c r="W1134">
        <v>19</v>
      </c>
      <c r="AA1134" t="inlineStr">
        <is>
          <t>Aberta -30 dias</t>
        </is>
      </c>
      <c r="AB1134" t="inlineStr">
        <is>
          <t>EMPA</t>
        </is>
      </c>
      <c r="AC1134" t="inlineStr">
        <is>
          <t>Aline</t>
        </is>
      </c>
      <c r="AD1134" t="inlineStr">
        <is>
          <t>20/07/2026</t>
        </is>
      </c>
      <c r="AE1134" t="inlineStr">
        <is>
          <t>31/07/2026</t>
        </is>
      </c>
      <c r="AF1134" t="inlineStr">
        <is>
          <t>Prazo Premissa VALE</t>
        </is>
      </c>
    </row>
    <row r="1135">
      <c r="A1135">
        <v>1133</v>
      </c>
      <c r="B1135">
        <v>1</v>
      </c>
      <c r="C1135" t="inlineStr">
        <is>
          <t>1.3</t>
        </is>
      </c>
      <c r="D1135" t="inlineStr">
        <is>
          <t>C43</t>
        </is>
      </c>
      <c r="F1135" t="inlineStr">
        <is>
          <t>EMPA</t>
        </is>
      </c>
      <c r="G1135" t="inlineStr">
        <is>
          <t>CLP-016</t>
        </is>
      </c>
      <c r="H1135" t="inlineStr">
        <is>
          <t>Protocolo</t>
        </is>
      </c>
      <c r="I1135">
        <v>6</v>
      </c>
      <c r="J1135" t="inlineStr">
        <is>
          <t>Drenagem Superficial</t>
        </is>
      </c>
      <c r="K1135" t="inlineStr">
        <is>
          <t>6.1</t>
        </is>
      </c>
      <c r="L1135" t="inlineStr">
        <is>
          <t>VPCD 01</t>
        </is>
      </c>
      <c r="M1135" t="inlineStr">
        <is>
          <t>Dispositivo não executado</t>
        </is>
      </c>
      <c r="N1135" t="inlineStr">
        <is>
          <t>VPCD não executada.</t>
        </is>
      </c>
      <c r="O1135" t="inlineStr">
        <is>
          <t>Tipo A</t>
        </is>
      </c>
      <c r="P1135" t="inlineStr">
        <is>
          <t>26+580</t>
        </is>
      </c>
      <c r="Q1135" t="inlineStr">
        <is>
          <t>26+570</t>
        </is>
      </c>
      <c r="R1135" t="inlineStr">
        <is>
          <t>Aberta</t>
        </is>
      </c>
      <c r="T1135" t="inlineStr">
        <is>
          <t>Aline Batista</t>
        </is>
      </c>
      <c r="U1135" t="inlineStr">
        <is>
          <t>15/05/2026</t>
        </is>
      </c>
      <c r="V1135" t="inlineStr">
        <is>
          <t>22/05/2026</t>
        </is>
      </c>
      <c r="W1135">
        <v>19</v>
      </c>
      <c r="AA1135" t="inlineStr">
        <is>
          <t>Aberta -30 dias</t>
        </is>
      </c>
      <c r="AB1135" t="inlineStr">
        <is>
          <t>EMPA</t>
        </is>
      </c>
      <c r="AC1135" t="inlineStr">
        <is>
          <t>Aline</t>
        </is>
      </c>
      <c r="AD1135" t="inlineStr">
        <is>
          <t>20/07/2026</t>
        </is>
      </c>
      <c r="AE1135" t="inlineStr">
        <is>
          <t>31/07/2026</t>
        </is>
      </c>
      <c r="AF1135" t="inlineStr">
        <is>
          <t>Prazo Premissa VALE</t>
        </is>
      </c>
    </row>
    <row r="1136">
      <c r="A1136">
        <v>1134</v>
      </c>
      <c r="B1136">
        <v>1</v>
      </c>
      <c r="C1136" t="inlineStr">
        <is>
          <t>1.2</t>
        </is>
      </c>
      <c r="D1136" t="inlineStr">
        <is>
          <t>A46</t>
        </is>
      </c>
      <c r="E1136" t="inlineStr">
        <is>
          <t>LE</t>
        </is>
      </c>
      <c r="F1136" t="inlineStr">
        <is>
          <t>EMPA</t>
        </is>
      </c>
      <c r="G1136" t="inlineStr">
        <is>
          <t>CLP-016</t>
        </is>
      </c>
      <c r="H1136" t="inlineStr">
        <is>
          <t>Protocolo</t>
        </is>
      </c>
      <c r="I1136">
        <v>6</v>
      </c>
      <c r="J1136" t="inlineStr">
        <is>
          <t>Drenagem Superficial</t>
        </is>
      </c>
      <c r="K1136" t="inlineStr">
        <is>
          <t>6.1</t>
        </is>
      </c>
      <c r="L1136" t="inlineStr">
        <is>
          <t>VPC</t>
        </is>
      </c>
      <c r="M1136" t="inlineStr">
        <is>
          <t>Dispositivo não executado</t>
        </is>
      </c>
      <c r="N1136" t="inlineStr">
        <is>
          <t>Pendente conclusão de drenagem superficial.</t>
        </is>
      </c>
      <c r="O1136" t="inlineStr">
        <is>
          <t>Tipo A</t>
        </is>
      </c>
      <c r="P1136" t="inlineStr">
        <is>
          <t>23+700</t>
        </is>
      </c>
      <c r="Q1136">
        <v>23700</v>
      </c>
      <c r="R1136" t="inlineStr">
        <is>
          <t>Aberta</t>
        </is>
      </c>
      <c r="T1136" t="inlineStr">
        <is>
          <t>Aline Batista</t>
        </is>
      </c>
      <c r="U1136" t="inlineStr">
        <is>
          <t>15/05/2026</t>
        </is>
      </c>
      <c r="V1136" t="inlineStr">
        <is>
          <t>22/05/2026</t>
        </is>
      </c>
      <c r="W1136">
        <v>19</v>
      </c>
      <c r="AA1136" t="inlineStr">
        <is>
          <t>Aberta -30 dias</t>
        </is>
      </c>
      <c r="AB1136" t="inlineStr">
        <is>
          <t>EMPA</t>
        </is>
      </c>
      <c r="AC1136" t="inlineStr">
        <is>
          <t>Aline</t>
        </is>
      </c>
      <c r="AD1136" t="inlineStr">
        <is>
          <t>22/07/2026</t>
        </is>
      </c>
      <c r="AE1136" t="inlineStr">
        <is>
          <t>29/07/2026</t>
        </is>
      </c>
      <c r="AF1136" t="inlineStr">
        <is>
          <t>Prazo Premissa VALE</t>
        </is>
      </c>
    </row>
    <row r="1137">
      <c r="A1137">
        <v>1135</v>
      </c>
      <c r="B1137">
        <v>1</v>
      </c>
      <c r="C1137" t="inlineStr">
        <is>
          <t>1.3</t>
        </is>
      </c>
      <c r="D1137" t="inlineStr">
        <is>
          <t>C43</t>
        </is>
      </c>
      <c r="F1137" t="inlineStr">
        <is>
          <t>EMPA</t>
        </is>
      </c>
      <c r="G1137" t="inlineStr">
        <is>
          <t>CLP-016</t>
        </is>
      </c>
      <c r="H1137" t="inlineStr">
        <is>
          <t>Protocolo</t>
        </is>
      </c>
      <c r="I1137">
        <v>6</v>
      </c>
      <c r="J1137" t="inlineStr">
        <is>
          <t>Drenagem Superficial</t>
        </is>
      </c>
      <c r="K1137" t="inlineStr">
        <is>
          <t>6.1</t>
        </is>
      </c>
      <c r="L1137" t="inlineStr">
        <is>
          <t>VPC</t>
        </is>
      </c>
      <c r="M1137" t="inlineStr">
        <is>
          <t>Erosões</t>
        </is>
      </c>
      <c r="N1137" t="inlineStr">
        <is>
          <t>Drenagem descalçada em decorrência de erosões.</t>
        </is>
      </c>
      <c r="O1137" t="inlineStr">
        <is>
          <t>Tipo A</t>
        </is>
      </c>
      <c r="P1137" t="inlineStr">
        <is>
          <t xml:space="preserve">25+800 </t>
        </is>
      </c>
      <c r="Q1137">
        <v>26430</v>
      </c>
      <c r="R1137" t="inlineStr">
        <is>
          <t>Aberta</t>
        </is>
      </c>
      <c r="T1137" t="inlineStr">
        <is>
          <t>Aline Batista</t>
        </is>
      </c>
      <c r="U1137" t="inlineStr">
        <is>
          <t>15/05/2026</t>
        </is>
      </c>
      <c r="V1137" t="inlineStr">
        <is>
          <t>22/05/2026</t>
        </is>
      </c>
      <c r="W1137">
        <v>19</v>
      </c>
      <c r="AA1137" t="inlineStr">
        <is>
          <t>Aberta -30 dias</t>
        </is>
      </c>
      <c r="AB1137" t="inlineStr">
        <is>
          <t>CT-REMANESCENTE</t>
        </is>
      </c>
      <c r="AC1137" t="inlineStr">
        <is>
          <t>Aline</t>
        </is>
      </c>
      <c r="AD1137" t="inlineStr">
        <is>
          <t>10/07/2026</t>
        </is>
      </c>
      <c r="AE1137" t="inlineStr">
        <is>
          <t>31/08/2026</t>
        </is>
      </c>
      <c r="AF1137" t="inlineStr">
        <is>
          <t>Prazo Premissa VALE</t>
        </is>
      </c>
    </row>
    <row r="1138">
      <c r="A1138">
        <v>1136</v>
      </c>
      <c r="B1138">
        <v>1</v>
      </c>
      <c r="C1138" t="inlineStr">
        <is>
          <t>1.2</t>
        </is>
      </c>
      <c r="D1138" t="inlineStr">
        <is>
          <t>A46</t>
        </is>
      </c>
      <c r="E1138" t="inlineStr">
        <is>
          <t>LD</t>
        </is>
      </c>
      <c r="F1138" t="inlineStr">
        <is>
          <t>EMPA</t>
        </is>
      </c>
      <c r="G1138" t="inlineStr">
        <is>
          <t>CLP-016</t>
        </is>
      </c>
      <c r="H1138" t="inlineStr">
        <is>
          <t>Protocolo</t>
        </is>
      </c>
      <c r="I1138">
        <v>6</v>
      </c>
      <c r="J1138" t="inlineStr">
        <is>
          <t>Drenagem Superficial</t>
        </is>
      </c>
      <c r="K1138" t="inlineStr">
        <is>
          <t>6.10</t>
        </is>
      </c>
      <c r="L1138" t="inlineStr">
        <is>
          <t>CZB</t>
        </is>
      </c>
      <c r="M1138" t="inlineStr">
        <is>
          <t>Obstrução do dispositivo</t>
        </is>
      </c>
      <c r="N1138" t="inlineStr">
        <is>
          <t>Dispositivo obstruído na banqueta.</t>
        </is>
      </c>
      <c r="O1138" t="inlineStr">
        <is>
          <t>Tipo A</t>
        </is>
      </c>
      <c r="P1138" t="inlineStr">
        <is>
          <t>23+920</t>
        </is>
      </c>
      <c r="Q1138">
        <v>23920</v>
      </c>
      <c r="R1138" t="inlineStr">
        <is>
          <t>Aberta</t>
        </is>
      </c>
      <c r="T1138" t="inlineStr">
        <is>
          <t>Aline Batista</t>
        </is>
      </c>
      <c r="U1138" t="inlineStr">
        <is>
          <t>15/05/2026</t>
        </is>
      </c>
      <c r="V1138" t="inlineStr">
        <is>
          <t>22/05/2026</t>
        </is>
      </c>
      <c r="W1138">
        <v>19</v>
      </c>
      <c r="AA1138" t="inlineStr">
        <is>
          <t>Aberta -30 dias</t>
        </is>
      </c>
      <c r="AB1138" t="inlineStr">
        <is>
          <t>EMPA</t>
        </is>
      </c>
      <c r="AC1138" t="inlineStr">
        <is>
          <t>Aline</t>
        </is>
      </c>
      <c r="AD1138" t="inlineStr">
        <is>
          <t>22/07/2026</t>
        </is>
      </c>
      <c r="AE1138" t="inlineStr">
        <is>
          <t>29/07/2026</t>
        </is>
      </c>
      <c r="AF1138" t="inlineStr">
        <is>
          <t>Prazo Premissa VALE</t>
        </is>
      </c>
    </row>
    <row r="1139">
      <c r="A1139">
        <v>1137</v>
      </c>
      <c r="B1139">
        <v>1</v>
      </c>
      <c r="C1139" t="inlineStr">
        <is>
          <t>1.2</t>
        </is>
      </c>
      <c r="D1139" t="inlineStr">
        <is>
          <t>A46</t>
        </is>
      </c>
      <c r="E1139" t="inlineStr">
        <is>
          <t>LD/LE</t>
        </is>
      </c>
      <c r="F1139" t="inlineStr">
        <is>
          <t>EMPA</t>
        </is>
      </c>
      <c r="G1139" t="inlineStr">
        <is>
          <t>CLP-016</t>
        </is>
      </c>
      <c r="H1139" t="inlineStr">
        <is>
          <t>Protocolo</t>
        </is>
      </c>
      <c r="I1139">
        <v>6</v>
      </c>
      <c r="J1139" t="inlineStr">
        <is>
          <t>Drenagem Superficial</t>
        </is>
      </c>
      <c r="K1139" t="inlineStr">
        <is>
          <t>6.10</t>
        </is>
      </c>
      <c r="L1139" t="inlineStr">
        <is>
          <t>SZA</t>
        </is>
      </c>
      <c r="M1139" t="inlineStr">
        <is>
          <t>Obstrução do dispositivo</t>
        </is>
      </c>
      <c r="N1139" t="inlineStr">
        <is>
          <t>Drenagem obstruída.</t>
        </is>
      </c>
      <c r="O1139" t="inlineStr">
        <is>
          <t>Tipo A</t>
        </is>
      </c>
      <c r="P1139" t="inlineStr">
        <is>
          <t>23+150</t>
        </is>
      </c>
      <c r="Q1139" t="inlineStr">
        <is>
          <t>23+150</t>
        </is>
      </c>
      <c r="R1139" t="inlineStr">
        <is>
          <t>Aberta</t>
        </is>
      </c>
      <c r="T1139" t="inlineStr">
        <is>
          <t>Aline Batista</t>
        </is>
      </c>
      <c r="U1139" t="inlineStr">
        <is>
          <t>15/05/2026</t>
        </is>
      </c>
      <c r="V1139" t="inlineStr">
        <is>
          <t>22/05/2026</t>
        </is>
      </c>
      <c r="W1139">
        <v>19</v>
      </c>
      <c r="AA1139" t="inlineStr">
        <is>
          <t>Aberta -30 dias</t>
        </is>
      </c>
      <c r="AB1139" t="inlineStr">
        <is>
          <t>EMPA</t>
        </is>
      </c>
      <c r="AC1139" t="inlineStr">
        <is>
          <t>Aline</t>
        </is>
      </c>
      <c r="AD1139" t="inlineStr">
        <is>
          <t>22/07/2026</t>
        </is>
      </c>
      <c r="AE1139" t="inlineStr">
        <is>
          <t>29/07/2026</t>
        </is>
      </c>
      <c r="AF1139" t="inlineStr">
        <is>
          <t>Prazo Premissa VALE</t>
        </is>
      </c>
    </row>
    <row r="1140">
      <c r="A1140">
        <v>1138</v>
      </c>
      <c r="B1140">
        <v>1</v>
      </c>
      <c r="C1140" t="inlineStr">
        <is>
          <t>1.2</t>
        </is>
      </c>
      <c r="D1140" t="inlineStr">
        <is>
          <t>C43</t>
        </is>
      </c>
      <c r="E1140" t="inlineStr">
        <is>
          <t>LE</t>
        </is>
      </c>
      <c r="F1140" t="inlineStr">
        <is>
          <t>EMPA</t>
        </is>
      </c>
      <c r="G1140" t="inlineStr">
        <is>
          <t>CLP-016</t>
        </is>
      </c>
      <c r="H1140" t="inlineStr">
        <is>
          <t>Protocolo</t>
        </is>
      </c>
      <c r="I1140">
        <v>6</v>
      </c>
      <c r="J1140" t="inlineStr">
        <is>
          <t>Drenagem Superficial</t>
        </is>
      </c>
      <c r="K1140" t="inlineStr">
        <is>
          <t>6.10</t>
        </is>
      </c>
      <c r="L1140" t="inlineStr">
        <is>
          <t>VPC</t>
        </is>
      </c>
      <c r="M1140" t="inlineStr">
        <is>
          <t>Obstrução do dispositivo</t>
        </is>
      </c>
      <c r="N1140" t="inlineStr">
        <is>
          <t>Pendente limpeza de valeta obstruída.</t>
        </is>
      </c>
      <c r="O1140" t="inlineStr">
        <is>
          <t>Tipo A</t>
        </is>
      </c>
      <c r="P1140" t="inlineStr">
        <is>
          <t>24+020</t>
        </is>
      </c>
      <c r="Q1140">
        <v>24020</v>
      </c>
      <c r="R1140" t="inlineStr">
        <is>
          <t>Aberta</t>
        </is>
      </c>
      <c r="T1140" t="inlineStr">
        <is>
          <t>Aline Batista</t>
        </is>
      </c>
      <c r="U1140" t="inlineStr">
        <is>
          <t>15/05/2026</t>
        </is>
      </c>
      <c r="V1140" t="inlineStr">
        <is>
          <t>22/05/2026</t>
        </is>
      </c>
      <c r="W1140">
        <v>19</v>
      </c>
      <c r="AA1140" t="inlineStr">
        <is>
          <t>Aberta -30 dias</t>
        </is>
      </c>
      <c r="AB1140" t="inlineStr">
        <is>
          <t>EMPA</t>
        </is>
      </c>
      <c r="AC1140" t="inlineStr">
        <is>
          <t>Aline</t>
        </is>
      </c>
      <c r="AD1140" t="inlineStr">
        <is>
          <t>20/07/2026</t>
        </is>
      </c>
      <c r="AE1140" t="inlineStr">
        <is>
          <t>31/07/2026</t>
        </is>
      </c>
      <c r="AF1140" t="inlineStr">
        <is>
          <t>Prazo premissa VALE</t>
        </is>
      </c>
    </row>
    <row r="1141">
      <c r="A1141">
        <v>1139</v>
      </c>
      <c r="B1141">
        <v>1</v>
      </c>
      <c r="C1141" t="inlineStr">
        <is>
          <t>1.2</t>
        </is>
      </c>
      <c r="D1141" t="inlineStr">
        <is>
          <t>C43</t>
        </is>
      </c>
      <c r="E1141" t="inlineStr">
        <is>
          <t>LE</t>
        </is>
      </c>
      <c r="F1141" t="inlineStr">
        <is>
          <t>EMPA</t>
        </is>
      </c>
      <c r="G1141" t="inlineStr">
        <is>
          <t>CLP-016</t>
        </is>
      </c>
      <c r="H1141" t="inlineStr">
        <is>
          <t>Protocolo</t>
        </is>
      </c>
      <c r="I1141">
        <v>6</v>
      </c>
      <c r="J1141" t="inlineStr">
        <is>
          <t>Drenagem Superficial</t>
        </is>
      </c>
      <c r="K1141" t="inlineStr">
        <is>
          <t>6.10</t>
        </is>
      </c>
      <c r="L1141" t="inlineStr">
        <is>
          <t>VPC</t>
        </is>
      </c>
      <c r="M1141" t="inlineStr">
        <is>
          <t>Obstrução do dispositivo</t>
        </is>
      </c>
      <c r="N1141" t="inlineStr">
        <is>
          <t>Pendente limpeza de valeta obstruída.</t>
        </is>
      </c>
      <c r="O1141" t="inlineStr">
        <is>
          <t>Tipo A</t>
        </is>
      </c>
      <c r="P1141" t="inlineStr">
        <is>
          <t>24+200</t>
        </is>
      </c>
      <c r="Q1141">
        <v>24200</v>
      </c>
      <c r="R1141" t="inlineStr">
        <is>
          <t>Aberta</t>
        </is>
      </c>
      <c r="T1141" t="inlineStr">
        <is>
          <t>Aline Batista</t>
        </is>
      </c>
      <c r="U1141" t="inlineStr">
        <is>
          <t>15/05/2026</t>
        </is>
      </c>
      <c r="V1141" t="inlineStr">
        <is>
          <t>22/05/2026</t>
        </is>
      </c>
      <c r="W1141">
        <v>19</v>
      </c>
      <c r="AA1141" t="inlineStr">
        <is>
          <t>Aberta -30 dias</t>
        </is>
      </c>
      <c r="AB1141" t="inlineStr">
        <is>
          <t>EMPA</t>
        </is>
      </c>
      <c r="AC1141" t="inlineStr">
        <is>
          <t>Aline</t>
        </is>
      </c>
      <c r="AD1141" t="inlineStr">
        <is>
          <t>20/07/2026</t>
        </is>
      </c>
      <c r="AE1141" t="inlineStr">
        <is>
          <t>31/07/2026</t>
        </is>
      </c>
      <c r="AF1141" t="inlineStr">
        <is>
          <t>Prazo premissa VALE</t>
        </is>
      </c>
    </row>
    <row r="1142">
      <c r="A1142">
        <v>1140</v>
      </c>
      <c r="B1142">
        <v>1</v>
      </c>
      <c r="C1142" t="inlineStr">
        <is>
          <t>1.2</t>
        </is>
      </c>
      <c r="D1142" t="inlineStr">
        <is>
          <t>C43</t>
        </is>
      </c>
      <c r="E1142" t="inlineStr">
        <is>
          <t>LE</t>
        </is>
      </c>
      <c r="F1142" t="inlineStr">
        <is>
          <t>EMPA</t>
        </is>
      </c>
      <c r="G1142" t="inlineStr">
        <is>
          <t>CLP-016</t>
        </is>
      </c>
      <c r="H1142" t="inlineStr">
        <is>
          <t>Protocolo</t>
        </is>
      </c>
      <c r="I1142">
        <v>6</v>
      </c>
      <c r="J1142" t="inlineStr">
        <is>
          <t>Drenagem Superficial</t>
        </is>
      </c>
      <c r="K1142" t="inlineStr">
        <is>
          <t>6.10</t>
        </is>
      </c>
      <c r="L1142" t="inlineStr">
        <is>
          <t>VPC</t>
        </is>
      </c>
      <c r="M1142" t="inlineStr">
        <is>
          <t>Obstrução do dispositivo</t>
        </is>
      </c>
      <c r="N1142" t="inlineStr">
        <is>
          <t>Pendente limpeza de valeta obstruída.</t>
        </is>
      </c>
      <c r="O1142" t="inlineStr">
        <is>
          <t>Tipo A</t>
        </is>
      </c>
      <c r="P1142" t="inlineStr">
        <is>
          <t>24+450</t>
        </is>
      </c>
      <c r="Q1142">
        <v>24450</v>
      </c>
      <c r="R1142" t="inlineStr">
        <is>
          <t>Aberta</t>
        </is>
      </c>
      <c r="T1142" t="inlineStr">
        <is>
          <t>Aline Batista</t>
        </is>
      </c>
      <c r="U1142" t="inlineStr">
        <is>
          <t>15/05/2026</t>
        </is>
      </c>
      <c r="V1142" t="inlineStr">
        <is>
          <t>22/05/2026</t>
        </is>
      </c>
      <c r="W1142">
        <v>19</v>
      </c>
      <c r="AA1142" t="inlineStr">
        <is>
          <t>Aberta -30 dias</t>
        </is>
      </c>
      <c r="AB1142" t="inlineStr">
        <is>
          <t>EMPA</t>
        </is>
      </c>
      <c r="AC1142" t="inlineStr">
        <is>
          <t>Aline</t>
        </is>
      </c>
      <c r="AD1142" t="inlineStr">
        <is>
          <t>20/07/2026</t>
        </is>
      </c>
      <c r="AE1142" t="inlineStr">
        <is>
          <t>31/07/2026</t>
        </is>
      </c>
      <c r="AF1142" t="inlineStr">
        <is>
          <t>Prazo premissa VALE</t>
        </is>
      </c>
    </row>
    <row r="1143">
      <c r="A1143">
        <v>1141</v>
      </c>
      <c r="B1143">
        <v>1</v>
      </c>
      <c r="C1143" t="inlineStr">
        <is>
          <t>1.2</t>
        </is>
      </c>
      <c r="D1143" t="inlineStr">
        <is>
          <t>C43</t>
        </is>
      </c>
      <c r="E1143" t="inlineStr">
        <is>
          <t>LD</t>
        </is>
      </c>
      <c r="F1143" t="inlineStr">
        <is>
          <t>EMPA</t>
        </is>
      </c>
      <c r="G1143" t="inlineStr">
        <is>
          <t>CLP-016</t>
        </is>
      </c>
      <c r="H1143" t="inlineStr">
        <is>
          <t>Protocolo</t>
        </is>
      </c>
      <c r="I1143">
        <v>6</v>
      </c>
      <c r="J1143" t="inlineStr">
        <is>
          <t>Drenagem Superficial</t>
        </is>
      </c>
      <c r="K1143" t="inlineStr">
        <is>
          <t>6.10</t>
        </is>
      </c>
      <c r="L1143" t="inlineStr">
        <is>
          <t>VPC</t>
        </is>
      </c>
      <c r="M1143" t="inlineStr">
        <is>
          <t>Obstrução do dispositivo</t>
        </is>
      </c>
      <c r="N1143" t="inlineStr">
        <is>
          <t>Pendente limpeza de valeta obstruída.</t>
        </is>
      </c>
      <c r="O1143" t="inlineStr">
        <is>
          <t>Tipo A</t>
        </is>
      </c>
      <c r="P1143" t="inlineStr">
        <is>
          <t>25+310</t>
        </is>
      </c>
      <c r="Q1143">
        <v>25310</v>
      </c>
      <c r="R1143" t="inlineStr">
        <is>
          <t>Aberta</t>
        </is>
      </c>
      <c r="T1143" t="inlineStr">
        <is>
          <t>Aline Batista</t>
        </is>
      </c>
      <c r="U1143" t="inlineStr">
        <is>
          <t>15/05/2026</t>
        </is>
      </c>
      <c r="V1143" t="inlineStr">
        <is>
          <t>22/05/2026</t>
        </is>
      </c>
      <c r="W1143">
        <v>19</v>
      </c>
      <c r="AA1143" t="inlineStr">
        <is>
          <t>Aberta -30 dias</t>
        </is>
      </c>
      <c r="AB1143" t="inlineStr">
        <is>
          <t>EMPA</t>
        </is>
      </c>
      <c r="AC1143" t="inlineStr">
        <is>
          <t>Aline</t>
        </is>
      </c>
      <c r="AD1143" t="inlineStr">
        <is>
          <t>20/07/2026</t>
        </is>
      </c>
      <c r="AE1143" t="inlineStr">
        <is>
          <t>31/07/2026</t>
        </is>
      </c>
      <c r="AF1143" t="inlineStr">
        <is>
          <t>Prazo premissa VALE</t>
        </is>
      </c>
    </row>
    <row r="1144">
      <c r="A1144">
        <v>1142</v>
      </c>
      <c r="B1144">
        <v>1</v>
      </c>
      <c r="C1144" t="inlineStr">
        <is>
          <t>1.2</t>
        </is>
      </c>
      <c r="D1144" t="inlineStr">
        <is>
          <t>C43</t>
        </is>
      </c>
      <c r="E1144" t="inlineStr">
        <is>
          <t>LD</t>
        </is>
      </c>
      <c r="F1144" t="inlineStr">
        <is>
          <t>EMPA</t>
        </is>
      </c>
      <c r="G1144" t="inlineStr">
        <is>
          <t>CLP-016</t>
        </is>
      </c>
      <c r="H1144" t="inlineStr">
        <is>
          <t>Protocolo</t>
        </is>
      </c>
      <c r="I1144">
        <v>6</v>
      </c>
      <c r="J1144" t="inlineStr">
        <is>
          <t>Drenagem Superficial</t>
        </is>
      </c>
      <c r="K1144" t="inlineStr">
        <is>
          <t>6.10</t>
        </is>
      </c>
      <c r="L1144" t="inlineStr">
        <is>
          <t>VBC</t>
        </is>
      </c>
      <c r="M1144" t="inlineStr">
        <is>
          <t>Obstrução do dispositivo</t>
        </is>
      </c>
      <c r="N1144" t="inlineStr">
        <is>
          <t>Dispositivo obstruído na banqueta.</t>
        </is>
      </c>
      <c r="O1144" t="inlineStr">
        <is>
          <t>Tipo A</t>
        </is>
      </c>
      <c r="P1144" t="inlineStr">
        <is>
          <t>24+530</t>
        </is>
      </c>
      <c r="Q1144">
        <v>24900</v>
      </c>
      <c r="R1144" t="inlineStr">
        <is>
          <t>Aberta</t>
        </is>
      </c>
      <c r="T1144" t="inlineStr">
        <is>
          <t>Aline Batista</t>
        </is>
      </c>
      <c r="U1144" t="inlineStr">
        <is>
          <t>15/05/2026</t>
        </is>
      </c>
      <c r="V1144" t="inlineStr">
        <is>
          <t>22/05/2026</t>
        </is>
      </c>
      <c r="W1144">
        <v>19</v>
      </c>
      <c r="AA1144" t="inlineStr">
        <is>
          <t>Aberta -30 dias</t>
        </is>
      </c>
      <c r="AB1144" t="inlineStr">
        <is>
          <t>EMPA</t>
        </is>
      </c>
      <c r="AC1144" t="inlineStr">
        <is>
          <t>Aline</t>
        </is>
      </c>
      <c r="AD1144" t="inlineStr">
        <is>
          <t>20/07/2026</t>
        </is>
      </c>
      <c r="AE1144" t="inlineStr">
        <is>
          <t>31/07/2026</t>
        </is>
      </c>
      <c r="AF1144" t="inlineStr">
        <is>
          <t>Prazo premissa VALE</t>
        </is>
      </c>
    </row>
    <row r="1145">
      <c r="A1145">
        <v>1143</v>
      </c>
      <c r="B1145">
        <v>1</v>
      </c>
      <c r="C1145" t="inlineStr">
        <is>
          <t>1.2</t>
        </is>
      </c>
      <c r="D1145" t="inlineStr">
        <is>
          <t>A46</t>
        </is>
      </c>
      <c r="E1145" t="inlineStr">
        <is>
          <t>LD</t>
        </is>
      </c>
      <c r="F1145" t="inlineStr">
        <is>
          <t>EMPA</t>
        </is>
      </c>
      <c r="G1145" t="inlineStr">
        <is>
          <t>CLP-016</t>
        </is>
      </c>
      <c r="H1145" t="inlineStr">
        <is>
          <t>Protocolo</t>
        </is>
      </c>
      <c r="I1145">
        <v>6</v>
      </c>
      <c r="J1145" t="inlineStr">
        <is>
          <t>Drenagem Superficial</t>
        </is>
      </c>
      <c r="K1145" t="inlineStr">
        <is>
          <t>6.10</t>
        </is>
      </c>
      <c r="L1145" t="inlineStr">
        <is>
          <t>VBC</t>
        </is>
      </c>
      <c r="M1145" t="inlineStr">
        <is>
          <t>Obstrução do dispositivo</t>
        </is>
      </c>
      <c r="N1145" t="inlineStr">
        <is>
          <t xml:space="preserve">Obstrução de dispositivo </t>
        </is>
      </c>
      <c r="O1145" t="inlineStr">
        <is>
          <t>Tipo A</t>
        </is>
      </c>
      <c r="P1145" t="inlineStr">
        <is>
          <t>23+910</t>
        </is>
      </c>
      <c r="Q1145">
        <v>23910</v>
      </c>
      <c r="R1145" t="inlineStr">
        <is>
          <t>Aberta</t>
        </is>
      </c>
      <c r="T1145" t="inlineStr">
        <is>
          <t>Aline Batista</t>
        </is>
      </c>
      <c r="U1145" t="inlineStr">
        <is>
          <t>15/05/2026</t>
        </is>
      </c>
      <c r="V1145" t="inlineStr">
        <is>
          <t>22/05/2026</t>
        </is>
      </c>
      <c r="W1145">
        <v>19</v>
      </c>
      <c r="AA1145" t="inlineStr">
        <is>
          <t>Aberta -30 dias</t>
        </is>
      </c>
      <c r="AB1145" t="inlineStr">
        <is>
          <t>EMPA</t>
        </is>
      </c>
      <c r="AC1145" t="inlineStr">
        <is>
          <t>Aline</t>
        </is>
      </c>
      <c r="AD1145" t="inlineStr">
        <is>
          <t>22/07/2026</t>
        </is>
      </c>
      <c r="AE1145" t="inlineStr">
        <is>
          <t>29/07/2026</t>
        </is>
      </c>
      <c r="AF1145" t="inlineStr">
        <is>
          <t>Prazo Premissa VALE</t>
        </is>
      </c>
    </row>
    <row r="1146">
      <c r="A1146">
        <v>1144</v>
      </c>
      <c r="B1146">
        <v>1</v>
      </c>
      <c r="C1146" t="inlineStr">
        <is>
          <t>1.2</t>
        </is>
      </c>
      <c r="D1146" t="inlineStr">
        <is>
          <t>GERAL</t>
        </is>
      </c>
      <c r="E1146" t="inlineStr">
        <is>
          <t>-</t>
        </is>
      </c>
      <c r="F1146" t="inlineStr">
        <is>
          <t>EMPA</t>
        </is>
      </c>
      <c r="G1146" t="inlineStr">
        <is>
          <t>CLP-016</t>
        </is>
      </c>
      <c r="H1146" t="inlineStr">
        <is>
          <t>Protocolo</t>
        </is>
      </c>
      <c r="I1146">
        <v>6</v>
      </c>
      <c r="J1146" t="inlineStr">
        <is>
          <t>Drenagem Superficial</t>
        </is>
      </c>
      <c r="K1146" t="inlineStr">
        <is>
          <t>6.14</t>
        </is>
      </c>
      <c r="L1146" t="inlineStr">
        <is>
          <t>As built</t>
        </is>
      </c>
      <c r="M1146" t="inlineStr">
        <is>
          <t>Documental</t>
        </is>
      </c>
      <c r="N1146" t="inlineStr">
        <is>
          <t xml:space="preserve">Pendente aprovação de Data Book
(As Built, controle tecnológico, certificados de qualidade, RNC)</t>
        </is>
      </c>
      <c r="O1146" t="inlineStr">
        <is>
          <t>Tipo B</t>
        </is>
      </c>
      <c r="P1146" t="inlineStr">
        <is>
          <t>-</t>
        </is>
      </c>
      <c r="Q1146" t="inlineStr">
        <is>
          <t>-</t>
        </is>
      </c>
      <c r="R1146" t="inlineStr">
        <is>
          <t>Aberta</t>
        </is>
      </c>
      <c r="T1146" t="inlineStr">
        <is>
          <t>Aline Batista</t>
        </is>
      </c>
      <c r="U1146" t="inlineStr">
        <is>
          <t>15/05/2026</t>
        </is>
      </c>
      <c r="V1146" t="inlineStr">
        <is>
          <t>30/05/2026</t>
        </is>
      </c>
      <c r="W1146">
        <v>11</v>
      </c>
      <c r="AA1146" t="inlineStr">
        <is>
          <t>Aberta -30 dias</t>
        </is>
      </c>
      <c r="AB1146" t="inlineStr">
        <is>
          <t>EMPA</t>
        </is>
      </c>
      <c r="AC1146" t="inlineStr">
        <is>
          <t>Aline</t>
        </is>
      </c>
      <c r="AE1146" t="inlineStr">
        <is>
          <t>19/06/2026</t>
        </is>
      </c>
      <c r="AF1146" t="inlineStr">
        <is>
          <t>Ata de reunião de RM p/ BK</t>
        </is>
      </c>
    </row>
    <row r="1147">
      <c r="A1147">
        <v>1145</v>
      </c>
      <c r="B1147">
        <v>1</v>
      </c>
      <c r="C1147" t="inlineStr">
        <is>
          <t>1.2</t>
        </is>
      </c>
      <c r="D1147" t="inlineStr">
        <is>
          <t>GERAL</t>
        </is>
      </c>
      <c r="E1147" t="inlineStr">
        <is>
          <t>-</t>
        </is>
      </c>
      <c r="F1147" t="inlineStr">
        <is>
          <t>EMPA</t>
        </is>
      </c>
      <c r="G1147" t="inlineStr">
        <is>
          <t>CLP-016</t>
        </is>
      </c>
      <c r="H1147" t="inlineStr">
        <is>
          <t>Protocolo</t>
        </is>
      </c>
      <c r="I1147">
        <v>6</v>
      </c>
      <c r="J1147" t="inlineStr">
        <is>
          <t>Drenagem Superficial</t>
        </is>
      </c>
      <c r="K1147" t="inlineStr">
        <is>
          <t>6.16</t>
        </is>
      </c>
      <c r="L1147" t="inlineStr">
        <is>
          <t>RNC</t>
        </is>
      </c>
      <c r="M1147" t="inlineStr">
        <is>
          <t>Documental</t>
        </is>
      </c>
      <c r="N1147" t="inlineStr">
        <is>
          <t xml:space="preserve">Constam em aberto os seguintes referente a drenagem:
 RNC-00644/26
RNC-01032/26
RNC-02082/26
RNC-02111/26
RNC-02345/26
RNC-02427/26
RNC-02532/26
RNC-06136/25	
RNC-09359/25
RNC-10469/25
RNC-01170/26</t>
        </is>
      </c>
      <c r="O1147" t="inlineStr">
        <is>
          <t>Tipo B</t>
        </is>
      </c>
      <c r="P1147" t="inlineStr">
        <is>
          <t>-</t>
        </is>
      </c>
      <c r="Q1147" t="inlineStr">
        <is>
          <t>-</t>
        </is>
      </c>
      <c r="R1147" t="inlineStr">
        <is>
          <t>Aberta</t>
        </is>
      </c>
      <c r="T1147" t="inlineStr">
        <is>
          <t>Aline Batista</t>
        </is>
      </c>
      <c r="U1147" t="inlineStr">
        <is>
          <t>15/05/2026</t>
        </is>
      </c>
      <c r="V1147" t="inlineStr">
        <is>
          <t>30/05/2026</t>
        </is>
      </c>
      <c r="W1147">
        <v>11</v>
      </c>
      <c r="AA1147" t="inlineStr">
        <is>
          <t>Aberta -30 dias</t>
        </is>
      </c>
      <c r="AB1147" t="inlineStr">
        <is>
          <t>EMPA</t>
        </is>
      </c>
      <c r="AC1147" t="inlineStr">
        <is>
          <t>Aline</t>
        </is>
      </c>
      <c r="AE1147" t="inlineStr">
        <is>
          <t>19/06/2026</t>
        </is>
      </c>
      <c r="AF1147" t="inlineStr">
        <is>
          <t>Ata de reunião de RM p/ BK</t>
        </is>
      </c>
    </row>
    <row r="1148">
      <c r="A1148">
        <v>1146</v>
      </c>
      <c r="B1148">
        <v>1</v>
      </c>
      <c r="C1148" t="inlineStr">
        <is>
          <t>1.2</t>
        </is>
      </c>
      <c r="D1148" t="inlineStr">
        <is>
          <t>A46</t>
        </is>
      </c>
      <c r="F1148" t="inlineStr">
        <is>
          <t>EMPA</t>
        </is>
      </c>
      <c r="G1148" t="inlineStr">
        <is>
          <t>CLP-016</t>
        </is>
      </c>
      <c r="H1148" t="inlineStr">
        <is>
          <t>Protocolo</t>
        </is>
      </c>
      <c r="I1148">
        <v>6</v>
      </c>
      <c r="J1148" t="inlineStr">
        <is>
          <t>Drenagem Superficial</t>
        </is>
      </c>
      <c r="K1148" t="inlineStr">
        <is>
          <t>6.2</t>
        </is>
      </c>
      <c r="L1148" t="inlineStr">
        <is>
          <t>CZB 01</t>
        </is>
      </c>
      <c r="M1148" t="inlineStr">
        <is>
          <t>Dispositivo não executado</t>
        </is>
      </c>
      <c r="N1148" t="inlineStr">
        <is>
          <t>CZB não executada.</t>
        </is>
      </c>
      <c r="O1148" t="inlineStr">
        <is>
          <t>Tipo A</t>
        </is>
      </c>
      <c r="P1148" t="inlineStr">
        <is>
          <t>23+245</t>
        </is>
      </c>
      <c r="Q1148" t="inlineStr">
        <is>
          <t>23+290</t>
        </is>
      </c>
      <c r="R1148" t="inlineStr">
        <is>
          <t>Aberta</t>
        </is>
      </c>
      <c r="T1148" t="inlineStr">
        <is>
          <t>Aline Batista</t>
        </is>
      </c>
      <c r="U1148" t="inlineStr">
        <is>
          <t>15/05/2026</t>
        </is>
      </c>
      <c r="V1148" t="inlineStr">
        <is>
          <t>22/05/2026</t>
        </is>
      </c>
      <c r="W1148">
        <v>19</v>
      </c>
      <c r="AA1148" t="inlineStr">
        <is>
          <t>Aberta -30 dias</t>
        </is>
      </c>
      <c r="AB1148" t="inlineStr">
        <is>
          <t>EMPA</t>
        </is>
      </c>
      <c r="AC1148" t="inlineStr">
        <is>
          <t>Aline</t>
        </is>
      </c>
      <c r="AD1148" t="inlineStr">
        <is>
          <t>22/07/2026</t>
        </is>
      </c>
      <c r="AE1148" t="inlineStr">
        <is>
          <t>29/07/2026</t>
        </is>
      </c>
      <c r="AF1148" t="inlineStr">
        <is>
          <t>Prazo Premissa VALE</t>
        </is>
      </c>
    </row>
    <row r="1149">
      <c r="A1149">
        <v>1147</v>
      </c>
      <c r="B1149">
        <v>1</v>
      </c>
      <c r="C1149" t="inlineStr">
        <is>
          <t>1.2</t>
        </is>
      </c>
      <c r="D1149" t="inlineStr">
        <is>
          <t>A46</t>
        </is>
      </c>
      <c r="F1149" t="inlineStr">
        <is>
          <t>EMPA</t>
        </is>
      </c>
      <c r="G1149" t="inlineStr">
        <is>
          <t>CLP-016</t>
        </is>
      </c>
      <c r="H1149" t="inlineStr">
        <is>
          <t>Protocolo</t>
        </is>
      </c>
      <c r="I1149">
        <v>6</v>
      </c>
      <c r="J1149" t="inlineStr">
        <is>
          <t>Drenagem Superficial</t>
        </is>
      </c>
      <c r="K1149" t="inlineStr">
        <is>
          <t>6.2</t>
        </is>
      </c>
      <c r="L1149" t="inlineStr">
        <is>
          <t>CZB 01</t>
        </is>
      </c>
      <c r="M1149" t="inlineStr">
        <is>
          <t>Dispositivo não executado</t>
        </is>
      </c>
      <c r="N1149" t="inlineStr">
        <is>
          <t>CZB não executada.</t>
        </is>
      </c>
      <c r="O1149" t="inlineStr">
        <is>
          <t>Tipo A</t>
        </is>
      </c>
      <c r="P1149" t="inlineStr">
        <is>
          <t>23+340</t>
        </is>
      </c>
      <c r="Q1149" t="inlineStr">
        <is>
          <t>23+290</t>
        </is>
      </c>
      <c r="R1149" t="inlineStr">
        <is>
          <t>Aberta</t>
        </is>
      </c>
      <c r="T1149" t="inlineStr">
        <is>
          <t>Aline Batista</t>
        </is>
      </c>
      <c r="U1149" t="inlineStr">
        <is>
          <t>15/05/2026</t>
        </is>
      </c>
      <c r="V1149" t="inlineStr">
        <is>
          <t>22/05/2026</t>
        </is>
      </c>
      <c r="W1149">
        <v>19</v>
      </c>
      <c r="AA1149" t="inlineStr">
        <is>
          <t>Aberta -30 dias</t>
        </is>
      </c>
      <c r="AB1149" t="inlineStr">
        <is>
          <t>EMPA</t>
        </is>
      </c>
      <c r="AC1149" t="inlineStr">
        <is>
          <t>Aline</t>
        </is>
      </c>
      <c r="AD1149" t="inlineStr">
        <is>
          <t>22/07/2026</t>
        </is>
      </c>
      <c r="AE1149" t="inlineStr">
        <is>
          <t>29/07/2026</t>
        </is>
      </c>
      <c r="AF1149" t="inlineStr">
        <is>
          <t>Prazo Premissa VALE</t>
        </is>
      </c>
    </row>
    <row r="1150">
      <c r="A1150">
        <v>1148</v>
      </c>
      <c r="B1150">
        <v>1</v>
      </c>
      <c r="C1150" t="inlineStr">
        <is>
          <t>1.2</t>
        </is>
      </c>
      <c r="D1150" t="inlineStr">
        <is>
          <t>A46</t>
        </is>
      </c>
      <c r="F1150" t="inlineStr">
        <is>
          <t>EMPA</t>
        </is>
      </c>
      <c r="G1150" t="inlineStr">
        <is>
          <t>CLP-016</t>
        </is>
      </c>
      <c r="H1150" t="inlineStr">
        <is>
          <t>Protocolo</t>
        </is>
      </c>
      <c r="I1150">
        <v>6</v>
      </c>
      <c r="J1150" t="inlineStr">
        <is>
          <t>Drenagem Superficial</t>
        </is>
      </c>
      <c r="K1150" t="inlineStr">
        <is>
          <t>6.2</t>
        </is>
      </c>
      <c r="L1150" t="inlineStr">
        <is>
          <t>CZB 01</t>
        </is>
      </c>
      <c r="M1150" t="inlineStr">
        <is>
          <t>Dispositivo não executado</t>
        </is>
      </c>
      <c r="N1150" t="inlineStr">
        <is>
          <t>CZB não executada.</t>
        </is>
      </c>
      <c r="O1150" t="inlineStr">
        <is>
          <t>Tipo A</t>
        </is>
      </c>
      <c r="P1150" t="inlineStr">
        <is>
          <t>23+505</t>
        </is>
      </c>
      <c r="Q1150" t="inlineStr">
        <is>
          <t>23+290</t>
        </is>
      </c>
      <c r="R1150" t="inlineStr">
        <is>
          <t>Aberta</t>
        </is>
      </c>
      <c r="T1150" t="inlineStr">
        <is>
          <t>Aline Batista</t>
        </is>
      </c>
      <c r="U1150" t="inlineStr">
        <is>
          <t>15/05/2026</t>
        </is>
      </c>
      <c r="V1150" t="inlineStr">
        <is>
          <t>22/05/2026</t>
        </is>
      </c>
      <c r="W1150">
        <v>19</v>
      </c>
      <c r="AA1150" t="inlineStr">
        <is>
          <t>Aberta -30 dias</t>
        </is>
      </c>
      <c r="AB1150" t="inlineStr">
        <is>
          <t>EMPA</t>
        </is>
      </c>
      <c r="AC1150" t="inlineStr">
        <is>
          <t>Aline</t>
        </is>
      </c>
      <c r="AD1150" t="inlineStr">
        <is>
          <t>22/07/2026</t>
        </is>
      </c>
      <c r="AE1150" t="inlineStr">
        <is>
          <t>29/07/2026</t>
        </is>
      </c>
      <c r="AF1150" t="inlineStr">
        <is>
          <t>Prazo Premissa VALE</t>
        </is>
      </c>
    </row>
    <row r="1151">
      <c r="A1151">
        <v>1149</v>
      </c>
      <c r="B1151">
        <v>1</v>
      </c>
      <c r="C1151" t="inlineStr">
        <is>
          <t>1.2</t>
        </is>
      </c>
      <c r="D1151" t="inlineStr">
        <is>
          <t>A46</t>
        </is>
      </c>
      <c r="F1151" t="inlineStr">
        <is>
          <t>EMPA</t>
        </is>
      </c>
      <c r="G1151" t="inlineStr">
        <is>
          <t>CLP-016</t>
        </is>
      </c>
      <c r="H1151" t="inlineStr">
        <is>
          <t>Protocolo</t>
        </is>
      </c>
      <c r="I1151">
        <v>6</v>
      </c>
      <c r="J1151" t="inlineStr">
        <is>
          <t>Drenagem Superficial</t>
        </is>
      </c>
      <c r="K1151" t="inlineStr">
        <is>
          <t>6.2</t>
        </is>
      </c>
      <c r="L1151" t="inlineStr">
        <is>
          <t>CZB 01</t>
        </is>
      </c>
      <c r="M1151" t="inlineStr">
        <is>
          <t>Dispositivo não executado</t>
        </is>
      </c>
      <c r="N1151" t="inlineStr">
        <is>
          <t>CZB não executada.</t>
        </is>
      </c>
      <c r="O1151" t="inlineStr">
        <is>
          <t>Tipo A</t>
        </is>
      </c>
      <c r="P1151" t="inlineStr">
        <is>
          <t>23+135</t>
        </is>
      </c>
      <c r="Q1151" t="inlineStr">
        <is>
          <t>23+290</t>
        </is>
      </c>
      <c r="R1151" t="inlineStr">
        <is>
          <t>Aberta</t>
        </is>
      </c>
      <c r="T1151" t="inlineStr">
        <is>
          <t>Aline Batista</t>
        </is>
      </c>
      <c r="U1151" t="inlineStr">
        <is>
          <t>15/05/2026</t>
        </is>
      </c>
      <c r="V1151" t="inlineStr">
        <is>
          <t>22/05/2026</t>
        </is>
      </c>
      <c r="W1151">
        <v>19</v>
      </c>
      <c r="AA1151" t="inlineStr">
        <is>
          <t>Aberta -30 dias</t>
        </is>
      </c>
      <c r="AB1151" t="inlineStr">
        <is>
          <t>EMPA</t>
        </is>
      </c>
      <c r="AC1151" t="inlineStr">
        <is>
          <t>Aline</t>
        </is>
      </c>
      <c r="AD1151" t="inlineStr">
        <is>
          <t>22/07/2026</t>
        </is>
      </c>
      <c r="AE1151" t="inlineStr">
        <is>
          <t>29/07/2026</t>
        </is>
      </c>
      <c r="AF1151" t="inlineStr">
        <is>
          <t>Prazo Premissa VALE</t>
        </is>
      </c>
    </row>
    <row r="1152">
      <c r="A1152">
        <v>1150</v>
      </c>
      <c r="B1152">
        <v>1</v>
      </c>
      <c r="C1152" t="inlineStr">
        <is>
          <t>1.2</t>
        </is>
      </c>
      <c r="D1152" t="inlineStr">
        <is>
          <t>A46</t>
        </is>
      </c>
      <c r="F1152" t="inlineStr">
        <is>
          <t>EMPA</t>
        </is>
      </c>
      <c r="G1152" t="inlineStr">
        <is>
          <t>CLP-016</t>
        </is>
      </c>
      <c r="H1152" t="inlineStr">
        <is>
          <t>Protocolo</t>
        </is>
      </c>
      <c r="I1152">
        <v>6</v>
      </c>
      <c r="J1152" t="inlineStr">
        <is>
          <t>Drenagem Superficial</t>
        </is>
      </c>
      <c r="K1152" t="inlineStr">
        <is>
          <t>6.2</t>
        </is>
      </c>
      <c r="L1152" t="inlineStr">
        <is>
          <t>CZB 01</t>
        </is>
      </c>
      <c r="M1152" t="inlineStr">
        <is>
          <t>Dispositivo não executado</t>
        </is>
      </c>
      <c r="N1152" t="inlineStr">
        <is>
          <t>CZB não executada.</t>
        </is>
      </c>
      <c r="O1152" t="inlineStr">
        <is>
          <t>Tipo A</t>
        </is>
      </c>
      <c r="P1152" t="inlineStr">
        <is>
          <t>23+250</t>
        </is>
      </c>
      <c r="Q1152" t="inlineStr">
        <is>
          <t>23+290</t>
        </is>
      </c>
      <c r="R1152" t="inlineStr">
        <is>
          <t>Aberta</t>
        </is>
      </c>
      <c r="T1152" t="inlineStr">
        <is>
          <t>Aline Batista</t>
        </is>
      </c>
      <c r="U1152" t="inlineStr">
        <is>
          <t>15/05/2026</t>
        </is>
      </c>
      <c r="V1152" t="inlineStr">
        <is>
          <t>22/05/2026</t>
        </is>
      </c>
      <c r="W1152">
        <v>19</v>
      </c>
      <c r="AA1152" t="inlineStr">
        <is>
          <t>Aberta -30 dias</t>
        </is>
      </c>
      <c r="AB1152" t="inlineStr">
        <is>
          <t>EMPA</t>
        </is>
      </c>
      <c r="AC1152" t="inlineStr">
        <is>
          <t>Aline</t>
        </is>
      </c>
      <c r="AD1152" t="inlineStr">
        <is>
          <t>22/07/2026</t>
        </is>
      </c>
      <c r="AE1152" t="inlineStr">
        <is>
          <t>29/07/2026</t>
        </is>
      </c>
      <c r="AF1152" t="inlineStr">
        <is>
          <t>Prazo Premissa VALE</t>
        </is>
      </c>
    </row>
    <row r="1153">
      <c r="A1153">
        <v>1151</v>
      </c>
      <c r="B1153">
        <v>1</v>
      </c>
      <c r="C1153" t="inlineStr">
        <is>
          <t>1.2</t>
        </is>
      </c>
      <c r="D1153" t="inlineStr">
        <is>
          <t>A46</t>
        </is>
      </c>
      <c r="F1153" t="inlineStr">
        <is>
          <t>EMPA</t>
        </is>
      </c>
      <c r="G1153" t="inlineStr">
        <is>
          <t>CLP-016</t>
        </is>
      </c>
      <c r="H1153" t="inlineStr">
        <is>
          <t>Protocolo</t>
        </is>
      </c>
      <c r="I1153">
        <v>6</v>
      </c>
      <c r="J1153" t="inlineStr">
        <is>
          <t>Drenagem Superficial</t>
        </is>
      </c>
      <c r="K1153" t="inlineStr">
        <is>
          <t>6.2</t>
        </is>
      </c>
      <c r="L1153" t="inlineStr">
        <is>
          <t>CZB 01</t>
        </is>
      </c>
      <c r="M1153" t="inlineStr">
        <is>
          <t>Dispositivo não executado</t>
        </is>
      </c>
      <c r="N1153" t="inlineStr">
        <is>
          <t>CZB não executada.</t>
        </is>
      </c>
      <c r="O1153" t="inlineStr">
        <is>
          <t>Tipo A</t>
        </is>
      </c>
      <c r="P1153" t="inlineStr">
        <is>
          <t>23+355</t>
        </is>
      </c>
      <c r="Q1153" t="inlineStr">
        <is>
          <t>23+290</t>
        </is>
      </c>
      <c r="R1153" t="inlineStr">
        <is>
          <t>Aberta</t>
        </is>
      </c>
      <c r="T1153" t="inlineStr">
        <is>
          <t>Aline Batista</t>
        </is>
      </c>
      <c r="U1153" t="inlineStr">
        <is>
          <t>15/05/2026</t>
        </is>
      </c>
      <c r="V1153" t="inlineStr">
        <is>
          <t>22/05/2026</t>
        </is>
      </c>
      <c r="W1153">
        <v>19</v>
      </c>
      <c r="AA1153" t="inlineStr">
        <is>
          <t>Aberta -30 dias</t>
        </is>
      </c>
      <c r="AB1153" t="inlineStr">
        <is>
          <t>EMPA</t>
        </is>
      </c>
      <c r="AC1153" t="inlineStr">
        <is>
          <t>Aline</t>
        </is>
      </c>
      <c r="AD1153" t="inlineStr">
        <is>
          <t>22/07/2026</t>
        </is>
      </c>
      <c r="AE1153" t="inlineStr">
        <is>
          <t>29/07/2026</t>
        </is>
      </c>
      <c r="AF1153" t="inlineStr">
        <is>
          <t>Prazo Premissa VALE</t>
        </is>
      </c>
    </row>
    <row r="1154">
      <c r="A1154">
        <v>1152</v>
      </c>
      <c r="B1154">
        <v>1</v>
      </c>
      <c r="C1154" t="inlineStr">
        <is>
          <t>1.2</t>
        </is>
      </c>
      <c r="D1154" t="inlineStr">
        <is>
          <t>A46</t>
        </is>
      </c>
      <c r="F1154" t="inlineStr">
        <is>
          <t>EMPA</t>
        </is>
      </c>
      <c r="G1154" t="inlineStr">
        <is>
          <t>CLP-016</t>
        </is>
      </c>
      <c r="H1154" t="inlineStr">
        <is>
          <t>Protocolo</t>
        </is>
      </c>
      <c r="I1154">
        <v>6</v>
      </c>
      <c r="J1154" t="inlineStr">
        <is>
          <t>Drenagem Superficial</t>
        </is>
      </c>
      <c r="K1154" t="inlineStr">
        <is>
          <t>6.2</t>
        </is>
      </c>
      <c r="L1154" t="inlineStr">
        <is>
          <t>CZB 01</t>
        </is>
      </c>
      <c r="M1154" t="inlineStr">
        <is>
          <t>Dispositivo não executado</t>
        </is>
      </c>
      <c r="N1154" t="inlineStr">
        <is>
          <t>CZB não executada.</t>
        </is>
      </c>
      <c r="O1154" t="inlineStr">
        <is>
          <t>Tipo A</t>
        </is>
      </c>
      <c r="P1154" t="inlineStr">
        <is>
          <t>23+495</t>
        </is>
      </c>
      <c r="Q1154" t="inlineStr">
        <is>
          <t>23+290</t>
        </is>
      </c>
      <c r="R1154" t="inlineStr">
        <is>
          <t>Aberta</t>
        </is>
      </c>
      <c r="T1154" t="inlineStr">
        <is>
          <t>Aline Batista</t>
        </is>
      </c>
      <c r="U1154" t="inlineStr">
        <is>
          <t>15/05/2026</t>
        </is>
      </c>
      <c r="V1154" t="inlineStr">
        <is>
          <t>22/05/2026</t>
        </is>
      </c>
      <c r="W1154">
        <v>19</v>
      </c>
      <c r="AA1154" t="inlineStr">
        <is>
          <t>Aberta -30 dias</t>
        </is>
      </c>
      <c r="AB1154" t="inlineStr">
        <is>
          <t>EMPA</t>
        </is>
      </c>
      <c r="AC1154" t="inlineStr">
        <is>
          <t>Aline</t>
        </is>
      </c>
      <c r="AD1154" t="inlineStr">
        <is>
          <t>22/07/2026</t>
        </is>
      </c>
      <c r="AE1154" t="inlineStr">
        <is>
          <t>29/07/2026</t>
        </is>
      </c>
      <c r="AF1154" t="inlineStr">
        <is>
          <t>Prazo Premissa VALE</t>
        </is>
      </c>
    </row>
    <row r="1155">
      <c r="A1155">
        <v>1153</v>
      </c>
      <c r="B1155">
        <v>1</v>
      </c>
      <c r="C1155" t="inlineStr">
        <is>
          <t>1.2</t>
        </is>
      </c>
      <c r="D1155" t="inlineStr">
        <is>
          <t>A46</t>
        </is>
      </c>
      <c r="F1155" t="inlineStr">
        <is>
          <t>EMPA</t>
        </is>
      </c>
      <c r="G1155" t="inlineStr">
        <is>
          <t>CLP-016</t>
        </is>
      </c>
      <c r="H1155" t="inlineStr">
        <is>
          <t>Protocolo</t>
        </is>
      </c>
      <c r="I1155">
        <v>6</v>
      </c>
      <c r="J1155" t="inlineStr">
        <is>
          <t>Drenagem Superficial</t>
        </is>
      </c>
      <c r="K1155" t="inlineStr">
        <is>
          <t>6.2</t>
        </is>
      </c>
      <c r="L1155" t="inlineStr">
        <is>
          <t>TSS 08</t>
        </is>
      </c>
      <c r="M1155" t="inlineStr">
        <is>
          <t>Dispositivo não executado</t>
        </is>
      </c>
      <c r="N1155" t="inlineStr">
        <is>
          <t>TSS não executado.</t>
        </is>
      </c>
      <c r="O1155" t="inlineStr">
        <is>
          <t>Tipo A</t>
        </is>
      </c>
      <c r="P1155" t="inlineStr">
        <is>
          <t>23+537</t>
        </is>
      </c>
      <c r="Q1155" t="inlineStr">
        <is>
          <t>23+543</t>
        </is>
      </c>
      <c r="R1155" t="inlineStr">
        <is>
          <t>Aberta</t>
        </is>
      </c>
      <c r="T1155" t="inlineStr">
        <is>
          <t>Aline Batista</t>
        </is>
      </c>
      <c r="U1155" t="inlineStr">
        <is>
          <t>15/05/2026</t>
        </is>
      </c>
      <c r="V1155" t="inlineStr">
        <is>
          <t>22/05/2026</t>
        </is>
      </c>
      <c r="W1155">
        <v>19</v>
      </c>
      <c r="AA1155" t="inlineStr">
        <is>
          <t>Aberta -30 dias</t>
        </is>
      </c>
      <c r="AB1155" t="inlineStr">
        <is>
          <t>EMPA</t>
        </is>
      </c>
      <c r="AC1155" t="inlineStr">
        <is>
          <t>Aline</t>
        </is>
      </c>
      <c r="AD1155" t="inlineStr">
        <is>
          <t>22/07/2026</t>
        </is>
      </c>
      <c r="AE1155" t="inlineStr">
        <is>
          <t>29/07/2026</t>
        </is>
      </c>
      <c r="AF1155" t="inlineStr">
        <is>
          <t>Prazo Premissa VALE</t>
        </is>
      </c>
    </row>
    <row r="1156">
      <c r="A1156">
        <v>1154</v>
      </c>
      <c r="B1156">
        <v>1</v>
      </c>
      <c r="C1156" t="inlineStr">
        <is>
          <t>1.2</t>
        </is>
      </c>
      <c r="D1156" t="inlineStr">
        <is>
          <t>A46</t>
        </is>
      </c>
      <c r="F1156" t="inlineStr">
        <is>
          <t>EMPA</t>
        </is>
      </c>
      <c r="G1156" t="inlineStr">
        <is>
          <t>CLP-016</t>
        </is>
      </c>
      <c r="H1156" t="inlineStr">
        <is>
          <t>Protocolo</t>
        </is>
      </c>
      <c r="I1156">
        <v>6</v>
      </c>
      <c r="J1156" t="inlineStr">
        <is>
          <t>Drenagem Superficial</t>
        </is>
      </c>
      <c r="K1156" t="inlineStr">
        <is>
          <t>6.2</t>
        </is>
      </c>
      <c r="L1156" t="inlineStr">
        <is>
          <t>TSS 03</t>
        </is>
      </c>
      <c r="M1156" t="inlineStr">
        <is>
          <t>Dispositivo não executado</t>
        </is>
      </c>
      <c r="N1156" t="inlineStr">
        <is>
          <t>TSS não executado.</t>
        </is>
      </c>
      <c r="O1156" t="inlineStr">
        <is>
          <t>Tipo A</t>
        </is>
      </c>
      <c r="P1156" t="inlineStr">
        <is>
          <t>23+537</t>
        </is>
      </c>
      <c r="Q1156" t="inlineStr">
        <is>
          <t>23+543</t>
        </is>
      </c>
      <c r="R1156" t="inlineStr">
        <is>
          <t>Aberta</t>
        </is>
      </c>
      <c r="T1156" t="inlineStr">
        <is>
          <t>Aline Batista</t>
        </is>
      </c>
      <c r="U1156" t="inlineStr">
        <is>
          <t>15/05/2026</t>
        </is>
      </c>
      <c r="V1156" t="inlineStr">
        <is>
          <t>22/05/2026</t>
        </is>
      </c>
      <c r="W1156">
        <v>19</v>
      </c>
      <c r="AA1156" t="inlineStr">
        <is>
          <t>Aberta -30 dias</t>
        </is>
      </c>
      <c r="AB1156" t="inlineStr">
        <is>
          <t>EMPA</t>
        </is>
      </c>
      <c r="AC1156" t="inlineStr">
        <is>
          <t>Aline</t>
        </is>
      </c>
      <c r="AD1156" t="inlineStr">
        <is>
          <t>22/07/2026</t>
        </is>
      </c>
      <c r="AE1156" t="inlineStr">
        <is>
          <t>29/07/2026</t>
        </is>
      </c>
      <c r="AF1156" t="inlineStr">
        <is>
          <t>Prazo Premissa VALE</t>
        </is>
      </c>
    </row>
    <row r="1157">
      <c r="A1157">
        <v>1155</v>
      </c>
      <c r="B1157">
        <v>1</v>
      </c>
      <c r="C1157" t="inlineStr">
        <is>
          <t>1.2</t>
        </is>
      </c>
      <c r="D1157" t="inlineStr">
        <is>
          <t>A46</t>
        </is>
      </c>
      <c r="F1157" t="inlineStr">
        <is>
          <t>EMPA</t>
        </is>
      </c>
      <c r="G1157" t="inlineStr">
        <is>
          <t>CLP-016</t>
        </is>
      </c>
      <c r="H1157" t="inlineStr">
        <is>
          <t>Protocolo</t>
        </is>
      </c>
      <c r="I1157">
        <v>6</v>
      </c>
      <c r="J1157" t="inlineStr">
        <is>
          <t>Drenagem Superficial</t>
        </is>
      </c>
      <c r="K1157" t="inlineStr">
        <is>
          <t>6.2</t>
        </is>
      </c>
      <c r="L1157" t="inlineStr">
        <is>
          <t>SZA 01</t>
        </is>
      </c>
      <c r="M1157" t="inlineStr">
        <is>
          <t>Dispositivo não executado</t>
        </is>
      </c>
      <c r="N1157" t="inlineStr">
        <is>
          <t>SZA não executada.</t>
        </is>
      </c>
      <c r="O1157" t="inlineStr">
        <is>
          <t>Tipo A</t>
        </is>
      </c>
      <c r="P1157" t="inlineStr">
        <is>
          <t>23+116</t>
        </is>
      </c>
      <c r="Q1157" t="inlineStr">
        <is>
          <t>23+290</t>
        </is>
      </c>
      <c r="R1157" t="inlineStr">
        <is>
          <t>Aberta</t>
        </is>
      </c>
      <c r="T1157" t="inlineStr">
        <is>
          <t>Aline Batista</t>
        </is>
      </c>
      <c r="U1157" t="inlineStr">
        <is>
          <t>15/05/2026</t>
        </is>
      </c>
      <c r="V1157" t="inlineStr">
        <is>
          <t>22/05/2026</t>
        </is>
      </c>
      <c r="W1157">
        <v>19</v>
      </c>
      <c r="AA1157" t="inlineStr">
        <is>
          <t>Aberta -30 dias</t>
        </is>
      </c>
      <c r="AB1157" t="inlineStr">
        <is>
          <t>EMPA</t>
        </is>
      </c>
      <c r="AC1157" t="inlineStr">
        <is>
          <t>Aline</t>
        </is>
      </c>
      <c r="AD1157" t="inlineStr">
        <is>
          <t>22/07/2026</t>
        </is>
      </c>
      <c r="AE1157" t="inlineStr">
        <is>
          <t>29/07/2026</t>
        </is>
      </c>
      <c r="AF1157" t="inlineStr">
        <is>
          <t>Prazo Premissa VALE</t>
        </is>
      </c>
    </row>
    <row r="1158">
      <c r="A1158">
        <v>1156</v>
      </c>
      <c r="B1158">
        <v>1</v>
      </c>
      <c r="C1158" t="inlineStr">
        <is>
          <t>1.2</t>
        </is>
      </c>
      <c r="D1158" t="inlineStr">
        <is>
          <t>A46</t>
        </is>
      </c>
      <c r="F1158" t="inlineStr">
        <is>
          <t>EMPA</t>
        </is>
      </c>
      <c r="G1158" t="inlineStr">
        <is>
          <t>CLP-016</t>
        </is>
      </c>
      <c r="H1158" t="inlineStr">
        <is>
          <t>Protocolo</t>
        </is>
      </c>
      <c r="I1158">
        <v>6</v>
      </c>
      <c r="J1158" t="inlineStr">
        <is>
          <t>Drenagem Superficial</t>
        </is>
      </c>
      <c r="K1158" t="inlineStr">
        <is>
          <t>6.2</t>
        </is>
      </c>
      <c r="L1158" t="inlineStr">
        <is>
          <t>SZA 01</t>
        </is>
      </c>
      <c r="M1158" t="inlineStr">
        <is>
          <t>Dispositivo não executado</t>
        </is>
      </c>
      <c r="N1158" t="inlineStr">
        <is>
          <t>SZA não executada.</t>
        </is>
      </c>
      <c r="O1158" t="inlineStr">
        <is>
          <t>Tipo A</t>
        </is>
      </c>
      <c r="P1158" t="inlineStr">
        <is>
          <t>23+610</t>
        </is>
      </c>
      <c r="Q1158" t="inlineStr">
        <is>
          <t>23+310</t>
        </is>
      </c>
      <c r="R1158" t="inlineStr">
        <is>
          <t>Aberta</t>
        </is>
      </c>
      <c r="T1158" t="inlineStr">
        <is>
          <t>Aline Batista</t>
        </is>
      </c>
      <c r="U1158" t="inlineStr">
        <is>
          <t>15/05/2026</t>
        </is>
      </c>
      <c r="V1158" t="inlineStr">
        <is>
          <t>22/05/2026</t>
        </is>
      </c>
      <c r="W1158">
        <v>19</v>
      </c>
      <c r="AA1158" t="inlineStr">
        <is>
          <t>Aberta -30 dias</t>
        </is>
      </c>
      <c r="AB1158" t="inlineStr">
        <is>
          <t>EMPA</t>
        </is>
      </c>
      <c r="AC1158" t="inlineStr">
        <is>
          <t>Aline</t>
        </is>
      </c>
      <c r="AD1158" t="inlineStr">
        <is>
          <t>22/07/2026</t>
        </is>
      </c>
      <c r="AE1158" t="inlineStr">
        <is>
          <t>29/07/2026</t>
        </is>
      </c>
      <c r="AF1158" t="inlineStr">
        <is>
          <t>Prazo Premissa VALE</t>
        </is>
      </c>
    </row>
    <row r="1159">
      <c r="A1159">
        <v>1157</v>
      </c>
      <c r="B1159">
        <v>1</v>
      </c>
      <c r="C1159" t="inlineStr">
        <is>
          <t>1.2</t>
        </is>
      </c>
      <c r="D1159" t="inlineStr">
        <is>
          <t>A46</t>
        </is>
      </c>
      <c r="F1159" t="inlineStr">
        <is>
          <t>EMPA</t>
        </is>
      </c>
      <c r="G1159" t="inlineStr">
        <is>
          <t>CLP-016</t>
        </is>
      </c>
      <c r="H1159" t="inlineStr">
        <is>
          <t>Protocolo</t>
        </is>
      </c>
      <c r="I1159">
        <v>6</v>
      </c>
      <c r="J1159" t="inlineStr">
        <is>
          <t>Drenagem Superficial</t>
        </is>
      </c>
      <c r="K1159" t="inlineStr">
        <is>
          <t>6.2</t>
        </is>
      </c>
      <c r="L1159" t="inlineStr">
        <is>
          <t>SZA 02</t>
        </is>
      </c>
      <c r="M1159" t="inlineStr">
        <is>
          <t>Dispositivo não executado</t>
        </is>
      </c>
      <c r="N1159" t="inlineStr">
        <is>
          <t>SZA não executada.</t>
        </is>
      </c>
      <c r="O1159" t="inlineStr">
        <is>
          <t>Tipo A</t>
        </is>
      </c>
      <c r="P1159" t="inlineStr">
        <is>
          <t>23+310</t>
        </is>
      </c>
      <c r="Q1159" t="inlineStr">
        <is>
          <t>23+290</t>
        </is>
      </c>
      <c r="R1159" t="inlineStr">
        <is>
          <t>Aberta</t>
        </is>
      </c>
      <c r="T1159" t="inlineStr">
        <is>
          <t>Aline Batista</t>
        </is>
      </c>
      <c r="U1159" t="inlineStr">
        <is>
          <t>15/05/2026</t>
        </is>
      </c>
      <c r="V1159" t="inlineStr">
        <is>
          <t>22/05/2026</t>
        </is>
      </c>
      <c r="W1159">
        <v>19</v>
      </c>
      <c r="AA1159" t="inlineStr">
        <is>
          <t>Aberta -30 dias</t>
        </is>
      </c>
      <c r="AB1159" t="inlineStr">
        <is>
          <t>EMPA</t>
        </is>
      </c>
      <c r="AC1159" t="inlineStr">
        <is>
          <t>Aline</t>
        </is>
      </c>
      <c r="AD1159" t="inlineStr">
        <is>
          <t>22/07/2026</t>
        </is>
      </c>
      <c r="AE1159" t="inlineStr">
        <is>
          <t>29/07/2026</t>
        </is>
      </c>
      <c r="AF1159" t="inlineStr">
        <is>
          <t>Prazo Premissa VALE</t>
        </is>
      </c>
    </row>
    <row r="1160">
      <c r="A1160">
        <v>1158</v>
      </c>
      <c r="B1160">
        <v>1</v>
      </c>
      <c r="C1160" t="inlineStr">
        <is>
          <t>1.2</t>
        </is>
      </c>
      <c r="D1160" t="inlineStr">
        <is>
          <t>A46</t>
        </is>
      </c>
      <c r="F1160" t="inlineStr">
        <is>
          <t>EMPA</t>
        </is>
      </c>
      <c r="G1160" t="inlineStr">
        <is>
          <t>CLP-016</t>
        </is>
      </c>
      <c r="H1160" t="inlineStr">
        <is>
          <t>Protocolo</t>
        </is>
      </c>
      <c r="I1160">
        <v>6</v>
      </c>
      <c r="J1160" t="inlineStr">
        <is>
          <t>Drenagem Superficial</t>
        </is>
      </c>
      <c r="K1160" t="inlineStr">
        <is>
          <t>6.2</t>
        </is>
      </c>
      <c r="L1160" t="inlineStr">
        <is>
          <t>SZA 01</t>
        </is>
      </c>
      <c r="M1160" t="inlineStr">
        <is>
          <t>Dispositivo não executado</t>
        </is>
      </c>
      <c r="N1160" t="inlineStr">
        <is>
          <t>SZA não executada.</t>
        </is>
      </c>
      <c r="O1160" t="inlineStr">
        <is>
          <t>Tipo A</t>
        </is>
      </c>
      <c r="P1160" t="inlineStr">
        <is>
          <t>23+605</t>
        </is>
      </c>
      <c r="Q1160" t="inlineStr">
        <is>
          <t>23+290</t>
        </is>
      </c>
      <c r="R1160" t="inlineStr">
        <is>
          <t>Aberta</t>
        </is>
      </c>
      <c r="T1160" t="inlineStr">
        <is>
          <t>Aline Batista</t>
        </is>
      </c>
      <c r="U1160" t="inlineStr">
        <is>
          <t>15/05/2026</t>
        </is>
      </c>
      <c r="V1160" t="inlineStr">
        <is>
          <t>22/05/2026</t>
        </is>
      </c>
      <c r="W1160">
        <v>19</v>
      </c>
      <c r="AA1160" t="inlineStr">
        <is>
          <t>Aberta -30 dias</t>
        </is>
      </c>
      <c r="AB1160" t="inlineStr">
        <is>
          <t>EMPA</t>
        </is>
      </c>
      <c r="AC1160" t="inlineStr">
        <is>
          <t>Aline</t>
        </is>
      </c>
      <c r="AD1160" t="inlineStr">
        <is>
          <t>22/07/2026</t>
        </is>
      </c>
      <c r="AE1160" t="inlineStr">
        <is>
          <t>29/07/2026</t>
        </is>
      </c>
      <c r="AF1160" t="inlineStr">
        <is>
          <t>Prazo Premissa VALE</t>
        </is>
      </c>
    </row>
    <row r="1161">
      <c r="A1161">
        <v>1159</v>
      </c>
      <c r="B1161">
        <v>1</v>
      </c>
      <c r="C1161" t="inlineStr">
        <is>
          <t>1.2</t>
        </is>
      </c>
      <c r="D1161" t="inlineStr">
        <is>
          <t>A46</t>
        </is>
      </c>
      <c r="E1161" t="inlineStr">
        <is>
          <t>LD/LE</t>
        </is>
      </c>
      <c r="F1161" t="inlineStr">
        <is>
          <t>EMPA</t>
        </is>
      </c>
      <c r="G1161" t="inlineStr">
        <is>
          <t>CLP-016</t>
        </is>
      </c>
      <c r="H1161" t="inlineStr">
        <is>
          <t>Protocolo</t>
        </is>
      </c>
      <c r="I1161">
        <v>6</v>
      </c>
      <c r="J1161" t="inlineStr">
        <is>
          <t>Drenagem Superficial</t>
        </is>
      </c>
      <c r="K1161" t="inlineStr">
        <is>
          <t>6.2</t>
        </is>
      </c>
      <c r="L1161" t="inlineStr">
        <is>
          <t>SZC</t>
        </is>
      </c>
      <c r="M1161" t="inlineStr">
        <is>
          <t>Dispositivo não executado</t>
        </is>
      </c>
      <c r="N1161" t="inlineStr">
        <is>
          <t>Pendente execução de drenagem.</t>
        </is>
      </c>
      <c r="O1161" t="inlineStr">
        <is>
          <t>Tipo A</t>
        </is>
      </c>
      <c r="P1161" t="inlineStr">
        <is>
          <t>23+400</t>
        </is>
      </c>
      <c r="Q1161">
        <v>23400</v>
      </c>
      <c r="R1161" t="inlineStr">
        <is>
          <t>Aberta</t>
        </is>
      </c>
      <c r="T1161" t="inlineStr">
        <is>
          <t>Aline Batista</t>
        </is>
      </c>
      <c r="U1161" t="inlineStr">
        <is>
          <t>15/05/2026</t>
        </is>
      </c>
      <c r="V1161" t="inlineStr">
        <is>
          <t>22/05/2026</t>
        </is>
      </c>
      <c r="W1161">
        <v>19</v>
      </c>
      <c r="AA1161" t="inlineStr">
        <is>
          <t>Aberta -30 dias</t>
        </is>
      </c>
      <c r="AB1161" t="inlineStr">
        <is>
          <t>EMPA</t>
        </is>
      </c>
      <c r="AC1161" t="inlineStr">
        <is>
          <t>Aline</t>
        </is>
      </c>
      <c r="AD1161" t="inlineStr">
        <is>
          <t>22/07/2026</t>
        </is>
      </c>
      <c r="AE1161" t="inlineStr">
        <is>
          <t>29/07/2026</t>
        </is>
      </c>
      <c r="AF1161" t="inlineStr">
        <is>
          <t>Prazo Premissa VALE</t>
        </is>
      </c>
    </row>
    <row r="1162">
      <c r="A1162">
        <v>1160</v>
      </c>
      <c r="B1162">
        <v>1</v>
      </c>
      <c r="C1162" t="inlineStr">
        <is>
          <t>1.2</t>
        </is>
      </c>
      <c r="D1162" t="inlineStr">
        <is>
          <t>A46</t>
        </is>
      </c>
      <c r="F1162" t="inlineStr">
        <is>
          <t>EMPA</t>
        </is>
      </c>
      <c r="G1162" t="inlineStr">
        <is>
          <t>CLP-016</t>
        </is>
      </c>
      <c r="H1162" t="inlineStr">
        <is>
          <t>Protocolo</t>
        </is>
      </c>
      <c r="I1162">
        <v>6</v>
      </c>
      <c r="J1162" t="inlineStr">
        <is>
          <t>Drenagem Superficial</t>
        </is>
      </c>
      <c r="K1162" t="inlineStr">
        <is>
          <t>6.3</t>
        </is>
      </c>
      <c r="L1162" t="inlineStr">
        <is>
          <t xml:space="preserve">EDA 01
DDA 01</t>
        </is>
      </c>
      <c r="M1162" t="inlineStr">
        <is>
          <t>Dispositivo não executado</t>
        </is>
      </c>
      <c r="N1162" t="inlineStr">
        <is>
          <t>Dispositivos não executados.</t>
        </is>
      </c>
      <c r="O1162" t="inlineStr">
        <is>
          <t>Tipo A</t>
        </is>
      </c>
      <c r="P1162" t="inlineStr">
        <is>
          <t>23+105</t>
        </is>
      </c>
      <c r="Q1162" t="inlineStr">
        <is>
          <t>23+105</t>
        </is>
      </c>
      <c r="R1162" t="inlineStr">
        <is>
          <t>Aberta</t>
        </is>
      </c>
      <c r="T1162" t="inlineStr">
        <is>
          <t>Aline Batista</t>
        </is>
      </c>
      <c r="U1162" t="inlineStr">
        <is>
          <t>15/05/2026</t>
        </is>
      </c>
      <c r="V1162" t="inlineStr">
        <is>
          <t>22/05/2026</t>
        </is>
      </c>
      <c r="W1162">
        <v>19</v>
      </c>
      <c r="AA1162" t="inlineStr">
        <is>
          <t>Aberta -30 dias</t>
        </is>
      </c>
      <c r="AB1162" t="inlineStr">
        <is>
          <t>EMPA</t>
        </is>
      </c>
      <c r="AC1162" t="inlineStr">
        <is>
          <t>Aline</t>
        </is>
      </c>
      <c r="AD1162" t="inlineStr">
        <is>
          <t>22/07/2026</t>
        </is>
      </c>
      <c r="AE1162" t="inlineStr">
        <is>
          <t>29/07/2026</t>
        </is>
      </c>
      <c r="AF1162" t="inlineStr">
        <is>
          <t>Prazo Premissa VALE</t>
        </is>
      </c>
    </row>
    <row r="1163">
      <c r="A1163">
        <v>1161</v>
      </c>
      <c r="B1163">
        <v>1</v>
      </c>
      <c r="C1163" t="inlineStr">
        <is>
          <t>1.2</t>
        </is>
      </c>
      <c r="D1163" t="inlineStr">
        <is>
          <t>A46</t>
        </is>
      </c>
      <c r="F1163" t="inlineStr">
        <is>
          <t>EMPA</t>
        </is>
      </c>
      <c r="G1163" t="inlineStr">
        <is>
          <t>CLP-016</t>
        </is>
      </c>
      <c r="H1163" t="inlineStr">
        <is>
          <t>Protocolo</t>
        </is>
      </c>
      <c r="I1163">
        <v>6</v>
      </c>
      <c r="J1163" t="inlineStr">
        <is>
          <t>Drenagem Superficial</t>
        </is>
      </c>
      <c r="K1163" t="inlineStr">
        <is>
          <t>6.3</t>
        </is>
      </c>
      <c r="L1163" t="inlineStr">
        <is>
          <t xml:space="preserve">EDA 01
DDA 01</t>
        </is>
      </c>
      <c r="M1163" t="inlineStr">
        <is>
          <t>Dispositivo não executado</t>
        </is>
      </c>
      <c r="N1163" t="inlineStr">
        <is>
          <t>Dispositivos não executados.</t>
        </is>
      </c>
      <c r="O1163" t="inlineStr">
        <is>
          <t>Tipo A</t>
        </is>
      </c>
      <c r="P1163" t="inlineStr">
        <is>
          <t>23+105</t>
        </is>
      </c>
      <c r="Q1163" t="inlineStr">
        <is>
          <t>23+105</t>
        </is>
      </c>
      <c r="R1163" t="inlineStr">
        <is>
          <t>Aberta</t>
        </is>
      </c>
      <c r="T1163" t="inlineStr">
        <is>
          <t>Aline Batista</t>
        </is>
      </c>
      <c r="U1163" t="inlineStr">
        <is>
          <t>15/05/2026</t>
        </is>
      </c>
      <c r="V1163" t="inlineStr">
        <is>
          <t>22/05/2026</t>
        </is>
      </c>
      <c r="W1163">
        <v>19</v>
      </c>
      <c r="AA1163" t="inlineStr">
        <is>
          <t>Aberta -30 dias</t>
        </is>
      </c>
      <c r="AB1163" t="inlineStr">
        <is>
          <t>EMPA</t>
        </is>
      </c>
      <c r="AC1163" t="inlineStr">
        <is>
          <t>Aline</t>
        </is>
      </c>
      <c r="AD1163" t="inlineStr">
        <is>
          <t>22/07/2026</t>
        </is>
      </c>
      <c r="AE1163" t="inlineStr">
        <is>
          <t>29/07/2026</t>
        </is>
      </c>
      <c r="AF1163" t="inlineStr">
        <is>
          <t>Prazo Premissa VALE</t>
        </is>
      </c>
    </row>
    <row r="1164">
      <c r="A1164">
        <v>1162</v>
      </c>
      <c r="B1164">
        <v>1</v>
      </c>
      <c r="C1164" t="inlineStr">
        <is>
          <t>1.2</t>
        </is>
      </c>
      <c r="D1164" t="inlineStr">
        <is>
          <t>A46</t>
        </is>
      </c>
      <c r="F1164" t="inlineStr">
        <is>
          <t>EMPA</t>
        </is>
      </c>
      <c r="G1164" t="inlineStr">
        <is>
          <t>CLP-016</t>
        </is>
      </c>
      <c r="H1164" t="inlineStr">
        <is>
          <t>Protocolo</t>
        </is>
      </c>
      <c r="I1164">
        <v>6</v>
      </c>
      <c r="J1164" t="inlineStr">
        <is>
          <t>Drenagem Superficial</t>
        </is>
      </c>
      <c r="K1164" t="inlineStr">
        <is>
          <t>6.3</t>
        </is>
      </c>
      <c r="L1164" t="inlineStr">
        <is>
          <t xml:space="preserve">EDA 01
DDA 02
DED 01</t>
        </is>
      </c>
      <c r="M1164" t="inlineStr">
        <is>
          <t>Dispositivo não executado</t>
        </is>
      </c>
      <c r="N1164" t="inlineStr">
        <is>
          <t>Dispositivos não executados.</t>
        </is>
      </c>
      <c r="O1164" t="inlineStr">
        <is>
          <t>Tipo A</t>
        </is>
      </c>
      <c r="P1164" t="inlineStr">
        <is>
          <t>23+290</t>
        </is>
      </c>
      <c r="Q1164" t="inlineStr">
        <is>
          <t>23+290</t>
        </is>
      </c>
      <c r="R1164" t="inlineStr">
        <is>
          <t>Aberta</t>
        </is>
      </c>
      <c r="T1164" t="inlineStr">
        <is>
          <t>Aline Batista</t>
        </is>
      </c>
      <c r="U1164" t="inlineStr">
        <is>
          <t>15/05/2026</t>
        </is>
      </c>
      <c r="V1164" t="inlineStr">
        <is>
          <t>22/05/2026</t>
        </is>
      </c>
      <c r="W1164">
        <v>19</v>
      </c>
      <c r="AA1164" t="inlineStr">
        <is>
          <t>Aberta -30 dias</t>
        </is>
      </c>
      <c r="AB1164" t="inlineStr">
        <is>
          <t>EMPA</t>
        </is>
      </c>
      <c r="AC1164" t="inlineStr">
        <is>
          <t>Aline</t>
        </is>
      </c>
      <c r="AD1164" t="inlineStr">
        <is>
          <t>22/07/2026</t>
        </is>
      </c>
      <c r="AE1164" t="inlineStr">
        <is>
          <t>29/07/2026</t>
        </is>
      </c>
      <c r="AF1164" t="inlineStr">
        <is>
          <t>Prazo Premissa VALE</t>
        </is>
      </c>
    </row>
    <row r="1165">
      <c r="A1165">
        <v>1163</v>
      </c>
      <c r="B1165">
        <v>1</v>
      </c>
      <c r="C1165" t="inlineStr">
        <is>
          <t>1.2</t>
        </is>
      </c>
      <c r="D1165" t="inlineStr">
        <is>
          <t>A46</t>
        </is>
      </c>
      <c r="F1165" t="inlineStr">
        <is>
          <t>EMPA</t>
        </is>
      </c>
      <c r="G1165" t="inlineStr">
        <is>
          <t>CLP-016</t>
        </is>
      </c>
      <c r="H1165" t="inlineStr">
        <is>
          <t>Protocolo</t>
        </is>
      </c>
      <c r="I1165">
        <v>6</v>
      </c>
      <c r="J1165" t="inlineStr">
        <is>
          <t>Drenagem Superficial</t>
        </is>
      </c>
      <c r="K1165" t="inlineStr">
        <is>
          <t>6.3</t>
        </is>
      </c>
      <c r="L1165" t="inlineStr">
        <is>
          <t xml:space="preserve">EDA 01
DDA 02
DED 01</t>
        </is>
      </c>
      <c r="M1165" t="inlineStr">
        <is>
          <t>Dispositivo não executado</t>
        </is>
      </c>
      <c r="N1165" t="inlineStr">
        <is>
          <t>Dispositivos não executados.</t>
        </is>
      </c>
      <c r="O1165" t="inlineStr">
        <is>
          <t>Tipo A</t>
        </is>
      </c>
      <c r="P1165" t="inlineStr">
        <is>
          <t>23+290</t>
        </is>
      </c>
      <c r="Q1165" t="inlineStr">
        <is>
          <t>23+290</t>
        </is>
      </c>
      <c r="R1165" t="inlineStr">
        <is>
          <t>Aberta</t>
        </is>
      </c>
      <c r="T1165" t="inlineStr">
        <is>
          <t>Aline Batista</t>
        </is>
      </c>
      <c r="U1165" t="inlineStr">
        <is>
          <t>15/05/2026</t>
        </is>
      </c>
      <c r="V1165" t="inlineStr">
        <is>
          <t>22/05/2026</t>
        </is>
      </c>
      <c r="W1165">
        <v>19</v>
      </c>
      <c r="AA1165" t="inlineStr">
        <is>
          <t>Aberta -30 dias</t>
        </is>
      </c>
      <c r="AB1165" t="inlineStr">
        <is>
          <t>EMPA</t>
        </is>
      </c>
      <c r="AC1165" t="inlineStr">
        <is>
          <t>Aline</t>
        </is>
      </c>
      <c r="AD1165" t="inlineStr">
        <is>
          <t>22/07/2026</t>
        </is>
      </c>
      <c r="AE1165" t="inlineStr">
        <is>
          <t>29/07/2026</t>
        </is>
      </c>
      <c r="AF1165" t="inlineStr">
        <is>
          <t>Prazo Premissa VALE</t>
        </is>
      </c>
    </row>
    <row r="1166">
      <c r="A1166">
        <v>1164</v>
      </c>
      <c r="B1166">
        <v>1</v>
      </c>
      <c r="C1166" t="inlineStr">
        <is>
          <t>1.3</t>
        </is>
      </c>
      <c r="D1166" t="inlineStr">
        <is>
          <t>A46</t>
        </is>
      </c>
      <c r="F1166" t="inlineStr">
        <is>
          <t>EMPA</t>
        </is>
      </c>
      <c r="G1166" t="inlineStr">
        <is>
          <t>CLP-016</t>
        </is>
      </c>
      <c r="H1166" t="inlineStr">
        <is>
          <t>Protocolo</t>
        </is>
      </c>
      <c r="I1166">
        <v>6</v>
      </c>
      <c r="J1166" t="inlineStr">
        <is>
          <t>Drenagem Superficial</t>
        </is>
      </c>
      <c r="K1166" t="inlineStr">
        <is>
          <t>6.5</t>
        </is>
      </c>
      <c r="L1166" t="inlineStr">
        <is>
          <t>DVS 02</t>
        </is>
      </c>
      <c r="M1166" t="inlineStr">
        <is>
          <t>Dispositivo não executado</t>
        </is>
      </c>
      <c r="N1166" t="inlineStr">
        <is>
          <t>Dissipador de energia não executado.</t>
        </is>
      </c>
      <c r="O1166" t="inlineStr">
        <is>
          <t>Tipo A</t>
        </is>
      </c>
      <c r="P1166" t="inlineStr">
        <is>
          <t>26+465</t>
        </is>
      </c>
      <c r="Q1166" t="inlineStr">
        <is>
          <t>26+465</t>
        </is>
      </c>
      <c r="R1166" t="inlineStr">
        <is>
          <t>Aberta</t>
        </is>
      </c>
      <c r="T1166" t="inlineStr">
        <is>
          <t>Aline Batista</t>
        </is>
      </c>
      <c r="U1166" t="inlineStr">
        <is>
          <t>15/05/2026</t>
        </is>
      </c>
      <c r="V1166" t="inlineStr">
        <is>
          <t>22/05/2026</t>
        </is>
      </c>
      <c r="W1166">
        <v>19</v>
      </c>
      <c r="AA1166" t="inlineStr">
        <is>
          <t>Aberta -30 dias</t>
        </is>
      </c>
      <c r="AB1166" t="inlineStr">
        <is>
          <t>EMPA</t>
        </is>
      </c>
      <c r="AC1166" t="inlineStr">
        <is>
          <t>Aline</t>
        </is>
      </c>
      <c r="AD1166" t="inlineStr">
        <is>
          <t>20/07/2026</t>
        </is>
      </c>
      <c r="AE1166" t="inlineStr">
        <is>
          <t>31/07/2026</t>
        </is>
      </c>
      <c r="AF1166" t="inlineStr">
        <is>
          <t>Prazo Premissa VALE</t>
        </is>
      </c>
    </row>
    <row r="1167">
      <c r="A1167">
        <v>1165</v>
      </c>
      <c r="B1167">
        <v>1</v>
      </c>
      <c r="C1167" t="inlineStr">
        <is>
          <t>1.3</t>
        </is>
      </c>
      <c r="D1167" t="inlineStr">
        <is>
          <t>C43</t>
        </is>
      </c>
      <c r="F1167" t="inlineStr">
        <is>
          <t>EMPA</t>
        </is>
      </c>
      <c r="G1167" t="inlineStr">
        <is>
          <t>CLP-016</t>
        </is>
      </c>
      <c r="H1167" t="inlineStr">
        <is>
          <t>Protocolo</t>
        </is>
      </c>
      <c r="I1167">
        <v>6</v>
      </c>
      <c r="J1167" t="inlineStr">
        <is>
          <t>Drenagem Superficial</t>
        </is>
      </c>
      <c r="K1167" t="inlineStr">
        <is>
          <t>6.5</t>
        </is>
      </c>
      <c r="L1167" t="inlineStr">
        <is>
          <t>DED 01</t>
        </is>
      </c>
      <c r="M1167" t="inlineStr">
        <is>
          <t>Dispositivo não executado</t>
        </is>
      </c>
      <c r="N1167" t="inlineStr">
        <is>
          <t>Dissipador de energia não executado.</t>
        </is>
      </c>
      <c r="O1167" t="inlineStr">
        <is>
          <t>Tipo A</t>
        </is>
      </c>
      <c r="P1167" t="inlineStr">
        <is>
          <t>26+480</t>
        </is>
      </c>
      <c r="Q1167" t="inlineStr">
        <is>
          <t>26+480</t>
        </is>
      </c>
      <c r="R1167" t="inlineStr">
        <is>
          <t>Aberta</t>
        </is>
      </c>
      <c r="T1167" t="inlineStr">
        <is>
          <t>Aline Batista</t>
        </is>
      </c>
      <c r="U1167" t="inlineStr">
        <is>
          <t>15/05/2026</t>
        </is>
      </c>
      <c r="V1167" t="inlineStr">
        <is>
          <t>22/05/2026</t>
        </is>
      </c>
      <c r="W1167">
        <v>19</v>
      </c>
      <c r="AA1167" t="inlineStr">
        <is>
          <t>Aberta -30 dias</t>
        </is>
      </c>
      <c r="AB1167" t="inlineStr">
        <is>
          <t>EMPA</t>
        </is>
      </c>
      <c r="AC1167" t="inlineStr">
        <is>
          <t>Aline</t>
        </is>
      </c>
      <c r="AD1167" t="inlineStr">
        <is>
          <t>20/07/2026</t>
        </is>
      </c>
      <c r="AE1167" t="inlineStr">
        <is>
          <t>31/07/2026</t>
        </is>
      </c>
      <c r="AF1167" t="inlineStr">
        <is>
          <t>Prazo Premissa VALE</t>
        </is>
      </c>
    </row>
    <row r="1168">
      <c r="A1168">
        <v>1166</v>
      </c>
      <c r="B1168">
        <v>1</v>
      </c>
      <c r="C1168" t="inlineStr">
        <is>
          <t>1.2</t>
        </is>
      </c>
      <c r="D1168" t="inlineStr">
        <is>
          <t>C43</t>
        </is>
      </c>
      <c r="E1168" t="inlineStr">
        <is>
          <t>LD/LE</t>
        </is>
      </c>
      <c r="F1168" t="inlineStr">
        <is>
          <t>EMPA</t>
        </is>
      </c>
      <c r="G1168" t="inlineStr">
        <is>
          <t>CLP-016</t>
        </is>
      </c>
      <c r="H1168" t="inlineStr">
        <is>
          <t>Protocolo</t>
        </is>
      </c>
      <c r="I1168">
        <v>6</v>
      </c>
      <c r="J1168" t="inlineStr">
        <is>
          <t>Drenagem Superficial</t>
        </is>
      </c>
      <c r="K1168" t="inlineStr">
        <is>
          <t>6.5</t>
        </is>
      </c>
      <c r="L1168" t="inlineStr">
        <is>
          <t>DDA</t>
        </is>
      </c>
      <c r="M1168" t="inlineStr">
        <is>
          <t>Dispositivo não executado</t>
        </is>
      </c>
      <c r="N1168" t="inlineStr">
        <is>
          <t>Pendente execução de descida d'água.</t>
        </is>
      </c>
      <c r="O1168" t="inlineStr">
        <is>
          <t>Tipo A</t>
        </is>
      </c>
      <c r="P1168" t="inlineStr">
        <is>
          <t>23+290</t>
        </is>
      </c>
      <c r="Q1168">
        <v>23290</v>
      </c>
      <c r="R1168" t="inlineStr">
        <is>
          <t>Aberta</t>
        </is>
      </c>
      <c r="T1168" t="inlineStr">
        <is>
          <t>Aline Batista</t>
        </is>
      </c>
      <c r="U1168" t="inlineStr">
        <is>
          <t>15/05/2026</t>
        </is>
      </c>
      <c r="V1168" t="inlineStr">
        <is>
          <t>22/05/2026</t>
        </is>
      </c>
      <c r="W1168">
        <v>19</v>
      </c>
      <c r="AA1168" t="inlineStr">
        <is>
          <t>Aberta -30 dias</t>
        </is>
      </c>
      <c r="AB1168" t="inlineStr">
        <is>
          <t>CT-REMANESCENTE</t>
        </is>
      </c>
      <c r="AC1168" t="inlineStr">
        <is>
          <t>Aline</t>
        </is>
      </c>
      <c r="AD1168" t="inlineStr">
        <is>
          <t>15/08/2026</t>
        </is>
      </c>
      <c r="AE1168" t="inlineStr">
        <is>
          <t>25/09/2026</t>
        </is>
      </c>
      <c r="AF1168" t="inlineStr">
        <is>
          <t>Prazo Premissa VALE</t>
        </is>
      </c>
    </row>
    <row r="1169">
      <c r="A1169">
        <v>1167</v>
      </c>
      <c r="B1169">
        <v>1</v>
      </c>
      <c r="C1169" t="inlineStr">
        <is>
          <t>1.3</t>
        </is>
      </c>
      <c r="D1169" t="inlineStr">
        <is>
          <t>A46</t>
        </is>
      </c>
      <c r="E1169" t="inlineStr">
        <is>
          <t>LE</t>
        </is>
      </c>
      <c r="F1169" t="inlineStr">
        <is>
          <t>EMPA</t>
        </is>
      </c>
      <c r="G1169" t="inlineStr">
        <is>
          <t>CLP-016</t>
        </is>
      </c>
      <c r="H1169" t="inlineStr">
        <is>
          <t>Protocolo</t>
        </is>
      </c>
      <c r="I1169">
        <v>6</v>
      </c>
      <c r="J1169" t="inlineStr">
        <is>
          <t>Drenagem Superficial</t>
        </is>
      </c>
      <c r="K1169" t="inlineStr">
        <is>
          <t>6.6</t>
        </is>
      </c>
      <c r="L1169" t="inlineStr">
        <is>
          <t>DDA</t>
        </is>
      </c>
      <c r="M1169" t="inlineStr">
        <is>
          <t>Conformação</t>
        </is>
      </c>
      <c r="N1169" t="inlineStr">
        <is>
          <t>Ausência de compactação adequada da descida de corte.</t>
        </is>
      </c>
      <c r="O1169" t="inlineStr">
        <is>
          <t>Tipo A</t>
        </is>
      </c>
      <c r="P1169" t="inlineStr">
        <is>
          <t>25+610</t>
        </is>
      </c>
      <c r="Q1169">
        <v>25610</v>
      </c>
      <c r="R1169" t="inlineStr">
        <is>
          <t>Aberta</t>
        </is>
      </c>
      <c r="T1169" t="inlineStr">
        <is>
          <t>Aline Batista</t>
        </is>
      </c>
      <c r="U1169" t="inlineStr">
        <is>
          <t>15/05/2026</t>
        </is>
      </c>
      <c r="V1169" t="inlineStr">
        <is>
          <t>22/05/2026</t>
        </is>
      </c>
      <c r="W1169">
        <v>19</v>
      </c>
      <c r="AA1169" t="inlineStr">
        <is>
          <t>Aberta -30 dias</t>
        </is>
      </c>
      <c r="AB1169" t="inlineStr">
        <is>
          <t>EMPA</t>
        </is>
      </c>
      <c r="AC1169" t="inlineStr">
        <is>
          <t>Aline</t>
        </is>
      </c>
      <c r="AD1169" t="inlineStr">
        <is>
          <t>20/07/2026</t>
        </is>
      </c>
      <c r="AE1169" t="inlineStr">
        <is>
          <t>31/07/2026</t>
        </is>
      </c>
      <c r="AF1169" t="inlineStr">
        <is>
          <t>Prazo premissa VALE</t>
        </is>
      </c>
    </row>
    <row r="1170">
      <c r="A1170">
        <v>1168</v>
      </c>
      <c r="B1170">
        <v>1</v>
      </c>
      <c r="C1170" t="inlineStr">
        <is>
          <t>1.2</t>
        </is>
      </c>
      <c r="D1170" t="inlineStr">
        <is>
          <t>C43</t>
        </is>
      </c>
      <c r="E1170" t="inlineStr">
        <is>
          <t>LE</t>
        </is>
      </c>
      <c r="F1170" t="inlineStr">
        <is>
          <t>EMPA</t>
        </is>
      </c>
      <c r="G1170" t="inlineStr">
        <is>
          <t>CLP-016</t>
        </is>
      </c>
      <c r="H1170" t="inlineStr">
        <is>
          <t>Protocolo</t>
        </is>
      </c>
      <c r="I1170">
        <v>6</v>
      </c>
      <c r="J1170" t="inlineStr">
        <is>
          <t>Drenagem Superficial</t>
        </is>
      </c>
      <c r="K1170" t="inlineStr">
        <is>
          <t>6.7</t>
        </is>
      </c>
      <c r="L1170" t="inlineStr">
        <is>
          <t>VPC</t>
        </is>
      </c>
      <c r="M1170" t="inlineStr">
        <is>
          <t>Patologias no Concreto</t>
        </is>
      </c>
      <c r="N1170" t="inlineStr">
        <is>
          <t>Foram identificadas fissuras no dispositivo de drenagem.</t>
        </is>
      </c>
      <c r="O1170" t="inlineStr">
        <is>
          <t>Tipo A</t>
        </is>
      </c>
      <c r="P1170" t="inlineStr">
        <is>
          <t>24+650</t>
        </is>
      </c>
      <c r="Q1170" t="inlineStr">
        <is>
          <t>24+651</t>
        </is>
      </c>
      <c r="R1170" t="inlineStr">
        <is>
          <t>Aberta</t>
        </is>
      </c>
      <c r="T1170" t="inlineStr">
        <is>
          <t>Aline Batista</t>
        </is>
      </c>
      <c r="U1170" t="inlineStr">
        <is>
          <t>15/05/2026</t>
        </is>
      </c>
      <c r="V1170" t="inlineStr">
        <is>
          <t>22/05/2026</t>
        </is>
      </c>
      <c r="W1170">
        <v>19</v>
      </c>
      <c r="AA1170" t="inlineStr">
        <is>
          <t>Aberta -30 dias</t>
        </is>
      </c>
      <c r="AB1170" t="inlineStr">
        <is>
          <t>EMPA</t>
        </is>
      </c>
      <c r="AC1170" t="inlineStr">
        <is>
          <t>Aline</t>
        </is>
      </c>
      <c r="AD1170" t="inlineStr">
        <is>
          <t>20/07/2026</t>
        </is>
      </c>
      <c r="AE1170" t="inlineStr">
        <is>
          <t>31/07/2026</t>
        </is>
      </c>
      <c r="AF1170" t="inlineStr">
        <is>
          <t>Prazo premissa VALE</t>
        </is>
      </c>
    </row>
    <row r="1171">
      <c r="A1171">
        <v>1169</v>
      </c>
      <c r="B1171">
        <v>1</v>
      </c>
      <c r="C1171" t="inlineStr">
        <is>
          <t>1.2</t>
        </is>
      </c>
      <c r="D1171" t="inlineStr">
        <is>
          <t>A46</t>
        </is>
      </c>
      <c r="E1171" t="inlineStr">
        <is>
          <t>LE</t>
        </is>
      </c>
      <c r="F1171" t="inlineStr">
        <is>
          <t>EMPA</t>
        </is>
      </c>
      <c r="G1171" t="inlineStr">
        <is>
          <t>CLP-016</t>
        </is>
      </c>
      <c r="H1171" t="inlineStr">
        <is>
          <t>Protocolo</t>
        </is>
      </c>
      <c r="I1171">
        <v>6</v>
      </c>
      <c r="J1171" t="inlineStr">
        <is>
          <t>Drenagem Superficial</t>
        </is>
      </c>
      <c r="K1171" t="inlineStr">
        <is>
          <t>6.7</t>
        </is>
      </c>
      <c r="L1171" t="inlineStr">
        <is>
          <t>VPC</t>
        </is>
      </c>
      <c r="M1171" t="inlineStr">
        <is>
          <t>Patologias no Concreto</t>
        </is>
      </c>
      <c r="N1171" t="inlineStr">
        <is>
          <t>Segregação de concreto da valeta.</t>
        </is>
      </c>
      <c r="O1171" t="inlineStr">
        <is>
          <t>Tipo A</t>
        </is>
      </c>
      <c r="P1171" t="inlineStr">
        <is>
          <t>24+020</t>
        </is>
      </c>
      <c r="Q1171">
        <v>24020</v>
      </c>
      <c r="R1171" t="inlineStr">
        <is>
          <t>Aberta</t>
        </is>
      </c>
      <c r="T1171" t="inlineStr">
        <is>
          <t>Aline Batista</t>
        </is>
      </c>
      <c r="U1171" t="inlineStr">
        <is>
          <t>15/05/2026</t>
        </is>
      </c>
      <c r="V1171" t="inlineStr">
        <is>
          <t>22/05/2026</t>
        </is>
      </c>
      <c r="W1171">
        <v>19</v>
      </c>
      <c r="AA1171" t="inlineStr">
        <is>
          <t>Aberta -30 dias</t>
        </is>
      </c>
      <c r="AB1171" t="inlineStr">
        <is>
          <t>EMPA</t>
        </is>
      </c>
      <c r="AC1171" t="inlineStr">
        <is>
          <t>Aline</t>
        </is>
      </c>
      <c r="AD1171" t="inlineStr">
        <is>
          <t>20/07/2026</t>
        </is>
      </c>
      <c r="AE1171" t="inlineStr">
        <is>
          <t>31/07/2026</t>
        </is>
      </c>
      <c r="AF1171" t="inlineStr">
        <is>
          <t>Prazo premissa VALE</t>
        </is>
      </c>
    </row>
    <row r="1172">
      <c r="A1172">
        <v>1170</v>
      </c>
      <c r="B1172">
        <v>1</v>
      </c>
      <c r="C1172" t="inlineStr">
        <is>
          <t>1.2</t>
        </is>
      </c>
      <c r="D1172" t="inlineStr">
        <is>
          <t>A46</t>
        </is>
      </c>
      <c r="E1172" t="inlineStr">
        <is>
          <t>LE</t>
        </is>
      </c>
      <c r="F1172" t="inlineStr">
        <is>
          <t>EMPA</t>
        </is>
      </c>
      <c r="G1172" t="inlineStr">
        <is>
          <t>CLP-016</t>
        </is>
      </c>
      <c r="H1172" t="inlineStr">
        <is>
          <t>Protocolo</t>
        </is>
      </c>
      <c r="I1172">
        <v>6</v>
      </c>
      <c r="J1172" t="inlineStr">
        <is>
          <t>Drenagem Superficial</t>
        </is>
      </c>
      <c r="K1172" t="inlineStr">
        <is>
          <t>6.7</t>
        </is>
      </c>
      <c r="L1172" t="inlineStr">
        <is>
          <t>VPC</t>
        </is>
      </c>
      <c r="M1172" t="inlineStr">
        <is>
          <t>Patologias no Concreto</t>
        </is>
      </c>
      <c r="N1172" t="inlineStr">
        <is>
          <t>Segregação de concreto da valeta.</t>
        </is>
      </c>
      <c r="O1172" t="inlineStr">
        <is>
          <t>Tipo A</t>
        </is>
      </c>
      <c r="P1172" t="inlineStr">
        <is>
          <t>24+020</t>
        </is>
      </c>
      <c r="Q1172">
        <v>24020</v>
      </c>
      <c r="R1172" t="inlineStr">
        <is>
          <t>Aberta</t>
        </is>
      </c>
      <c r="T1172" t="inlineStr">
        <is>
          <t>Aline Batista</t>
        </is>
      </c>
      <c r="U1172" t="inlineStr">
        <is>
          <t>15/05/2026</t>
        </is>
      </c>
      <c r="V1172" t="inlineStr">
        <is>
          <t>22/05/2026</t>
        </is>
      </c>
      <c r="W1172">
        <v>19</v>
      </c>
      <c r="AA1172" t="inlineStr">
        <is>
          <t>Aberta -30 dias</t>
        </is>
      </c>
      <c r="AB1172" t="inlineStr">
        <is>
          <t>EMPA</t>
        </is>
      </c>
      <c r="AC1172" t="inlineStr">
        <is>
          <t>Aline</t>
        </is>
      </c>
      <c r="AD1172" t="inlineStr">
        <is>
          <t>20/07/2026</t>
        </is>
      </c>
      <c r="AE1172" t="inlineStr">
        <is>
          <t>31/07/2026</t>
        </is>
      </c>
      <c r="AF1172" t="inlineStr">
        <is>
          <t>Prazo premissa VALE</t>
        </is>
      </c>
    </row>
    <row r="1173">
      <c r="A1173">
        <v>1171</v>
      </c>
      <c r="B1173">
        <v>1</v>
      </c>
      <c r="C1173" t="inlineStr">
        <is>
          <t>1.3</t>
        </is>
      </c>
      <c r="D1173" t="inlineStr">
        <is>
          <t>C43</t>
        </is>
      </c>
      <c r="E1173" t="inlineStr">
        <is>
          <t>LD</t>
        </is>
      </c>
      <c r="F1173" t="inlineStr">
        <is>
          <t>EMPA</t>
        </is>
      </c>
      <c r="G1173" t="inlineStr">
        <is>
          <t>CLP-016</t>
        </is>
      </c>
      <c r="H1173" t="inlineStr">
        <is>
          <t>Protocolo</t>
        </is>
      </c>
      <c r="I1173">
        <v>6</v>
      </c>
      <c r="J1173" t="inlineStr">
        <is>
          <t>Drenagem Superficial</t>
        </is>
      </c>
      <c r="K1173" t="inlineStr">
        <is>
          <t>6.7</t>
        </is>
      </c>
      <c r="L1173" t="inlineStr">
        <is>
          <t>VBC</t>
        </is>
      </c>
      <c r="M1173" t="inlineStr">
        <is>
          <t>Patologias no Concreto</t>
        </is>
      </c>
      <c r="N1173" t="inlineStr">
        <is>
          <t>Presença de trinca no dispositivo.</t>
        </is>
      </c>
      <c r="O1173" t="inlineStr">
        <is>
          <t>Tipo A</t>
        </is>
      </c>
      <c r="P1173" t="inlineStr">
        <is>
          <t>25+930</t>
        </is>
      </c>
      <c r="Q1173">
        <v>25930</v>
      </c>
      <c r="R1173" t="inlineStr">
        <is>
          <t>Aberta</t>
        </is>
      </c>
      <c r="T1173" t="inlineStr">
        <is>
          <t>Aline Batista</t>
        </is>
      </c>
      <c r="U1173" t="inlineStr">
        <is>
          <t>15/05/2026</t>
        </is>
      </c>
      <c r="V1173" t="inlineStr">
        <is>
          <t>22/05/2026</t>
        </is>
      </c>
      <c r="W1173">
        <v>19</v>
      </c>
      <c r="AA1173" t="inlineStr">
        <is>
          <t>Aberta -30 dias</t>
        </is>
      </c>
      <c r="AB1173" t="inlineStr">
        <is>
          <t>EMPA</t>
        </is>
      </c>
      <c r="AC1173" t="inlineStr">
        <is>
          <t>Aline</t>
        </is>
      </c>
      <c r="AD1173" t="inlineStr">
        <is>
          <t>20/07/2026</t>
        </is>
      </c>
      <c r="AE1173" t="inlineStr">
        <is>
          <t>31/07/2026</t>
        </is>
      </c>
      <c r="AF1173" t="inlineStr">
        <is>
          <t>Prazo premissa VALE</t>
        </is>
      </c>
    </row>
    <row r="1174">
      <c r="A1174">
        <v>1172</v>
      </c>
      <c r="B1174">
        <v>1</v>
      </c>
      <c r="C1174" t="inlineStr">
        <is>
          <t>1.2</t>
        </is>
      </c>
      <c r="D1174" t="inlineStr">
        <is>
          <t>C43</t>
        </is>
      </c>
      <c r="E1174" t="inlineStr">
        <is>
          <t>LE</t>
        </is>
      </c>
      <c r="F1174" t="inlineStr">
        <is>
          <t>EMPA</t>
        </is>
      </c>
      <c r="G1174" t="inlineStr">
        <is>
          <t>CLP-016</t>
        </is>
      </c>
      <c r="H1174" t="inlineStr">
        <is>
          <t>Protocolo</t>
        </is>
      </c>
      <c r="I1174">
        <v>6</v>
      </c>
      <c r="J1174" t="inlineStr">
        <is>
          <t>Drenagem Superficial</t>
        </is>
      </c>
      <c r="K1174" t="inlineStr">
        <is>
          <t>6.7</t>
        </is>
      </c>
      <c r="L1174" t="inlineStr">
        <is>
          <t>VPC</t>
        </is>
      </c>
      <c r="M1174" t="inlineStr">
        <is>
          <t>Drenagem danificadas</t>
        </is>
      </c>
      <c r="N1174" t="inlineStr">
        <is>
          <t xml:space="preserve">Dispositivo danificado. </t>
        </is>
      </c>
      <c r="O1174" t="inlineStr">
        <is>
          <t>Tipo A</t>
        </is>
      </c>
      <c r="P1174" t="inlineStr">
        <is>
          <t>25+520</t>
        </is>
      </c>
      <c r="Q1174">
        <v>25520</v>
      </c>
      <c r="R1174" t="inlineStr">
        <is>
          <t>Aberta</t>
        </is>
      </c>
      <c r="T1174" t="inlineStr">
        <is>
          <t>Aline Batista</t>
        </is>
      </c>
      <c r="U1174" t="inlineStr">
        <is>
          <t>15/05/2026</t>
        </is>
      </c>
      <c r="V1174" t="inlineStr">
        <is>
          <t>22/05/2026</t>
        </is>
      </c>
      <c r="W1174">
        <v>19</v>
      </c>
      <c r="AA1174" t="inlineStr">
        <is>
          <t>Aberta -30 dias</t>
        </is>
      </c>
      <c r="AB1174" t="inlineStr">
        <is>
          <t>EMPA</t>
        </is>
      </c>
      <c r="AC1174" t="inlineStr">
        <is>
          <t>Aline</t>
        </is>
      </c>
      <c r="AD1174" t="inlineStr">
        <is>
          <t>20/07/2026</t>
        </is>
      </c>
      <c r="AE1174" t="inlineStr">
        <is>
          <t>31/07/2026</t>
        </is>
      </c>
      <c r="AF1174" t="inlineStr">
        <is>
          <t>Prazo premissa VALE</t>
        </is>
      </c>
    </row>
    <row r="1175">
      <c r="A1175">
        <v>1173</v>
      </c>
      <c r="B1175">
        <v>1</v>
      </c>
      <c r="C1175" t="inlineStr">
        <is>
          <t>1.3</t>
        </is>
      </c>
      <c r="D1175" t="inlineStr">
        <is>
          <t>A47</t>
        </is>
      </c>
      <c r="E1175" t="inlineStr">
        <is>
          <t>LD/LE</t>
        </is>
      </c>
      <c r="F1175" t="inlineStr">
        <is>
          <t>EMPA</t>
        </is>
      </c>
      <c r="G1175" t="inlineStr">
        <is>
          <t>CLP-017</t>
        </is>
      </c>
      <c r="H1175" t="inlineStr">
        <is>
          <t>Protocolo</t>
        </is>
      </c>
      <c r="I1175">
        <v>1</v>
      </c>
      <c r="J1175" t="inlineStr">
        <is>
          <t>Obras Complementares</t>
        </is>
      </c>
      <c r="K1175" t="inlineStr">
        <is>
          <t>1.3</t>
        </is>
      </c>
      <c r="L1175" t="inlineStr">
        <is>
          <t>Cerca</t>
        </is>
      </c>
      <c r="M1175" t="inlineStr">
        <is>
          <t>Cercamento pendente</t>
        </is>
      </c>
      <c r="N1175" t="inlineStr">
        <is>
          <t>Execução parcial da cerca de direcionamento, sendo necessária a conclusão em ambos os lados.</t>
        </is>
      </c>
      <c r="O1175" t="inlineStr">
        <is>
          <t>Tipo A</t>
        </is>
      </c>
      <c r="P1175" t="inlineStr">
        <is>
          <t>26+750</t>
        </is>
      </c>
      <c r="Q1175">
        <v>26750</v>
      </c>
      <c r="R1175" t="inlineStr">
        <is>
          <t>Aberta</t>
        </is>
      </c>
      <c r="T1175" t="inlineStr">
        <is>
          <t>Aline Batista</t>
        </is>
      </c>
      <c r="U1175" t="inlineStr">
        <is>
          <t>15/05/2026</t>
        </is>
      </c>
      <c r="V1175" t="inlineStr">
        <is>
          <t>22/05/2026</t>
        </is>
      </c>
      <c r="W1175">
        <v>19</v>
      </c>
      <c r="AA1175" t="inlineStr">
        <is>
          <t>Aberta -30 dias</t>
        </is>
      </c>
      <c r="AB1175" t="inlineStr">
        <is>
          <t>EMPA</t>
        </is>
      </c>
      <c r="AC1175" t="inlineStr">
        <is>
          <t>Aline</t>
        </is>
      </c>
      <c r="AD1175" t="inlineStr">
        <is>
          <t>20/07/2026</t>
        </is>
      </c>
      <c r="AE1175" t="inlineStr">
        <is>
          <t>31/07/2026</t>
        </is>
      </c>
      <c r="AF1175" t="inlineStr">
        <is>
          <t>Prazo Premissa VALE</t>
        </is>
      </c>
    </row>
    <row r="1176">
      <c r="A1176">
        <v>1174</v>
      </c>
      <c r="B1176">
        <v>1</v>
      </c>
      <c r="C1176" t="inlineStr">
        <is>
          <t>1.3</t>
        </is>
      </c>
      <c r="D1176" t="inlineStr">
        <is>
          <t>A47</t>
        </is>
      </c>
      <c r="E1176" t="inlineStr">
        <is>
          <t>LD</t>
        </is>
      </c>
      <c r="F1176" t="inlineStr">
        <is>
          <t>EMPA</t>
        </is>
      </c>
      <c r="G1176" t="inlineStr">
        <is>
          <t>CLP-017</t>
        </is>
      </c>
      <c r="H1176" t="inlineStr">
        <is>
          <t>Protocolo</t>
        </is>
      </c>
      <c r="I1176">
        <v>1</v>
      </c>
      <c r="J1176" t="inlineStr">
        <is>
          <t>Obras Complementares</t>
        </is>
      </c>
      <c r="K1176" t="inlineStr">
        <is>
          <t>1.3</t>
        </is>
      </c>
      <c r="L1176" t="inlineStr">
        <is>
          <t>Cerca</t>
        </is>
      </c>
      <c r="M1176" t="inlineStr">
        <is>
          <t>Cercamento pendente</t>
        </is>
      </c>
      <c r="N1176" t="inlineStr">
        <is>
          <t>Pendente a execução da cerca de direcionamento no lado direito.</t>
        </is>
      </c>
      <c r="O1176" t="inlineStr">
        <is>
          <t>Tipo A</t>
        </is>
      </c>
      <c r="P1176" t="inlineStr">
        <is>
          <t>27+070</t>
        </is>
      </c>
      <c r="Q1176">
        <v>27070</v>
      </c>
      <c r="R1176" t="inlineStr">
        <is>
          <t>Aberta</t>
        </is>
      </c>
      <c r="T1176" t="inlineStr">
        <is>
          <t>Aline Batista</t>
        </is>
      </c>
      <c r="U1176" t="inlineStr">
        <is>
          <t>15/05/2026</t>
        </is>
      </c>
      <c r="V1176" t="inlineStr">
        <is>
          <t>22/05/2026</t>
        </is>
      </c>
      <c r="W1176">
        <v>19</v>
      </c>
      <c r="AA1176" t="inlineStr">
        <is>
          <t>Aberta -30 dias</t>
        </is>
      </c>
      <c r="AB1176" t="inlineStr">
        <is>
          <t>EMPA</t>
        </is>
      </c>
      <c r="AC1176" t="inlineStr">
        <is>
          <t>Aline</t>
        </is>
      </c>
      <c r="AD1176" t="inlineStr">
        <is>
          <t>03/08/2026</t>
        </is>
      </c>
      <c r="AE1176" t="inlineStr">
        <is>
          <t>14/08/2026</t>
        </is>
      </c>
      <c r="AF1176" t="inlineStr">
        <is>
          <t>Prazo premissa VALE</t>
        </is>
      </c>
    </row>
    <row r="1177">
      <c r="A1177">
        <v>1175</v>
      </c>
      <c r="B1177">
        <v>1</v>
      </c>
      <c r="C1177" t="inlineStr">
        <is>
          <t>1.3</t>
        </is>
      </c>
      <c r="D1177" t="inlineStr">
        <is>
          <t>A47</t>
        </is>
      </c>
      <c r="E1177" t="inlineStr">
        <is>
          <t>LD/LE</t>
        </is>
      </c>
      <c r="F1177" t="inlineStr">
        <is>
          <t>EMPA</t>
        </is>
      </c>
      <c r="G1177" t="inlineStr">
        <is>
          <t>CLP-017</t>
        </is>
      </c>
      <c r="H1177" t="inlineStr">
        <is>
          <t>Protocolo</t>
        </is>
      </c>
      <c r="I1177">
        <v>1</v>
      </c>
      <c r="J1177" t="inlineStr">
        <is>
          <t>Obras Complementares</t>
        </is>
      </c>
      <c r="K1177" t="inlineStr">
        <is>
          <t>1.3</t>
        </is>
      </c>
      <c r="L1177" t="inlineStr">
        <is>
          <t>Cerca</t>
        </is>
      </c>
      <c r="M1177" t="inlineStr">
        <is>
          <t>Cercamento pendente</t>
        </is>
      </c>
      <c r="N1177" t="inlineStr">
        <is>
          <t>Pendente a execução da cerca de direcionamento em ambos os lados.</t>
        </is>
      </c>
      <c r="O1177" t="inlineStr">
        <is>
          <t>Tipo A</t>
        </is>
      </c>
      <c r="P1177" t="inlineStr">
        <is>
          <t>28+212</t>
        </is>
      </c>
      <c r="Q1177">
        <v>28212</v>
      </c>
      <c r="R1177" t="inlineStr">
        <is>
          <t>Aberta</t>
        </is>
      </c>
      <c r="T1177" t="inlineStr">
        <is>
          <t>Aline Batista</t>
        </is>
      </c>
      <c r="U1177" t="inlineStr">
        <is>
          <t>15/05/2026</t>
        </is>
      </c>
      <c r="V1177" t="inlineStr">
        <is>
          <t>22/05/2026</t>
        </is>
      </c>
      <c r="W1177">
        <v>19</v>
      </c>
      <c r="AA1177" t="inlineStr">
        <is>
          <t>Aberta -30 dias</t>
        </is>
      </c>
      <c r="AB1177" t="inlineStr">
        <is>
          <t>EMPA</t>
        </is>
      </c>
      <c r="AC1177" t="inlineStr">
        <is>
          <t>Aline</t>
        </is>
      </c>
      <c r="AD1177" t="inlineStr">
        <is>
          <t>03/08/2026</t>
        </is>
      </c>
      <c r="AE1177" t="inlineStr">
        <is>
          <t>14/08/2026</t>
        </is>
      </c>
      <c r="AF1177" t="inlineStr">
        <is>
          <t>Prazo premissa VALE</t>
        </is>
      </c>
    </row>
    <row r="1178">
      <c r="A1178">
        <v>1176</v>
      </c>
      <c r="B1178">
        <v>1</v>
      </c>
      <c r="C1178" t="inlineStr">
        <is>
          <t>1.3</t>
        </is>
      </c>
      <c r="D1178" t="inlineStr">
        <is>
          <t>A47</t>
        </is>
      </c>
      <c r="E1178" t="inlineStr">
        <is>
          <t>LD/LE</t>
        </is>
      </c>
      <c r="F1178" t="inlineStr">
        <is>
          <t>EMPA</t>
        </is>
      </c>
      <c r="G1178" t="inlineStr">
        <is>
          <t>CLP-017</t>
        </is>
      </c>
      <c r="H1178" t="inlineStr">
        <is>
          <t>Protocolo</t>
        </is>
      </c>
      <c r="I1178">
        <v>1</v>
      </c>
      <c r="J1178" t="inlineStr">
        <is>
          <t>Obras Complementares</t>
        </is>
      </c>
      <c r="K1178" t="inlineStr">
        <is>
          <t>1.3</t>
        </is>
      </c>
      <c r="L1178" t="inlineStr">
        <is>
          <t>Cerca</t>
        </is>
      </c>
      <c r="M1178" t="inlineStr">
        <is>
          <t>Cercamento pendente</t>
        </is>
      </c>
      <c r="N1178" t="inlineStr">
        <is>
          <t>Pendente a execução da cerca de direcionamento em ambos os lados.</t>
        </is>
      </c>
      <c r="O1178" t="inlineStr">
        <is>
          <t>Tipo A</t>
        </is>
      </c>
      <c r="P1178" t="inlineStr">
        <is>
          <t>28+640</t>
        </is>
      </c>
      <c r="Q1178">
        <v>28640</v>
      </c>
      <c r="R1178" t="inlineStr">
        <is>
          <t>Aberta</t>
        </is>
      </c>
      <c r="T1178" t="inlineStr">
        <is>
          <t>Aline Batista</t>
        </is>
      </c>
      <c r="U1178" t="inlineStr">
        <is>
          <t>15/05/2026</t>
        </is>
      </c>
      <c r="V1178" t="inlineStr">
        <is>
          <t>22/05/2026</t>
        </is>
      </c>
      <c r="W1178">
        <v>19</v>
      </c>
      <c r="AA1178" t="inlineStr">
        <is>
          <t>Aberta -30 dias</t>
        </is>
      </c>
      <c r="AB1178" t="inlineStr">
        <is>
          <t>EMPA</t>
        </is>
      </c>
      <c r="AC1178" t="inlineStr">
        <is>
          <t>Aline</t>
        </is>
      </c>
      <c r="AD1178" t="inlineStr">
        <is>
          <t>03/08/2026</t>
        </is>
      </c>
      <c r="AE1178" t="inlineStr">
        <is>
          <t>14/08/2026</t>
        </is>
      </c>
      <c r="AF1178" t="inlineStr">
        <is>
          <t>Prazo premissa VALE</t>
        </is>
      </c>
    </row>
    <row r="1179">
      <c r="A1179">
        <v>1177</v>
      </c>
      <c r="B1179">
        <v>1</v>
      </c>
      <c r="C1179" t="inlineStr">
        <is>
          <t>1.3</t>
        </is>
      </c>
      <c r="D1179" t="inlineStr">
        <is>
          <t>A47</t>
        </is>
      </c>
      <c r="E1179" t="inlineStr">
        <is>
          <t>LD/LE</t>
        </is>
      </c>
      <c r="F1179" t="inlineStr">
        <is>
          <t>EMPA</t>
        </is>
      </c>
      <c r="G1179" t="inlineStr">
        <is>
          <t>CLP-017</t>
        </is>
      </c>
      <c r="H1179" t="inlineStr">
        <is>
          <t>Protocolo</t>
        </is>
      </c>
      <c r="I1179">
        <v>1</v>
      </c>
      <c r="J1179" t="inlineStr">
        <is>
          <t>Obras Complementares</t>
        </is>
      </c>
      <c r="K1179" t="inlineStr">
        <is>
          <t>1.3</t>
        </is>
      </c>
      <c r="L1179" t="inlineStr">
        <is>
          <t>Cerca</t>
        </is>
      </c>
      <c r="M1179" t="inlineStr">
        <is>
          <t>Cercamento pendente</t>
        </is>
      </c>
      <c r="N1179" t="inlineStr">
        <is>
          <t>Pendente a execução da cerca de direcionamento em ambos os lados.</t>
        </is>
      </c>
      <c r="O1179" t="inlineStr">
        <is>
          <t>Tipo A</t>
        </is>
      </c>
      <c r="P1179" t="inlineStr">
        <is>
          <t>28+814</t>
        </is>
      </c>
      <c r="Q1179">
        <v>28814</v>
      </c>
      <c r="R1179" t="inlineStr">
        <is>
          <t>Aberta</t>
        </is>
      </c>
      <c r="T1179" t="inlineStr">
        <is>
          <t>Aline Batista</t>
        </is>
      </c>
      <c r="U1179" t="inlineStr">
        <is>
          <t>15/05/2026</t>
        </is>
      </c>
      <c r="V1179" t="inlineStr">
        <is>
          <t>22/05/2026</t>
        </is>
      </c>
      <c r="W1179">
        <v>19</v>
      </c>
      <c r="AA1179" t="inlineStr">
        <is>
          <t>Aberta -30 dias</t>
        </is>
      </c>
      <c r="AB1179" t="inlineStr">
        <is>
          <t>EMPA</t>
        </is>
      </c>
      <c r="AC1179" t="inlineStr">
        <is>
          <t>Aline</t>
        </is>
      </c>
      <c r="AD1179" t="inlineStr">
        <is>
          <t>03/08/2026</t>
        </is>
      </c>
      <c r="AE1179" t="inlineStr">
        <is>
          <t>14/08/2026</t>
        </is>
      </c>
      <c r="AF1179" t="inlineStr">
        <is>
          <t>Prazo premissa VALE</t>
        </is>
      </c>
    </row>
    <row r="1180">
      <c r="A1180">
        <v>1178</v>
      </c>
      <c r="B1180">
        <v>1</v>
      </c>
      <c r="C1180" t="inlineStr">
        <is>
          <t>1.3</t>
        </is>
      </c>
      <c r="D1180" t="inlineStr">
        <is>
          <t>C44</t>
        </is>
      </c>
      <c r="E1180" t="inlineStr">
        <is>
          <t>LD/LE</t>
        </is>
      </c>
      <c r="F1180" t="inlineStr">
        <is>
          <t>EMPA</t>
        </is>
      </c>
      <c r="G1180" t="inlineStr">
        <is>
          <t>CLP-017</t>
        </is>
      </c>
      <c r="H1180" t="inlineStr">
        <is>
          <t>Protocolo</t>
        </is>
      </c>
      <c r="I1180">
        <v>1</v>
      </c>
      <c r="J1180" t="inlineStr">
        <is>
          <t>Obras Complementares</t>
        </is>
      </c>
      <c r="K1180" t="inlineStr">
        <is>
          <t>1.3</t>
        </is>
      </c>
      <c r="L1180" t="inlineStr">
        <is>
          <t>Cerca</t>
        </is>
      </c>
      <c r="M1180" t="inlineStr">
        <is>
          <t>Execuçao divergente do projeto</t>
        </is>
      </c>
      <c r="N1180" t="inlineStr">
        <is>
          <t>Cerca de direcionamento em desacordo com o projeto.</t>
        </is>
      </c>
      <c r="O1180" t="inlineStr">
        <is>
          <t>Tipo A</t>
        </is>
      </c>
      <c r="P1180" t="inlineStr">
        <is>
          <t>29+562</t>
        </is>
      </c>
      <c r="Q1180">
        <v>29562</v>
      </c>
      <c r="R1180" t="inlineStr">
        <is>
          <t>Aberta</t>
        </is>
      </c>
      <c r="T1180" t="inlineStr">
        <is>
          <t>Aline Batista</t>
        </is>
      </c>
      <c r="U1180" t="inlineStr">
        <is>
          <t>15/05/2026</t>
        </is>
      </c>
      <c r="V1180" t="inlineStr">
        <is>
          <t>22/05/2026</t>
        </is>
      </c>
      <c r="W1180">
        <v>19</v>
      </c>
      <c r="AA1180" t="inlineStr">
        <is>
          <t>Aberta -30 dias</t>
        </is>
      </c>
      <c r="AB1180" t="inlineStr">
        <is>
          <t>EMPA</t>
        </is>
      </c>
      <c r="AC1180" t="inlineStr">
        <is>
          <t>Aline</t>
        </is>
      </c>
      <c r="AD1180" t="inlineStr">
        <is>
          <t>03/08/2026</t>
        </is>
      </c>
      <c r="AE1180" t="inlineStr">
        <is>
          <t>10/08/2026</t>
        </is>
      </c>
      <c r="AF1180" t="inlineStr">
        <is>
          <t>Prazo Premissa VALE</t>
        </is>
      </c>
    </row>
    <row r="1181">
      <c r="A1181">
        <v>1179</v>
      </c>
      <c r="B1181">
        <v>1</v>
      </c>
      <c r="C1181" t="inlineStr">
        <is>
          <t>1.3</t>
        </is>
      </c>
      <c r="D1181" t="inlineStr">
        <is>
          <t>A48</t>
        </is>
      </c>
      <c r="E1181" t="inlineStr">
        <is>
          <t>LD/LE</t>
        </is>
      </c>
      <c r="F1181" t="inlineStr">
        <is>
          <t>EMPA</t>
        </is>
      </c>
      <c r="G1181" t="inlineStr">
        <is>
          <t>CLP-017</t>
        </is>
      </c>
      <c r="H1181" t="inlineStr">
        <is>
          <t>Protocolo</t>
        </is>
      </c>
      <c r="I1181">
        <v>1</v>
      </c>
      <c r="J1181" t="inlineStr">
        <is>
          <t>Obras Complementares</t>
        </is>
      </c>
      <c r="K1181" t="inlineStr">
        <is>
          <t>1.3</t>
        </is>
      </c>
      <c r="L1181" t="inlineStr">
        <is>
          <t>Cerca</t>
        </is>
      </c>
      <c r="M1181" t="inlineStr">
        <is>
          <t>Cercamento pendente</t>
        </is>
      </c>
      <c r="N1181" t="inlineStr">
        <is>
          <t>Pendente a execução da cerca de direcionamento em ambos os lados.</t>
        </is>
      </c>
      <c r="O1181" t="inlineStr">
        <is>
          <t>Tipo A</t>
        </is>
      </c>
      <c r="P1181" t="inlineStr">
        <is>
          <t>30+194</t>
        </is>
      </c>
      <c r="Q1181">
        <v>30194</v>
      </c>
      <c r="R1181" t="inlineStr">
        <is>
          <t>Aberta</t>
        </is>
      </c>
      <c r="T1181" t="inlineStr">
        <is>
          <t>Aline Batista</t>
        </is>
      </c>
      <c r="U1181" t="inlineStr">
        <is>
          <t>15/05/2026</t>
        </is>
      </c>
      <c r="V1181" t="inlineStr">
        <is>
          <t>22/05/2026</t>
        </is>
      </c>
      <c r="W1181">
        <v>19</v>
      </c>
      <c r="AA1181" t="inlineStr">
        <is>
          <t>Aberta -30 dias</t>
        </is>
      </c>
      <c r="AB1181" t="inlineStr">
        <is>
          <t>EMPA</t>
        </is>
      </c>
      <c r="AC1181" t="inlineStr">
        <is>
          <t>Aline</t>
        </is>
      </c>
      <c r="AD1181" t="inlineStr">
        <is>
          <t>17/08/2026</t>
        </is>
      </c>
      <c r="AE1181" t="inlineStr">
        <is>
          <t>28/08/2026</t>
        </is>
      </c>
      <c r="AF1181" t="inlineStr">
        <is>
          <t>Prazo Premissa VALE</t>
        </is>
      </c>
    </row>
    <row r="1182">
      <c r="A1182">
        <v>1180</v>
      </c>
      <c r="B1182">
        <v>1</v>
      </c>
      <c r="C1182" t="inlineStr">
        <is>
          <t>1.3</t>
        </is>
      </c>
      <c r="D1182" t="inlineStr">
        <is>
          <t>A47</t>
        </is>
      </c>
      <c r="E1182" t="inlineStr">
        <is>
          <t>LE</t>
        </is>
      </c>
      <c r="F1182" t="inlineStr">
        <is>
          <t>EMPA</t>
        </is>
      </c>
      <c r="G1182" t="inlineStr">
        <is>
          <t>CLP-017</t>
        </is>
      </c>
      <c r="H1182" t="inlineStr">
        <is>
          <t>Protocolo</t>
        </is>
      </c>
      <c r="I1182">
        <v>1</v>
      </c>
      <c r="J1182" t="inlineStr">
        <is>
          <t>Obras Complementares</t>
        </is>
      </c>
      <c r="K1182" t="inlineStr">
        <is>
          <t>1.3</t>
        </is>
      </c>
      <c r="L1182" t="inlineStr">
        <is>
          <t>Porteiras e mata-burros</t>
        </is>
      </c>
      <c r="M1182" t="inlineStr">
        <is>
          <t>Cercamento pendente</t>
        </is>
      </c>
      <c r="N1182" t="inlineStr">
        <is>
          <t>Pendente execução das Porteiras e Mata-burros, no acesso do Km 26+828, lado esquerdo da ferrovia.</t>
        </is>
      </c>
      <c r="O1182" t="inlineStr">
        <is>
          <t>Tipo A</t>
        </is>
      </c>
      <c r="P1182" t="inlineStr">
        <is>
          <t xml:space="preserve">26+740
(Acesso 000+201)</t>
        </is>
      </c>
      <c r="Q1182" t="inlineStr">
        <is>
          <t xml:space="preserve">26+740
(Acesso 000+201)</t>
        </is>
      </c>
      <c r="R1182" t="inlineStr">
        <is>
          <t>Aberta</t>
        </is>
      </c>
      <c r="T1182" t="inlineStr">
        <is>
          <t>Aline Batista</t>
        </is>
      </c>
      <c r="U1182" t="inlineStr">
        <is>
          <t>15/05/2026</t>
        </is>
      </c>
      <c r="V1182" t="inlineStr">
        <is>
          <t>22/05/2026</t>
        </is>
      </c>
      <c r="W1182">
        <v>19</v>
      </c>
      <c r="AA1182" t="inlineStr">
        <is>
          <t>Aberta -30 dias</t>
        </is>
      </c>
      <c r="AB1182" t="inlineStr">
        <is>
          <t>EMPA</t>
        </is>
      </c>
      <c r="AC1182" t="inlineStr">
        <is>
          <t>Aline</t>
        </is>
      </c>
      <c r="AD1182" t="inlineStr">
        <is>
          <t>20/07/2026</t>
        </is>
      </c>
      <c r="AE1182" t="inlineStr">
        <is>
          <t>31/07/2026</t>
        </is>
      </c>
      <c r="AF1182" t="inlineStr">
        <is>
          <t>Prazo Premissa VALE</t>
        </is>
      </c>
    </row>
    <row r="1183">
      <c r="A1183">
        <v>1181</v>
      </c>
      <c r="B1183">
        <v>1</v>
      </c>
      <c r="C1183" t="inlineStr">
        <is>
          <t>1.3</t>
        </is>
      </c>
      <c r="D1183" t="inlineStr">
        <is>
          <t>A47</t>
        </is>
      </c>
      <c r="E1183" t="inlineStr">
        <is>
          <t>LD</t>
        </is>
      </c>
      <c r="F1183" t="inlineStr">
        <is>
          <t>EMPA</t>
        </is>
      </c>
      <c r="G1183" t="inlineStr">
        <is>
          <t>CLP-017</t>
        </is>
      </c>
      <c r="H1183" t="inlineStr">
        <is>
          <t>Protocolo</t>
        </is>
      </c>
      <c r="I1183">
        <v>1</v>
      </c>
      <c r="J1183" t="inlineStr">
        <is>
          <t>Obras Complementares</t>
        </is>
      </c>
      <c r="K1183" t="inlineStr">
        <is>
          <t>1.3</t>
        </is>
      </c>
      <c r="L1183" t="inlineStr">
        <is>
          <t>Porteiras e mata-burros</t>
        </is>
      </c>
      <c r="M1183" t="inlineStr">
        <is>
          <t>Cercamento pendente</t>
        </is>
      </c>
      <c r="N1183" t="inlineStr">
        <is>
          <t>Pendente execução das Porteiras e Mata-burros, no acesso do Km 26+828, lado direito da ferrovia.</t>
        </is>
      </c>
      <c r="O1183" t="inlineStr">
        <is>
          <t>Tipo A</t>
        </is>
      </c>
      <c r="P1183" t="inlineStr">
        <is>
          <t xml:space="preserve">26+778
(Acesso 000+000)</t>
        </is>
      </c>
      <c r="Q1183" t="inlineStr">
        <is>
          <t xml:space="preserve">26+778
(Acesso 000+000)</t>
        </is>
      </c>
      <c r="R1183" t="inlineStr">
        <is>
          <t>Aberta</t>
        </is>
      </c>
      <c r="T1183" t="inlineStr">
        <is>
          <t>Aline Batista</t>
        </is>
      </c>
      <c r="U1183" t="inlineStr">
        <is>
          <t>15/05/2026</t>
        </is>
      </c>
      <c r="V1183" t="inlineStr">
        <is>
          <t>22/05/2026</t>
        </is>
      </c>
      <c r="W1183">
        <v>19</v>
      </c>
      <c r="AA1183" t="inlineStr">
        <is>
          <t>Aberta -30 dias</t>
        </is>
      </c>
      <c r="AB1183" t="inlineStr">
        <is>
          <t>EMPA</t>
        </is>
      </c>
      <c r="AC1183" t="inlineStr">
        <is>
          <t>Aline</t>
        </is>
      </c>
      <c r="AD1183" t="inlineStr">
        <is>
          <t>20/07/2026</t>
        </is>
      </c>
      <c r="AE1183" t="inlineStr">
        <is>
          <t>31/07/2026</t>
        </is>
      </c>
      <c r="AF1183" t="inlineStr">
        <is>
          <t>Prazo Premissa VALE</t>
        </is>
      </c>
    </row>
    <row r="1184">
      <c r="A1184">
        <v>1182</v>
      </c>
      <c r="B1184">
        <v>1</v>
      </c>
      <c r="C1184" t="inlineStr">
        <is>
          <t>1.3</t>
        </is>
      </c>
      <c r="D1184" t="inlineStr">
        <is>
          <t>A47</t>
        </is>
      </c>
      <c r="E1184" t="inlineStr">
        <is>
          <t>LE</t>
        </is>
      </c>
      <c r="F1184" t="inlineStr">
        <is>
          <t>EMPA</t>
        </is>
      </c>
      <c r="G1184" t="inlineStr">
        <is>
          <t>CLP-017</t>
        </is>
      </c>
      <c r="H1184" t="inlineStr">
        <is>
          <t>Protocolo</t>
        </is>
      </c>
      <c r="I1184">
        <v>1</v>
      </c>
      <c r="J1184" t="inlineStr">
        <is>
          <t>Obras Complementares</t>
        </is>
      </c>
      <c r="K1184" t="inlineStr">
        <is>
          <t>1.3</t>
        </is>
      </c>
      <c r="L1184" t="inlineStr">
        <is>
          <t>Porteiras e mata-burros</t>
        </is>
      </c>
      <c r="M1184" t="inlineStr">
        <is>
          <t>Cercamento pendente</t>
        </is>
      </c>
      <c r="N1184" t="inlineStr">
        <is>
          <t>Pendente execução das Porteiras e Mata-burros, no acesso do Km 28+360, lado esquerdo da ferrovia.</t>
        </is>
      </c>
      <c r="O1184" t="inlineStr">
        <is>
          <t>Tipo A</t>
        </is>
      </c>
      <c r="P1184" t="inlineStr">
        <is>
          <t xml:space="preserve">28+105
(Acesso 000+503)</t>
        </is>
      </c>
      <c r="Q1184" t="inlineStr">
        <is>
          <t xml:space="preserve">28+105
(Acesso 000+503)</t>
        </is>
      </c>
      <c r="R1184" t="inlineStr">
        <is>
          <t>Aberta</t>
        </is>
      </c>
      <c r="T1184" t="inlineStr">
        <is>
          <t>Aline Batista</t>
        </is>
      </c>
      <c r="U1184" t="inlineStr">
        <is>
          <t>15/05/2026</t>
        </is>
      </c>
      <c r="V1184" t="inlineStr">
        <is>
          <t>22/05/2026</t>
        </is>
      </c>
      <c r="W1184">
        <v>19</v>
      </c>
      <c r="AA1184" t="inlineStr">
        <is>
          <t>Aberta -30 dias</t>
        </is>
      </c>
      <c r="AB1184" t="inlineStr">
        <is>
          <t>EMPA</t>
        </is>
      </c>
      <c r="AC1184" t="inlineStr">
        <is>
          <t>Aline</t>
        </is>
      </c>
      <c r="AD1184" t="inlineStr">
        <is>
          <t>03/08/2026</t>
        </is>
      </c>
      <c r="AE1184" t="inlineStr">
        <is>
          <t>14/08/2026</t>
        </is>
      </c>
      <c r="AF1184" t="inlineStr">
        <is>
          <t>Prazo premissa VALE</t>
        </is>
      </c>
    </row>
    <row r="1185">
      <c r="A1185">
        <v>1183</v>
      </c>
      <c r="B1185">
        <v>1</v>
      </c>
      <c r="C1185" t="inlineStr">
        <is>
          <t>1.3</t>
        </is>
      </c>
      <c r="D1185" t="inlineStr">
        <is>
          <t>A47</t>
        </is>
      </c>
      <c r="E1185" t="inlineStr">
        <is>
          <t>LD</t>
        </is>
      </c>
      <c r="F1185" t="inlineStr">
        <is>
          <t>EMPA</t>
        </is>
      </c>
      <c r="G1185" t="inlineStr">
        <is>
          <t>CLP-017</t>
        </is>
      </c>
      <c r="H1185" t="inlineStr">
        <is>
          <t>Protocolo</t>
        </is>
      </c>
      <c r="I1185">
        <v>1</v>
      </c>
      <c r="J1185" t="inlineStr">
        <is>
          <t>Obras Complementares</t>
        </is>
      </c>
      <c r="K1185" t="inlineStr">
        <is>
          <t>1.3</t>
        </is>
      </c>
      <c r="L1185" t="inlineStr">
        <is>
          <t>Porteiras e mata-burros</t>
        </is>
      </c>
      <c r="M1185" t="inlineStr">
        <is>
          <t>Cercamento pendente</t>
        </is>
      </c>
      <c r="N1185" t="inlineStr">
        <is>
          <t>Pendente execução das Porteiras e Mata-burros, no acesso do Km 28+360, lado direito da ferrovia.</t>
        </is>
      </c>
      <c r="O1185" t="inlineStr">
        <is>
          <t>Tipo A</t>
        </is>
      </c>
      <c r="P1185" t="inlineStr">
        <is>
          <t xml:space="preserve">28+170
Acesso 000+000</t>
        </is>
      </c>
      <c r="Q1185" t="inlineStr">
        <is>
          <t xml:space="preserve">28+170
Acesso 000+000</t>
        </is>
      </c>
      <c r="R1185" t="inlineStr">
        <is>
          <t>Aberta</t>
        </is>
      </c>
      <c r="T1185" t="inlineStr">
        <is>
          <t>Aline Batista</t>
        </is>
      </c>
      <c r="U1185" t="inlineStr">
        <is>
          <t>15/05/2026</t>
        </is>
      </c>
      <c r="V1185" t="inlineStr">
        <is>
          <t>22/05/2026</t>
        </is>
      </c>
      <c r="W1185">
        <v>19</v>
      </c>
      <c r="AA1185" t="inlineStr">
        <is>
          <t>Aberta -30 dias</t>
        </is>
      </c>
      <c r="AB1185" t="inlineStr">
        <is>
          <t>EMPA</t>
        </is>
      </c>
      <c r="AC1185" t="inlineStr">
        <is>
          <t>Aline</t>
        </is>
      </c>
      <c r="AD1185" t="inlineStr">
        <is>
          <t>03/08/2026</t>
        </is>
      </c>
      <c r="AE1185" t="inlineStr">
        <is>
          <t>14/08/2026</t>
        </is>
      </c>
      <c r="AF1185" t="inlineStr">
        <is>
          <t>Prazo premissa VALE</t>
        </is>
      </c>
    </row>
    <row r="1186">
      <c r="A1186">
        <v>1184</v>
      </c>
      <c r="B1186">
        <v>1</v>
      </c>
      <c r="C1186" t="inlineStr">
        <is>
          <t>1.3</t>
        </is>
      </c>
      <c r="D1186" t="inlineStr">
        <is>
          <t>A47</t>
        </is>
      </c>
      <c r="E1186" t="inlineStr">
        <is>
          <t>LD</t>
        </is>
      </c>
      <c r="F1186" t="inlineStr">
        <is>
          <t>EMPA</t>
        </is>
      </c>
      <c r="G1186" t="inlineStr">
        <is>
          <t>CLP-017</t>
        </is>
      </c>
      <c r="H1186" t="inlineStr">
        <is>
          <t>Protocolo</t>
        </is>
      </c>
      <c r="I1186">
        <v>1</v>
      </c>
      <c r="J1186" t="inlineStr">
        <is>
          <t>Obras Complementares</t>
        </is>
      </c>
      <c r="K1186" t="inlineStr">
        <is>
          <t>1.3</t>
        </is>
      </c>
      <c r="L1186" t="inlineStr">
        <is>
          <t>Porteiras e mata-burros</t>
        </is>
      </c>
      <c r="M1186" t="inlineStr">
        <is>
          <t>Cercamento pendente</t>
        </is>
      </c>
      <c r="N1186" t="inlineStr">
        <is>
          <t>Pendente execução das Porteiras e Mata-burros, no acesso do Km 28+360, lado direito da ferrovia.</t>
        </is>
      </c>
      <c r="O1186" t="inlineStr">
        <is>
          <t>Tipo A</t>
        </is>
      </c>
      <c r="P1186" t="inlineStr">
        <is>
          <t xml:space="preserve">28+200
Acesso 000+040</t>
        </is>
      </c>
      <c r="Q1186" t="inlineStr">
        <is>
          <t xml:space="preserve">28+200
Acesso 000+040</t>
        </is>
      </c>
      <c r="R1186" t="inlineStr">
        <is>
          <t>Aberta</t>
        </is>
      </c>
      <c r="T1186" t="inlineStr">
        <is>
          <t>Aline Batista</t>
        </is>
      </c>
      <c r="U1186" t="inlineStr">
        <is>
          <t>15/05/2026</t>
        </is>
      </c>
      <c r="V1186" t="inlineStr">
        <is>
          <t>22/05/2026</t>
        </is>
      </c>
      <c r="W1186">
        <v>19</v>
      </c>
      <c r="AA1186" t="inlineStr">
        <is>
          <t>Aberta -30 dias</t>
        </is>
      </c>
      <c r="AB1186" t="inlineStr">
        <is>
          <t>EMPA</t>
        </is>
      </c>
      <c r="AC1186" t="inlineStr">
        <is>
          <t>Aline</t>
        </is>
      </c>
      <c r="AD1186" t="inlineStr">
        <is>
          <t>03/08/2026</t>
        </is>
      </c>
      <c r="AE1186" t="inlineStr">
        <is>
          <t>14/08/2026</t>
        </is>
      </c>
      <c r="AF1186" t="inlineStr">
        <is>
          <t>Prazo premissa VALE</t>
        </is>
      </c>
    </row>
    <row r="1187">
      <c r="A1187">
        <v>1185</v>
      </c>
      <c r="B1187">
        <v>1</v>
      </c>
      <c r="C1187" t="inlineStr">
        <is>
          <t>1.3</t>
        </is>
      </c>
      <c r="D1187" t="inlineStr">
        <is>
          <t>A47</t>
        </is>
      </c>
      <c r="E1187" t="inlineStr">
        <is>
          <t>LE</t>
        </is>
      </c>
      <c r="F1187" t="inlineStr">
        <is>
          <t>EMPA</t>
        </is>
      </c>
      <c r="G1187" t="inlineStr">
        <is>
          <t>CLP-017</t>
        </is>
      </c>
      <c r="H1187" t="inlineStr">
        <is>
          <t>Protocolo</t>
        </is>
      </c>
      <c r="I1187">
        <v>1</v>
      </c>
      <c r="J1187" t="inlineStr">
        <is>
          <t>Obras Complementares</t>
        </is>
      </c>
      <c r="K1187" t="inlineStr">
        <is>
          <t>1.3</t>
        </is>
      </c>
      <c r="L1187" t="inlineStr">
        <is>
          <t>Porteiras e mata-burros</t>
        </is>
      </c>
      <c r="M1187" t="inlineStr">
        <is>
          <t>Cercamento pendente</t>
        </is>
      </c>
      <c r="N1187" t="inlineStr">
        <is>
          <t>Pendente execução das Porteiras e Mata-burros, no acesso do Km 28+360, lado esquerdo da ferrovia.</t>
        </is>
      </c>
      <c r="O1187" t="inlineStr">
        <is>
          <t>Tipo A</t>
        </is>
      </c>
      <c r="P1187" t="inlineStr">
        <is>
          <t xml:space="preserve">28+200
Acesso 000+040</t>
        </is>
      </c>
      <c r="Q1187" t="inlineStr">
        <is>
          <t xml:space="preserve">28+200
Acesso 000+040</t>
        </is>
      </c>
      <c r="R1187" t="inlineStr">
        <is>
          <t>Aberta</t>
        </is>
      </c>
      <c r="T1187" t="inlineStr">
        <is>
          <t>Aline Batista</t>
        </is>
      </c>
      <c r="U1187" t="inlineStr">
        <is>
          <t>15/05/2026</t>
        </is>
      </c>
      <c r="V1187" t="inlineStr">
        <is>
          <t>22/05/2026</t>
        </is>
      </c>
      <c r="W1187">
        <v>19</v>
      </c>
      <c r="AA1187" t="inlineStr">
        <is>
          <t>Aberta -30 dias</t>
        </is>
      </c>
      <c r="AB1187" t="inlineStr">
        <is>
          <t>EMPA</t>
        </is>
      </c>
      <c r="AC1187" t="inlineStr">
        <is>
          <t>Aline</t>
        </is>
      </c>
      <c r="AD1187" t="inlineStr">
        <is>
          <t>03/08/2026</t>
        </is>
      </c>
      <c r="AE1187" t="inlineStr">
        <is>
          <t>14/08/2026</t>
        </is>
      </c>
      <c r="AF1187" t="inlineStr">
        <is>
          <t>Prazo premissa VALE</t>
        </is>
      </c>
    </row>
    <row r="1188">
      <c r="A1188">
        <v>1186</v>
      </c>
      <c r="B1188">
        <v>1</v>
      </c>
      <c r="C1188" t="inlineStr">
        <is>
          <t>1.3</t>
        </is>
      </c>
      <c r="D1188" t="inlineStr">
        <is>
          <t>A47</t>
        </is>
      </c>
      <c r="E1188" t="inlineStr">
        <is>
          <t>LD</t>
        </is>
      </c>
      <c r="F1188" t="inlineStr">
        <is>
          <t>EMPA</t>
        </is>
      </c>
      <c r="G1188" t="inlineStr">
        <is>
          <t>CLP-017</t>
        </is>
      </c>
      <c r="H1188" t="inlineStr">
        <is>
          <t>Protocolo</t>
        </is>
      </c>
      <c r="I1188">
        <v>1</v>
      </c>
      <c r="J1188" t="inlineStr">
        <is>
          <t>Obras Complementares</t>
        </is>
      </c>
      <c r="K1188" t="inlineStr">
        <is>
          <t>1.3</t>
        </is>
      </c>
      <c r="L1188" t="inlineStr">
        <is>
          <t>Porteiras e mata-burros</t>
        </is>
      </c>
      <c r="M1188" t="inlineStr">
        <is>
          <t>Cercamento pendente</t>
        </is>
      </c>
      <c r="N1188" t="inlineStr">
        <is>
          <t>Pendente execução das Porteiras e Mata-burros, no acesso do Km 28+360, lado direito da ferrovia.</t>
        </is>
      </c>
      <c r="O1188" t="inlineStr">
        <is>
          <t>Tipo A</t>
        </is>
      </c>
      <c r="P1188" t="inlineStr">
        <is>
          <t xml:space="preserve">28+200
Acesso 000+060</t>
        </is>
      </c>
      <c r="Q1188" t="inlineStr">
        <is>
          <t xml:space="preserve">28+200
Acesso 000+060</t>
        </is>
      </c>
      <c r="R1188" t="inlineStr">
        <is>
          <t>Aberta</t>
        </is>
      </c>
      <c r="T1188" t="inlineStr">
        <is>
          <t>Aline Batista</t>
        </is>
      </c>
      <c r="U1188" t="inlineStr">
        <is>
          <t>15/05/2026</t>
        </is>
      </c>
      <c r="V1188" t="inlineStr">
        <is>
          <t>22/05/2026</t>
        </is>
      </c>
      <c r="W1188">
        <v>19</v>
      </c>
      <c r="AA1188" t="inlineStr">
        <is>
          <t>Aberta -30 dias</t>
        </is>
      </c>
      <c r="AB1188" t="inlineStr">
        <is>
          <t>EMPA</t>
        </is>
      </c>
      <c r="AC1188" t="inlineStr">
        <is>
          <t>Aline</t>
        </is>
      </c>
      <c r="AD1188" t="inlineStr">
        <is>
          <t>03/08/2026</t>
        </is>
      </c>
      <c r="AE1188" t="inlineStr">
        <is>
          <t>14/08/2026</t>
        </is>
      </c>
      <c r="AF1188" t="inlineStr">
        <is>
          <t>Prazo premissa VALE</t>
        </is>
      </c>
    </row>
    <row r="1189">
      <c r="A1189">
        <v>1187</v>
      </c>
      <c r="B1189">
        <v>1</v>
      </c>
      <c r="C1189" t="inlineStr">
        <is>
          <t>1.3</t>
        </is>
      </c>
      <c r="D1189" t="inlineStr">
        <is>
          <t>A47</t>
        </is>
      </c>
      <c r="E1189" t="inlineStr">
        <is>
          <t>LE</t>
        </is>
      </c>
      <c r="F1189" t="inlineStr">
        <is>
          <t>EMPA</t>
        </is>
      </c>
      <c r="G1189" t="inlineStr">
        <is>
          <t>CLP-017</t>
        </is>
      </c>
      <c r="H1189" t="inlineStr">
        <is>
          <t>Protocolo</t>
        </is>
      </c>
      <c r="I1189">
        <v>1</v>
      </c>
      <c r="J1189" t="inlineStr">
        <is>
          <t>Obras Complementares</t>
        </is>
      </c>
      <c r="K1189" t="inlineStr">
        <is>
          <t>1.3</t>
        </is>
      </c>
      <c r="L1189" t="inlineStr">
        <is>
          <t>Porteiras e mata-burros</t>
        </is>
      </c>
      <c r="M1189" t="inlineStr">
        <is>
          <t>Cercamento pendente</t>
        </is>
      </c>
      <c r="N1189" t="inlineStr">
        <is>
          <t>Pendente execução das Porteiras e Mata-burros, no acesso do Km 28+360, lado esquerdo da ferrovia.</t>
        </is>
      </c>
      <c r="O1189" t="inlineStr">
        <is>
          <t>Tipo A</t>
        </is>
      </c>
      <c r="P1189" t="inlineStr">
        <is>
          <t xml:space="preserve">28+200
Acesso 000+380</t>
        </is>
      </c>
      <c r="Q1189" t="inlineStr">
        <is>
          <t xml:space="preserve">28+200
Acesso 000+380</t>
        </is>
      </c>
      <c r="R1189" t="inlineStr">
        <is>
          <t>Aberta</t>
        </is>
      </c>
      <c r="T1189" t="inlineStr">
        <is>
          <t>Aline Batista</t>
        </is>
      </c>
      <c r="U1189" t="inlineStr">
        <is>
          <t>15/05/2026</t>
        </is>
      </c>
      <c r="V1189" t="inlineStr">
        <is>
          <t>22/05/2026</t>
        </is>
      </c>
      <c r="W1189">
        <v>19</v>
      </c>
      <c r="AA1189" t="inlineStr">
        <is>
          <t>Aberta -30 dias</t>
        </is>
      </c>
      <c r="AB1189" t="inlineStr">
        <is>
          <t>EMPA</t>
        </is>
      </c>
      <c r="AC1189" t="inlineStr">
        <is>
          <t>Aline</t>
        </is>
      </c>
      <c r="AD1189" t="inlineStr">
        <is>
          <t>03/08/2026</t>
        </is>
      </c>
      <c r="AE1189" t="inlineStr">
        <is>
          <t>14/08/2026</t>
        </is>
      </c>
      <c r="AF1189" t="inlineStr">
        <is>
          <t>Prazo premissa VALE</t>
        </is>
      </c>
    </row>
    <row r="1190">
      <c r="A1190">
        <v>1188</v>
      </c>
      <c r="B1190">
        <v>1</v>
      </c>
      <c r="C1190" t="inlineStr">
        <is>
          <t>1.3</t>
        </is>
      </c>
      <c r="D1190" t="inlineStr">
        <is>
          <t>A47</t>
        </is>
      </c>
      <c r="E1190" t="inlineStr">
        <is>
          <t>LD</t>
        </is>
      </c>
      <c r="F1190" t="inlineStr">
        <is>
          <t>EMPA</t>
        </is>
      </c>
      <c r="G1190" t="inlineStr">
        <is>
          <t>CLP-017</t>
        </is>
      </c>
      <c r="H1190" t="inlineStr">
        <is>
          <t>Protocolo</t>
        </is>
      </c>
      <c r="I1190">
        <v>1</v>
      </c>
      <c r="J1190" t="inlineStr">
        <is>
          <t>Obras Complementares</t>
        </is>
      </c>
      <c r="K1190" t="inlineStr">
        <is>
          <t>1.3</t>
        </is>
      </c>
      <c r="L1190" t="inlineStr">
        <is>
          <t>Porteiras e mata-burros</t>
        </is>
      </c>
      <c r="M1190" t="inlineStr">
        <is>
          <t>Cercamento pendente</t>
        </is>
      </c>
      <c r="N1190" t="inlineStr">
        <is>
          <t>Pendente execução das Porteiras e Mata-burros, no acesso do Km 28+778, lado direito da ferrovia.</t>
        </is>
      </c>
      <c r="O1190" t="inlineStr">
        <is>
          <t>Tipo A</t>
        </is>
      </c>
      <c r="P1190" t="inlineStr">
        <is>
          <t xml:space="preserve">28+790
Acesso 100+000</t>
        </is>
      </c>
      <c r="Q1190" t="inlineStr">
        <is>
          <t xml:space="preserve">28+790
Acesso 100+000</t>
        </is>
      </c>
      <c r="R1190" t="inlineStr">
        <is>
          <t>Aberta</t>
        </is>
      </c>
      <c r="T1190" t="inlineStr">
        <is>
          <t>Aline Batista</t>
        </is>
      </c>
      <c r="U1190" t="inlineStr">
        <is>
          <t>15/05/2026</t>
        </is>
      </c>
      <c r="V1190" t="inlineStr">
        <is>
          <t>22/05/2026</t>
        </is>
      </c>
      <c r="W1190">
        <v>19</v>
      </c>
      <c r="AA1190" t="inlineStr">
        <is>
          <t>Aberta -30 dias</t>
        </is>
      </c>
      <c r="AB1190" t="inlineStr">
        <is>
          <t>EMPA</t>
        </is>
      </c>
      <c r="AC1190" t="inlineStr">
        <is>
          <t>Aline</t>
        </is>
      </c>
      <c r="AD1190" t="inlineStr">
        <is>
          <t>03/08/2026</t>
        </is>
      </c>
      <c r="AE1190" t="inlineStr">
        <is>
          <t>14/08/2026</t>
        </is>
      </c>
      <c r="AF1190" t="inlineStr">
        <is>
          <t>Prazo premissa VALE</t>
        </is>
      </c>
    </row>
    <row r="1191">
      <c r="A1191">
        <v>1189</v>
      </c>
      <c r="B1191">
        <v>1</v>
      </c>
      <c r="C1191" t="inlineStr">
        <is>
          <t>1.3</t>
        </is>
      </c>
      <c r="D1191" t="inlineStr">
        <is>
          <t>A47</t>
        </is>
      </c>
      <c r="E1191" t="inlineStr">
        <is>
          <t>LE</t>
        </is>
      </c>
      <c r="F1191" t="inlineStr">
        <is>
          <t>EMPA</t>
        </is>
      </c>
      <c r="G1191" t="inlineStr">
        <is>
          <t>CLP-017</t>
        </is>
      </c>
      <c r="H1191" t="inlineStr">
        <is>
          <t>Protocolo</t>
        </is>
      </c>
      <c r="I1191">
        <v>1</v>
      </c>
      <c r="J1191" t="inlineStr">
        <is>
          <t>Obras Complementares</t>
        </is>
      </c>
      <c r="K1191" t="inlineStr">
        <is>
          <t>1.3</t>
        </is>
      </c>
      <c r="L1191" t="inlineStr">
        <is>
          <t>Porteiras e mata-burros</t>
        </is>
      </c>
      <c r="M1191" t="inlineStr">
        <is>
          <t>Cercamento pendente</t>
        </is>
      </c>
      <c r="N1191" t="inlineStr">
        <is>
          <t>Pendente execução das Porteiras e Mata-burros, no acesso do Km 28+778, lado esquerdo da ferrovia.</t>
        </is>
      </c>
      <c r="O1191" t="inlineStr">
        <is>
          <t>Tipo A</t>
        </is>
      </c>
      <c r="P1191" t="inlineStr">
        <is>
          <t xml:space="preserve">28+790
Acesso 100+300</t>
        </is>
      </c>
      <c r="Q1191" t="inlineStr">
        <is>
          <t xml:space="preserve">28+790
Acesso 100+300</t>
        </is>
      </c>
      <c r="R1191" t="inlineStr">
        <is>
          <t>Aberta</t>
        </is>
      </c>
      <c r="T1191" t="inlineStr">
        <is>
          <t>Aline Batista</t>
        </is>
      </c>
      <c r="U1191" t="inlineStr">
        <is>
          <t>15/05/2026</t>
        </is>
      </c>
      <c r="V1191" t="inlineStr">
        <is>
          <t>22/05/2026</t>
        </is>
      </c>
      <c r="W1191">
        <v>19</v>
      </c>
      <c r="AA1191" t="inlineStr">
        <is>
          <t>Aberta -30 dias</t>
        </is>
      </c>
      <c r="AB1191" t="inlineStr">
        <is>
          <t>EMPA</t>
        </is>
      </c>
      <c r="AC1191" t="inlineStr">
        <is>
          <t>Aline</t>
        </is>
      </c>
      <c r="AD1191" t="inlineStr">
        <is>
          <t>03/08/2026</t>
        </is>
      </c>
      <c r="AE1191" t="inlineStr">
        <is>
          <t>14/08/2026</t>
        </is>
      </c>
      <c r="AF1191" t="inlineStr">
        <is>
          <t>Prazo premissa VALE</t>
        </is>
      </c>
    </row>
    <row r="1192">
      <c r="A1192">
        <v>1190</v>
      </c>
      <c r="B1192">
        <v>1</v>
      </c>
      <c r="C1192" t="inlineStr">
        <is>
          <t>1.3</t>
        </is>
      </c>
      <c r="D1192" t="inlineStr">
        <is>
          <t>A47</t>
        </is>
      </c>
      <c r="E1192" t="inlineStr">
        <is>
          <t>LE</t>
        </is>
      </c>
      <c r="F1192" t="inlineStr">
        <is>
          <t>EMPA</t>
        </is>
      </c>
      <c r="G1192" t="inlineStr">
        <is>
          <t>CLP-017</t>
        </is>
      </c>
      <c r="H1192" t="inlineStr">
        <is>
          <t>Protocolo</t>
        </is>
      </c>
      <c r="I1192">
        <v>1</v>
      </c>
      <c r="J1192" t="inlineStr">
        <is>
          <t>Obras Complementares</t>
        </is>
      </c>
      <c r="K1192" t="inlineStr">
        <is>
          <t>1.3</t>
        </is>
      </c>
      <c r="L1192" t="inlineStr">
        <is>
          <t>Cerca</t>
        </is>
      </c>
      <c r="M1192" t="inlineStr">
        <is>
          <t>Cercamento danificado</t>
        </is>
      </c>
      <c r="N1192" t="inlineStr">
        <is>
          <t>Vericada a  presença de material sobre a cerca.</t>
        </is>
      </c>
      <c r="O1192" t="inlineStr">
        <is>
          <t>Tipo A</t>
        </is>
      </c>
      <c r="P1192" t="inlineStr">
        <is>
          <t>27+900</t>
        </is>
      </c>
      <c r="Q1192">
        <v>28300</v>
      </c>
      <c r="R1192" t="inlineStr">
        <is>
          <t>Aberta</t>
        </is>
      </c>
      <c r="T1192" t="inlineStr">
        <is>
          <t>Aline Batista</t>
        </is>
      </c>
      <c r="U1192" t="inlineStr">
        <is>
          <t>15/05/2026</t>
        </is>
      </c>
      <c r="V1192" t="inlineStr">
        <is>
          <t>22/05/2026</t>
        </is>
      </c>
      <c r="W1192">
        <v>19</v>
      </c>
      <c r="AA1192" t="inlineStr">
        <is>
          <t>Aberta -30 dias</t>
        </is>
      </c>
      <c r="AB1192" t="inlineStr">
        <is>
          <t>EMPA</t>
        </is>
      </c>
      <c r="AC1192" t="inlineStr">
        <is>
          <t>Aline</t>
        </is>
      </c>
      <c r="AD1192" t="inlineStr">
        <is>
          <t>03/08/2026</t>
        </is>
      </c>
      <c r="AE1192" t="inlineStr">
        <is>
          <t>14/08/2026</t>
        </is>
      </c>
      <c r="AF1192" t="inlineStr">
        <is>
          <t>Prazo premissa VALE</t>
        </is>
      </c>
    </row>
    <row r="1193">
      <c r="A1193">
        <v>1191</v>
      </c>
      <c r="B1193">
        <v>1</v>
      </c>
      <c r="C1193" t="inlineStr">
        <is>
          <t>1.3</t>
        </is>
      </c>
      <c r="D1193" t="inlineStr">
        <is>
          <t>A47</t>
        </is>
      </c>
      <c r="E1193" t="inlineStr">
        <is>
          <t>LD</t>
        </is>
      </c>
      <c r="F1193" t="inlineStr">
        <is>
          <t>EMPA</t>
        </is>
      </c>
      <c r="G1193" t="inlineStr">
        <is>
          <t>CLP-017</t>
        </is>
      </c>
      <c r="H1193" t="inlineStr">
        <is>
          <t>Protocolo</t>
        </is>
      </c>
      <c r="I1193">
        <v>1</v>
      </c>
      <c r="J1193" t="inlineStr">
        <is>
          <t>Obras Complementares</t>
        </is>
      </c>
      <c r="K1193" t="inlineStr">
        <is>
          <t>1.3</t>
        </is>
      </c>
      <c r="L1193" t="inlineStr">
        <is>
          <t>Cerca</t>
        </is>
      </c>
      <c r="M1193" t="inlineStr">
        <is>
          <t>Cercamento pendente</t>
        </is>
      </c>
      <c r="N1193" t="inlineStr">
        <is>
          <t>Pendente execução de cerca direcionadora de PG.</t>
        </is>
      </c>
      <c r="O1193" t="inlineStr">
        <is>
          <t>Tipo A</t>
        </is>
      </c>
      <c r="P1193" t="inlineStr">
        <is>
          <t>28+150</t>
        </is>
      </c>
      <c r="Q1193">
        <v>28150</v>
      </c>
      <c r="R1193" t="inlineStr">
        <is>
          <t>Aberta</t>
        </is>
      </c>
      <c r="T1193" t="inlineStr">
        <is>
          <t>Aline Batista</t>
        </is>
      </c>
      <c r="U1193" t="inlineStr">
        <is>
          <t>15/05/2026</t>
        </is>
      </c>
      <c r="V1193" t="inlineStr">
        <is>
          <t>22/05/2026</t>
        </is>
      </c>
      <c r="W1193">
        <v>19</v>
      </c>
      <c r="AA1193" t="inlineStr">
        <is>
          <t>Aberta -30 dias</t>
        </is>
      </c>
      <c r="AB1193" t="inlineStr">
        <is>
          <t>EMPA</t>
        </is>
      </c>
      <c r="AC1193" t="inlineStr">
        <is>
          <t>Aline</t>
        </is>
      </c>
      <c r="AD1193" t="inlineStr">
        <is>
          <t>03/08/2026</t>
        </is>
      </c>
      <c r="AE1193" t="inlineStr">
        <is>
          <t>14/08/2026</t>
        </is>
      </c>
      <c r="AF1193" t="inlineStr">
        <is>
          <t>Prazo premissa VALE</t>
        </is>
      </c>
    </row>
    <row r="1194">
      <c r="A1194">
        <v>1192</v>
      </c>
      <c r="B1194">
        <v>1</v>
      </c>
      <c r="C1194" t="inlineStr">
        <is>
          <t>1.3</t>
        </is>
      </c>
      <c r="D1194" t="inlineStr">
        <is>
          <t>A47</t>
        </is>
      </c>
      <c r="E1194" t="inlineStr">
        <is>
          <t>LD</t>
        </is>
      </c>
      <c r="F1194" t="inlineStr">
        <is>
          <t>EMPA</t>
        </is>
      </c>
      <c r="G1194" t="inlineStr">
        <is>
          <t>CLP-017</t>
        </is>
      </c>
      <c r="H1194" t="inlineStr">
        <is>
          <t>Protocolo</t>
        </is>
      </c>
      <c r="I1194">
        <v>1</v>
      </c>
      <c r="J1194" t="inlineStr">
        <is>
          <t>Obras Complementares</t>
        </is>
      </c>
      <c r="K1194" t="inlineStr">
        <is>
          <t>1.3</t>
        </is>
      </c>
      <c r="L1194" t="inlineStr">
        <is>
          <t>Cerca</t>
        </is>
      </c>
      <c r="M1194" t="inlineStr">
        <is>
          <t>Cercamento pendente</t>
        </is>
      </c>
      <c r="N1194" t="inlineStr">
        <is>
          <t>Pendente execução de cerca direcionadora de PG.</t>
        </is>
      </c>
      <c r="O1194" t="inlineStr">
        <is>
          <t>Tipo A</t>
        </is>
      </c>
      <c r="P1194" t="inlineStr">
        <is>
          <t>28+600</t>
        </is>
      </c>
      <c r="Q1194">
        <v>28600</v>
      </c>
      <c r="R1194" t="inlineStr">
        <is>
          <t>Aberta</t>
        </is>
      </c>
      <c r="T1194" t="inlineStr">
        <is>
          <t>Aline Batista</t>
        </is>
      </c>
      <c r="U1194" t="inlineStr">
        <is>
          <t>15/05/2026</t>
        </is>
      </c>
      <c r="V1194" t="inlineStr">
        <is>
          <t>22/05/2026</t>
        </is>
      </c>
      <c r="W1194">
        <v>19</v>
      </c>
      <c r="AA1194" t="inlineStr">
        <is>
          <t>Aberta -30 dias</t>
        </is>
      </c>
      <c r="AB1194" t="inlineStr">
        <is>
          <t>EMPA</t>
        </is>
      </c>
      <c r="AC1194" t="inlineStr">
        <is>
          <t>Aline</t>
        </is>
      </c>
      <c r="AD1194" t="inlineStr">
        <is>
          <t>03/08/2026</t>
        </is>
      </c>
      <c r="AE1194" t="inlineStr">
        <is>
          <t>14/08/2026</t>
        </is>
      </c>
      <c r="AF1194" t="inlineStr">
        <is>
          <t>Prazo premissa VALE</t>
        </is>
      </c>
    </row>
    <row r="1195">
      <c r="A1195">
        <v>1193</v>
      </c>
      <c r="B1195">
        <v>1</v>
      </c>
      <c r="C1195" t="inlineStr">
        <is>
          <t>1.3</t>
        </is>
      </c>
      <c r="D1195" t="inlineStr">
        <is>
          <t>A48</t>
        </is>
      </c>
      <c r="E1195" t="inlineStr">
        <is>
          <t>LD/LE</t>
        </is>
      </c>
      <c r="F1195" t="inlineStr">
        <is>
          <t>EMPA</t>
        </is>
      </c>
      <c r="G1195" t="inlineStr">
        <is>
          <t>CLP-017</t>
        </is>
      </c>
      <c r="H1195" t="inlineStr">
        <is>
          <t>Protocolo</t>
        </is>
      </c>
      <c r="I1195">
        <v>1</v>
      </c>
      <c r="J1195" t="inlineStr">
        <is>
          <t>Obras Complementares</t>
        </is>
      </c>
      <c r="K1195" t="inlineStr">
        <is>
          <t>1.3</t>
        </is>
      </c>
      <c r="L1195" t="inlineStr">
        <is>
          <t>Cerca</t>
        </is>
      </c>
      <c r="M1195" t="inlineStr">
        <is>
          <t>Cercamento pendente</t>
        </is>
      </c>
      <c r="N1195" t="inlineStr">
        <is>
          <t>Pendente execução de cerca direcionadora de PG.</t>
        </is>
      </c>
      <c r="O1195" t="inlineStr">
        <is>
          <t>Tipo A</t>
        </is>
      </c>
      <c r="P1195" t="inlineStr">
        <is>
          <t>30+200</t>
        </is>
      </c>
      <c r="Q1195" t="inlineStr">
        <is>
          <t>30+200</t>
        </is>
      </c>
      <c r="R1195" t="inlineStr">
        <is>
          <t>Aberta</t>
        </is>
      </c>
      <c r="T1195" t="inlineStr">
        <is>
          <t>Aline Batista</t>
        </is>
      </c>
      <c r="U1195" t="inlineStr">
        <is>
          <t>15/05/2026</t>
        </is>
      </c>
      <c r="V1195" t="inlineStr">
        <is>
          <t>22/05/2026</t>
        </is>
      </c>
      <c r="W1195">
        <v>19</v>
      </c>
      <c r="AA1195" t="inlineStr">
        <is>
          <t>Aberta -30 dias</t>
        </is>
      </c>
      <c r="AB1195" t="inlineStr">
        <is>
          <t>EMPA</t>
        </is>
      </c>
      <c r="AC1195" t="inlineStr">
        <is>
          <t>Aline</t>
        </is>
      </c>
      <c r="AD1195" t="inlineStr">
        <is>
          <t>17/08/2026</t>
        </is>
      </c>
      <c r="AE1195" t="inlineStr">
        <is>
          <t>28/08/2026</t>
        </is>
      </c>
      <c r="AF1195" t="inlineStr">
        <is>
          <t>Prazo Premissa VALE</t>
        </is>
      </c>
    </row>
    <row r="1196">
      <c r="A1196">
        <v>1194</v>
      </c>
      <c r="B1196">
        <v>1</v>
      </c>
      <c r="C1196" t="inlineStr">
        <is>
          <t>1.3</t>
        </is>
      </c>
      <c r="D1196" t="inlineStr">
        <is>
          <t>A48</t>
        </is>
      </c>
      <c r="E1196" t="inlineStr">
        <is>
          <t>LE</t>
        </is>
      </c>
      <c r="F1196" t="inlineStr">
        <is>
          <t>EMPA</t>
        </is>
      </c>
      <c r="G1196" t="inlineStr">
        <is>
          <t>CLP-017</t>
        </is>
      </c>
      <c r="H1196" t="inlineStr">
        <is>
          <t>Protocolo</t>
        </is>
      </c>
      <c r="I1196">
        <v>1</v>
      </c>
      <c r="J1196" t="inlineStr">
        <is>
          <t>Obras Complementares</t>
        </is>
      </c>
      <c r="K1196" t="inlineStr">
        <is>
          <t>1.3</t>
        </is>
      </c>
      <c r="L1196" t="inlineStr">
        <is>
          <t>Cerca</t>
        </is>
      </c>
      <c r="M1196" t="inlineStr">
        <is>
          <t>Cercamento danificado</t>
        </is>
      </c>
      <c r="N1196" t="inlineStr">
        <is>
          <t>Cerca danificada.</t>
        </is>
      </c>
      <c r="O1196" t="inlineStr">
        <is>
          <t>Tipo A</t>
        </is>
      </c>
      <c r="P1196" t="inlineStr">
        <is>
          <t>30+450</t>
        </is>
      </c>
      <c r="Q1196" t="inlineStr">
        <is>
          <t>30+450</t>
        </is>
      </c>
      <c r="R1196" t="inlineStr">
        <is>
          <t>Aberta</t>
        </is>
      </c>
      <c r="T1196" t="inlineStr">
        <is>
          <t>Aline Batista</t>
        </is>
      </c>
      <c r="U1196" t="inlineStr">
        <is>
          <t>15/05/2026</t>
        </is>
      </c>
      <c r="V1196" t="inlineStr">
        <is>
          <t>22/05/2026</t>
        </is>
      </c>
      <c r="W1196">
        <v>19</v>
      </c>
      <c r="AA1196" t="inlineStr">
        <is>
          <t>Aberta -30 dias</t>
        </is>
      </c>
      <c r="AB1196" t="inlineStr">
        <is>
          <t>EMPA</t>
        </is>
      </c>
      <c r="AC1196" t="inlineStr">
        <is>
          <t>Aline</t>
        </is>
      </c>
      <c r="AD1196" t="inlineStr">
        <is>
          <t>17/08/2026</t>
        </is>
      </c>
      <c r="AE1196" t="inlineStr">
        <is>
          <t>28/08/2026</t>
        </is>
      </c>
      <c r="AF1196" t="inlineStr">
        <is>
          <t>Prazo Premissa VALE</t>
        </is>
      </c>
    </row>
    <row r="1197">
      <c r="A1197">
        <v>1195</v>
      </c>
      <c r="B1197">
        <v>1</v>
      </c>
      <c r="C1197" t="inlineStr">
        <is>
          <t>1.3</t>
        </is>
      </c>
      <c r="D1197" t="inlineStr">
        <is>
          <t>A47</t>
        </is>
      </c>
      <c r="F1197" t="inlineStr">
        <is>
          <t>EMPA</t>
        </is>
      </c>
      <c r="G1197" t="inlineStr">
        <is>
          <t>CLP-017</t>
        </is>
      </c>
      <c r="H1197" t="inlineStr">
        <is>
          <t>Protocolo</t>
        </is>
      </c>
      <c r="I1197">
        <v>2</v>
      </c>
      <c r="J1197" t="inlineStr">
        <is>
          <t>Bueiros</t>
        </is>
      </c>
      <c r="K1197" t="inlineStr">
        <is>
          <t>2.11</t>
        </is>
      </c>
      <c r="L1197" t="inlineStr">
        <is>
          <t>BSCC 1.50 x 2.00</t>
        </is>
      </c>
      <c r="M1197" t="inlineStr">
        <is>
          <t>Obstrução do dispositivo</t>
        </is>
      </c>
      <c r="N1197" t="inlineStr">
        <is>
          <t xml:space="preserve">Jusante da OAC com acúmulo de sedimento impossibilitando identificar a execução do DBSCC-02.
</t>
        </is>
      </c>
      <c r="O1197" t="inlineStr">
        <is>
          <t>Tipo A</t>
        </is>
      </c>
      <c r="P1197" t="inlineStr">
        <is>
          <t>28+550</t>
        </is>
      </c>
      <c r="Q1197" t="inlineStr">
        <is>
          <t>28+550</t>
        </is>
      </c>
      <c r="R1197" t="inlineStr">
        <is>
          <t>Aberta</t>
        </is>
      </c>
      <c r="T1197" t="inlineStr">
        <is>
          <t>Aline Batista</t>
        </is>
      </c>
      <c r="U1197" t="inlineStr">
        <is>
          <t>15/05/2026</t>
        </is>
      </c>
      <c r="V1197" t="inlineStr">
        <is>
          <t>22/05/2026</t>
        </is>
      </c>
      <c r="W1197">
        <v>19</v>
      </c>
      <c r="AA1197" t="inlineStr">
        <is>
          <t>Aberta -30 dias</t>
        </is>
      </c>
      <c r="AB1197" t="inlineStr">
        <is>
          <t>EMPA</t>
        </is>
      </c>
      <c r="AC1197" t="inlineStr">
        <is>
          <t>Aline</t>
        </is>
      </c>
      <c r="AD1197" t="inlineStr">
        <is>
          <t>03/08/2026</t>
        </is>
      </c>
      <c r="AE1197" t="inlineStr">
        <is>
          <t>14/08/2026</t>
        </is>
      </c>
      <c r="AF1197" t="inlineStr">
        <is>
          <t>Prazo premissa VALE</t>
        </is>
      </c>
    </row>
    <row r="1198">
      <c r="A1198">
        <v>1196</v>
      </c>
      <c r="B1198">
        <v>1</v>
      </c>
      <c r="C1198" t="inlineStr">
        <is>
          <t>1.3</t>
        </is>
      </c>
      <c r="D1198" t="inlineStr">
        <is>
          <t>A47</t>
        </is>
      </c>
      <c r="F1198" t="inlineStr">
        <is>
          <t>EMPA</t>
        </is>
      </c>
      <c r="G1198" t="inlineStr">
        <is>
          <t>CLP-017</t>
        </is>
      </c>
      <c r="H1198" t="inlineStr">
        <is>
          <t>Protocolo</t>
        </is>
      </c>
      <c r="I1198">
        <v>2</v>
      </c>
      <c r="J1198" t="inlineStr">
        <is>
          <t>Bueiros</t>
        </is>
      </c>
      <c r="K1198" t="inlineStr">
        <is>
          <t>2.11</t>
        </is>
      </c>
      <c r="L1198" t="inlineStr">
        <is>
          <t>BSCC 2.00 x 3.00</t>
        </is>
      </c>
      <c r="M1198" t="inlineStr">
        <is>
          <t>Obstrução do dispositivo</t>
        </is>
      </c>
      <c r="N1198" t="inlineStr">
        <is>
          <t xml:space="preserve">Jusante da OAC com acúmulo de sedimento e vegetação impossibilitando identificar a execução do DBSCC-06.
</t>
        </is>
      </c>
      <c r="O1198" t="inlineStr">
        <is>
          <t>Tipo A</t>
        </is>
      </c>
      <c r="P1198" t="inlineStr">
        <is>
          <t>29+213</t>
        </is>
      </c>
      <c r="Q1198" t="inlineStr">
        <is>
          <t>29+213</t>
        </is>
      </c>
      <c r="R1198" t="inlineStr">
        <is>
          <t>Aberta</t>
        </is>
      </c>
      <c r="T1198" t="inlineStr">
        <is>
          <t>Aline Batista</t>
        </is>
      </c>
      <c r="U1198" t="inlineStr">
        <is>
          <t>15/05/2026</t>
        </is>
      </c>
      <c r="V1198" t="inlineStr">
        <is>
          <t>22/05/2026</t>
        </is>
      </c>
      <c r="W1198">
        <v>19</v>
      </c>
      <c r="AA1198" t="inlineStr">
        <is>
          <t>Aberta -30 dias</t>
        </is>
      </c>
      <c r="AB1198" t="inlineStr">
        <is>
          <t>EMPA</t>
        </is>
      </c>
      <c r="AC1198" t="inlineStr">
        <is>
          <t>Aline</t>
        </is>
      </c>
      <c r="AD1198" t="inlineStr">
        <is>
          <t>03/08/2026</t>
        </is>
      </c>
      <c r="AE1198" t="inlineStr">
        <is>
          <t>10/08/2026</t>
        </is>
      </c>
      <c r="AF1198" t="inlineStr">
        <is>
          <t>Prazo Premissa VALE</t>
        </is>
      </c>
    </row>
    <row r="1199">
      <c r="A1199">
        <v>1197</v>
      </c>
      <c r="B1199">
        <v>1</v>
      </c>
      <c r="C1199" t="inlineStr">
        <is>
          <t>1.3</t>
        </is>
      </c>
      <c r="D1199" t="inlineStr">
        <is>
          <t>A47</t>
        </is>
      </c>
      <c r="F1199" t="inlineStr">
        <is>
          <t>EMPA</t>
        </is>
      </c>
      <c r="G1199" t="inlineStr">
        <is>
          <t>CLP-017</t>
        </is>
      </c>
      <c r="H1199" t="inlineStr">
        <is>
          <t>Protocolo</t>
        </is>
      </c>
      <c r="I1199">
        <v>2</v>
      </c>
      <c r="J1199" t="inlineStr">
        <is>
          <t>Bueiros</t>
        </is>
      </c>
      <c r="K1199" t="inlineStr">
        <is>
          <t>2.11</t>
        </is>
      </c>
      <c r="L1199" t="inlineStr">
        <is>
          <t>DBSCC-02</t>
        </is>
      </c>
      <c r="M1199" t="inlineStr">
        <is>
          <t>Obstrução do dispositivo</t>
        </is>
      </c>
      <c r="N1199" t="inlineStr">
        <is>
          <t>Não foi possível verificar a execução do dissipador de energia (DBSCC-02) por acumulo de material.</t>
        </is>
      </c>
      <c r="O1199" t="inlineStr">
        <is>
          <t>Tipo A</t>
        </is>
      </c>
      <c r="P1199" t="inlineStr">
        <is>
          <t>28+550</t>
        </is>
      </c>
      <c r="Q1199" t="inlineStr">
        <is>
          <t>28+550</t>
        </is>
      </c>
      <c r="R1199" t="inlineStr">
        <is>
          <t>Aberta</t>
        </is>
      </c>
      <c r="T1199" t="inlineStr">
        <is>
          <t>Aline Batista</t>
        </is>
      </c>
      <c r="U1199" t="inlineStr">
        <is>
          <t>15/05/2026</t>
        </is>
      </c>
      <c r="V1199" t="inlineStr">
        <is>
          <t>22/05/2026</t>
        </is>
      </c>
      <c r="W1199">
        <v>19</v>
      </c>
      <c r="AA1199" t="inlineStr">
        <is>
          <t>Aberta -30 dias</t>
        </is>
      </c>
      <c r="AB1199" t="inlineStr">
        <is>
          <t>EMPA</t>
        </is>
      </c>
      <c r="AC1199" t="inlineStr">
        <is>
          <t>Aline</t>
        </is>
      </c>
      <c r="AD1199" t="inlineStr">
        <is>
          <t>03/08/2026</t>
        </is>
      </c>
      <c r="AE1199" t="inlineStr">
        <is>
          <t>14/08/2026</t>
        </is>
      </c>
      <c r="AF1199" t="inlineStr">
        <is>
          <t>Prazo premissa VALE</t>
        </is>
      </c>
    </row>
    <row r="1200">
      <c r="A1200">
        <v>1198</v>
      </c>
      <c r="B1200">
        <v>1</v>
      </c>
      <c r="C1200" t="inlineStr">
        <is>
          <t>1.3</t>
        </is>
      </c>
      <c r="D1200" t="inlineStr">
        <is>
          <t>A47</t>
        </is>
      </c>
      <c r="F1200" t="inlineStr">
        <is>
          <t>EMPA</t>
        </is>
      </c>
      <c r="G1200" t="inlineStr">
        <is>
          <t>CLP-017</t>
        </is>
      </c>
      <c r="H1200" t="inlineStr">
        <is>
          <t>Protocolo</t>
        </is>
      </c>
      <c r="I1200">
        <v>2</v>
      </c>
      <c r="J1200" t="inlineStr">
        <is>
          <t>Bueiros</t>
        </is>
      </c>
      <c r="K1200" t="inlineStr">
        <is>
          <t>2.11</t>
        </is>
      </c>
      <c r="L1200" t="inlineStr">
        <is>
          <t xml:space="preserve"> DBSCC-06.</t>
        </is>
      </c>
      <c r="M1200" t="inlineStr">
        <is>
          <t>Obstrução do dispositivo</t>
        </is>
      </c>
      <c r="N1200" t="inlineStr">
        <is>
          <t>Não foi possível verificar a execução do dissipador de energia (DBSCC-06) por acumulo de material.</t>
        </is>
      </c>
      <c r="O1200" t="inlineStr">
        <is>
          <t>Tipo A</t>
        </is>
      </c>
      <c r="P1200" t="inlineStr">
        <is>
          <t>29+213</t>
        </is>
      </c>
      <c r="Q1200" t="inlineStr">
        <is>
          <t>29+213</t>
        </is>
      </c>
      <c r="R1200" t="inlineStr">
        <is>
          <t>Aberta</t>
        </is>
      </c>
      <c r="T1200" t="inlineStr">
        <is>
          <t>Aline Batista</t>
        </is>
      </c>
      <c r="U1200" t="inlineStr">
        <is>
          <t>15/05/2026</t>
        </is>
      </c>
      <c r="V1200" t="inlineStr">
        <is>
          <t>22/05/2026</t>
        </is>
      </c>
      <c r="W1200">
        <v>19</v>
      </c>
      <c r="AA1200" t="inlineStr">
        <is>
          <t>Aberta -30 dias</t>
        </is>
      </c>
      <c r="AB1200" t="inlineStr">
        <is>
          <t>EMPA</t>
        </is>
      </c>
      <c r="AC1200" t="inlineStr">
        <is>
          <t>Aline</t>
        </is>
      </c>
      <c r="AD1200" t="inlineStr">
        <is>
          <t>03/08/2026</t>
        </is>
      </c>
      <c r="AE1200" t="inlineStr">
        <is>
          <t>10/08/2026</t>
        </is>
      </c>
      <c r="AF1200" t="inlineStr">
        <is>
          <t>Prazo Premissa VALE</t>
        </is>
      </c>
    </row>
    <row r="1201">
      <c r="A1201">
        <v>1199</v>
      </c>
      <c r="B1201">
        <v>1</v>
      </c>
      <c r="C1201" t="inlineStr">
        <is>
          <t>1.3</t>
        </is>
      </c>
      <c r="D1201" t="inlineStr">
        <is>
          <t>A48</t>
        </is>
      </c>
      <c r="F1201" t="inlineStr">
        <is>
          <t>EMPA</t>
        </is>
      </c>
      <c r="G1201" t="inlineStr">
        <is>
          <t>CLP-017</t>
        </is>
      </c>
      <c r="H1201" t="inlineStr">
        <is>
          <t>Protocolo</t>
        </is>
      </c>
      <c r="I1201">
        <v>2</v>
      </c>
      <c r="J1201" t="inlineStr">
        <is>
          <t>Bueiros</t>
        </is>
      </c>
      <c r="K1201" t="inlineStr">
        <is>
          <t>2.11</t>
        </is>
      </c>
      <c r="L1201" t="inlineStr">
        <is>
          <t>BSTC</t>
        </is>
      </c>
      <c r="M1201" t="inlineStr">
        <is>
          <t>Obstrução do dispositivo</t>
        </is>
      </c>
      <c r="N1201" t="inlineStr">
        <is>
          <t>Bueiro obstruído.</t>
        </is>
      </c>
      <c r="O1201" t="inlineStr">
        <is>
          <t>Tipo A</t>
        </is>
      </c>
      <c r="P1201" t="inlineStr">
        <is>
          <t>30+000</t>
        </is>
      </c>
      <c r="Q1201" t="inlineStr">
        <is>
          <t>30+000</t>
        </is>
      </c>
      <c r="R1201" t="inlineStr">
        <is>
          <t>Aberta</t>
        </is>
      </c>
      <c r="T1201" t="inlineStr">
        <is>
          <t>Aline Batista</t>
        </is>
      </c>
      <c r="U1201" t="inlineStr">
        <is>
          <t>15/05/2026</t>
        </is>
      </c>
      <c r="V1201" t="inlineStr">
        <is>
          <t>22/05/2026</t>
        </is>
      </c>
      <c r="W1201">
        <v>19</v>
      </c>
      <c r="AA1201" t="inlineStr">
        <is>
          <t>Aberta -30 dias</t>
        </is>
      </c>
      <c r="AB1201" t="inlineStr">
        <is>
          <t>EMPA</t>
        </is>
      </c>
      <c r="AC1201" t="inlineStr">
        <is>
          <t>Aline</t>
        </is>
      </c>
      <c r="AD1201" t="inlineStr">
        <is>
          <t>17/08/2026</t>
        </is>
      </c>
      <c r="AE1201" t="inlineStr">
        <is>
          <t>28/08/2026</t>
        </is>
      </c>
      <c r="AF1201" t="inlineStr">
        <is>
          <t>Prazo Premissa VALE</t>
        </is>
      </c>
    </row>
    <row r="1202">
      <c r="A1202">
        <v>1200</v>
      </c>
      <c r="B1202">
        <v>1</v>
      </c>
      <c r="C1202" t="inlineStr">
        <is>
          <t>1.3</t>
        </is>
      </c>
      <c r="D1202" t="inlineStr">
        <is>
          <t>A48</t>
        </is>
      </c>
      <c r="F1202" t="inlineStr">
        <is>
          <t>EMPA</t>
        </is>
      </c>
      <c r="G1202" t="inlineStr">
        <is>
          <t>CLP-017</t>
        </is>
      </c>
      <c r="H1202" t="inlineStr">
        <is>
          <t>Protocolo</t>
        </is>
      </c>
      <c r="I1202">
        <v>2</v>
      </c>
      <c r="J1202" t="inlineStr">
        <is>
          <t>Bueiros</t>
        </is>
      </c>
      <c r="K1202" t="inlineStr">
        <is>
          <t>2.11</t>
        </is>
      </c>
      <c r="L1202" t="inlineStr">
        <is>
          <t>BSTC</t>
        </is>
      </c>
      <c r="M1202" t="inlineStr">
        <is>
          <t>Obstrução do dispositivo</t>
        </is>
      </c>
      <c r="N1202" t="inlineStr">
        <is>
          <t>Bueiro obstruído.</t>
        </is>
      </c>
      <c r="O1202" t="inlineStr">
        <is>
          <t>Tipo A</t>
        </is>
      </c>
      <c r="P1202" t="inlineStr">
        <is>
          <t>30+150</t>
        </is>
      </c>
      <c r="Q1202" t="inlineStr">
        <is>
          <t>30+150</t>
        </is>
      </c>
      <c r="R1202" t="inlineStr">
        <is>
          <t>Aberta</t>
        </is>
      </c>
      <c r="T1202" t="inlineStr">
        <is>
          <t>Aline Batista</t>
        </is>
      </c>
      <c r="U1202" t="inlineStr">
        <is>
          <t>15/05/2026</t>
        </is>
      </c>
      <c r="V1202" t="inlineStr">
        <is>
          <t>22/05/2026</t>
        </is>
      </c>
      <c r="W1202">
        <v>19</v>
      </c>
      <c r="AA1202" t="inlineStr">
        <is>
          <t>Aberta -30 dias</t>
        </is>
      </c>
      <c r="AB1202" t="inlineStr">
        <is>
          <t>EMPA</t>
        </is>
      </c>
      <c r="AC1202" t="inlineStr">
        <is>
          <t>Aline</t>
        </is>
      </c>
      <c r="AD1202" t="inlineStr">
        <is>
          <t>17/08/2026</t>
        </is>
      </c>
      <c r="AE1202" t="inlineStr">
        <is>
          <t>28/08/2026</t>
        </is>
      </c>
      <c r="AF1202" t="inlineStr">
        <is>
          <t>Prazo Premissa VALE</t>
        </is>
      </c>
    </row>
    <row r="1203">
      <c r="A1203">
        <v>1201</v>
      </c>
      <c r="B1203">
        <v>1</v>
      </c>
      <c r="C1203" t="inlineStr">
        <is>
          <t>1.3</t>
        </is>
      </c>
      <c r="D1203" t="inlineStr">
        <is>
          <t>GERAL</t>
        </is>
      </c>
      <c r="F1203" t="inlineStr">
        <is>
          <t>EMPA</t>
        </is>
      </c>
      <c r="G1203" t="inlineStr">
        <is>
          <t>CLP-017</t>
        </is>
      </c>
      <c r="H1203" t="inlineStr">
        <is>
          <t>Protocolo</t>
        </is>
      </c>
      <c r="I1203">
        <v>2</v>
      </c>
      <c r="J1203" t="inlineStr">
        <is>
          <t>Bueiros</t>
        </is>
      </c>
      <c r="K1203" t="inlineStr">
        <is>
          <t>2.11</t>
        </is>
      </c>
      <c r="L1203" t="inlineStr">
        <is>
          <t xml:space="preserve">As built </t>
        </is>
      </c>
      <c r="M1203" t="inlineStr">
        <is>
          <t>Documental</t>
        </is>
      </c>
      <c r="N1203" t="inlineStr">
        <is>
          <t xml:space="preserve">Pendente aprovação de Data Book
(As Built, controle tecnológico, certificados de qualidade, RNC)</t>
        </is>
      </c>
      <c r="O1203" t="inlineStr">
        <is>
          <t>Tipo B</t>
        </is>
      </c>
      <c r="P1203" t="inlineStr">
        <is>
          <t>23+600</t>
        </is>
      </c>
      <c r="Q1203" t="inlineStr">
        <is>
          <t>30+940</t>
        </is>
      </c>
      <c r="R1203" t="inlineStr">
        <is>
          <t>Aberta</t>
        </is>
      </c>
      <c r="T1203" t="inlineStr">
        <is>
          <t>Aline Batista</t>
        </is>
      </c>
      <c r="U1203" t="inlineStr">
        <is>
          <t>15/05/2026</t>
        </is>
      </c>
      <c r="V1203" t="inlineStr">
        <is>
          <t>30/05/2026</t>
        </is>
      </c>
      <c r="W1203">
        <v>11</v>
      </c>
      <c r="AA1203" t="inlineStr">
        <is>
          <t>Aberta -30 dias</t>
        </is>
      </c>
      <c r="AB1203" t="inlineStr">
        <is>
          <t>EMPA</t>
        </is>
      </c>
      <c r="AC1203" t="inlineStr">
        <is>
          <t>Aline</t>
        </is>
      </c>
      <c r="AD1203" t="inlineStr">
        <is>
          <t>20/07/2026</t>
        </is>
      </c>
      <c r="AE1203" t="inlineStr">
        <is>
          <t>31/07/2026</t>
        </is>
      </c>
      <c r="AF1203" t="inlineStr">
        <is>
          <t>Prazo premissa VALE</t>
        </is>
      </c>
    </row>
    <row r="1204">
      <c r="A1204">
        <v>1202</v>
      </c>
      <c r="B1204">
        <v>1</v>
      </c>
      <c r="C1204" t="inlineStr">
        <is>
          <t>1.3</t>
        </is>
      </c>
      <c r="D1204" t="inlineStr">
        <is>
          <t>C44</t>
        </is>
      </c>
      <c r="E1204" t="inlineStr">
        <is>
          <t>LD</t>
        </is>
      </c>
      <c r="F1204" t="inlineStr">
        <is>
          <t>EMPA</t>
        </is>
      </c>
      <c r="G1204" t="inlineStr">
        <is>
          <t>CLP-017</t>
        </is>
      </c>
      <c r="H1204" t="inlineStr">
        <is>
          <t>Protocolo</t>
        </is>
      </c>
      <c r="I1204">
        <v>4</v>
      </c>
      <c r="J1204" t="inlineStr">
        <is>
          <t>Terraplenagem</t>
        </is>
      </c>
      <c r="K1204" t="inlineStr">
        <is>
          <t>4.11</t>
        </is>
      </c>
      <c r="L1204" t="inlineStr">
        <is>
          <t>Acesso</t>
        </is>
      </c>
      <c r="M1204" t="inlineStr">
        <is>
          <t>Regularização e recuperação de área</t>
        </is>
      </c>
      <c r="N1204" t="inlineStr">
        <is>
          <t>Acesso lateral não previsto em projeto, necessária a recomposição deste acesso e proteção da drenagem e verticalização do pé do talude deste acesso</t>
        </is>
      </c>
      <c r="O1204" t="inlineStr">
        <is>
          <t>Tipo A</t>
        </is>
      </c>
      <c r="P1204" t="inlineStr">
        <is>
          <t>29+960</t>
        </is>
      </c>
      <c r="Q1204">
        <v>29960</v>
      </c>
      <c r="R1204" t="inlineStr">
        <is>
          <t>Aberta</t>
        </is>
      </c>
      <c r="T1204" t="inlineStr">
        <is>
          <t>Aline Batista</t>
        </is>
      </c>
      <c r="U1204" t="inlineStr">
        <is>
          <t>15/05/2026</t>
        </is>
      </c>
      <c r="V1204" t="inlineStr">
        <is>
          <t>22/05/2026</t>
        </is>
      </c>
      <c r="W1204">
        <v>19</v>
      </c>
      <c r="AA1204" t="inlineStr">
        <is>
          <t>Aberta -30 dias</t>
        </is>
      </c>
      <c r="AB1204" t="inlineStr">
        <is>
          <t>EMPA</t>
        </is>
      </c>
      <c r="AC1204" t="inlineStr">
        <is>
          <t>Aline</t>
        </is>
      </c>
      <c r="AD1204" t="inlineStr">
        <is>
          <t>03/08/2026</t>
        </is>
      </c>
      <c r="AE1204" t="inlineStr">
        <is>
          <t>10/08/2026</t>
        </is>
      </c>
      <c r="AF1204" t="inlineStr">
        <is>
          <t>Prazo Premissa VALE</t>
        </is>
      </c>
    </row>
    <row r="1205">
      <c r="A1205">
        <v>1203</v>
      </c>
      <c r="B1205">
        <v>1</v>
      </c>
      <c r="C1205" t="inlineStr">
        <is>
          <t>1.3</t>
        </is>
      </c>
      <c r="D1205" t="inlineStr">
        <is>
          <t>A47</t>
        </is>
      </c>
      <c r="F1205" t="inlineStr">
        <is>
          <t>EMPA</t>
        </is>
      </c>
      <c r="G1205" t="inlineStr">
        <is>
          <t>CLP-017</t>
        </is>
      </c>
      <c r="H1205" t="inlineStr">
        <is>
          <t>Protocolo</t>
        </is>
      </c>
      <c r="I1205">
        <v>4</v>
      </c>
      <c r="J1205" t="inlineStr">
        <is>
          <t>Terraplenagem</t>
        </is>
      </c>
      <c r="K1205" t="inlineStr">
        <is>
          <t>4.11</t>
        </is>
      </c>
      <c r="L1205" t="inlineStr">
        <is>
          <t>Talude</t>
        </is>
      </c>
      <c r="M1205" t="inlineStr">
        <is>
          <t>Revegetação/ Hidrossemeadura</t>
        </is>
      </c>
      <c r="N1205" t="inlineStr">
        <is>
          <t xml:space="preserve">Falhas na proteção vegetal dos taludes </t>
        </is>
      </c>
      <c r="O1205" t="inlineStr">
        <is>
          <t>Tipo A</t>
        </is>
      </c>
      <c r="P1205" t="inlineStr">
        <is>
          <t>28+820</t>
        </is>
      </c>
      <c r="Q1205">
        <v>28820</v>
      </c>
      <c r="R1205" t="inlineStr">
        <is>
          <t>Aberta</t>
        </is>
      </c>
      <c r="T1205" t="inlineStr">
        <is>
          <t>Aline Batista</t>
        </is>
      </c>
      <c r="U1205" t="inlineStr">
        <is>
          <t>15/05/2026</t>
        </is>
      </c>
      <c r="V1205" t="inlineStr">
        <is>
          <t>22/05/2026</t>
        </is>
      </c>
      <c r="W1205">
        <v>19</v>
      </c>
      <c r="AA1205" t="inlineStr">
        <is>
          <t>Aberta -30 dias</t>
        </is>
      </c>
      <c r="AB1205" t="inlineStr">
        <is>
          <t>EMPA</t>
        </is>
      </c>
      <c r="AC1205" t="inlineStr">
        <is>
          <t>Aline</t>
        </is>
      </c>
      <c r="AD1205" t="inlineStr">
        <is>
          <t>03/08/2026</t>
        </is>
      </c>
      <c r="AE1205" t="inlineStr">
        <is>
          <t>14/08/2026</t>
        </is>
      </c>
      <c r="AF1205" t="inlineStr">
        <is>
          <t>Prazo premissa VALE</t>
        </is>
      </c>
    </row>
    <row r="1206">
      <c r="A1206">
        <v>1204</v>
      </c>
      <c r="B1206">
        <v>1</v>
      </c>
      <c r="C1206" t="inlineStr">
        <is>
          <t>1.3</t>
        </is>
      </c>
      <c r="D1206" t="inlineStr">
        <is>
          <t>A47</t>
        </is>
      </c>
      <c r="F1206" t="inlineStr">
        <is>
          <t>EMPA</t>
        </is>
      </c>
      <c r="G1206" t="inlineStr">
        <is>
          <t>CLP-017</t>
        </is>
      </c>
      <c r="H1206" t="inlineStr">
        <is>
          <t>Protocolo</t>
        </is>
      </c>
      <c r="I1206">
        <v>4</v>
      </c>
      <c r="J1206" t="inlineStr">
        <is>
          <t>Terraplenagem</t>
        </is>
      </c>
      <c r="K1206" t="inlineStr">
        <is>
          <t>4.11</t>
        </is>
      </c>
      <c r="L1206" t="inlineStr">
        <is>
          <t>Talude</t>
        </is>
      </c>
      <c r="M1206" t="inlineStr">
        <is>
          <t>Revegetação/ Hidrossemeadura</t>
        </is>
      </c>
      <c r="N1206" t="inlineStr">
        <is>
          <t xml:space="preserve">Falhas na proteção vegetal dos taludes </t>
        </is>
      </c>
      <c r="O1206" t="inlineStr">
        <is>
          <t>Tipo A</t>
        </is>
      </c>
      <c r="P1206" t="inlineStr">
        <is>
          <t>29+550</t>
        </is>
      </c>
      <c r="Q1206">
        <v>29550</v>
      </c>
      <c r="R1206" t="inlineStr">
        <is>
          <t>Aberta</t>
        </is>
      </c>
      <c r="T1206" t="inlineStr">
        <is>
          <t>Aline Batista</t>
        </is>
      </c>
      <c r="U1206" t="inlineStr">
        <is>
          <t>15/05/2026</t>
        </is>
      </c>
      <c r="V1206" t="inlineStr">
        <is>
          <t>22/05/2026</t>
        </is>
      </c>
      <c r="W1206">
        <v>19</v>
      </c>
      <c r="AA1206" t="inlineStr">
        <is>
          <t>Aberta -30 dias</t>
        </is>
      </c>
      <c r="AB1206" t="inlineStr">
        <is>
          <t>EMPA</t>
        </is>
      </c>
      <c r="AC1206" t="inlineStr">
        <is>
          <t>Aline</t>
        </is>
      </c>
      <c r="AD1206" t="inlineStr">
        <is>
          <t>03/08/2026</t>
        </is>
      </c>
      <c r="AE1206" t="inlineStr">
        <is>
          <t>10/08/2026</t>
        </is>
      </c>
      <c r="AF1206" t="inlineStr">
        <is>
          <t>Prazo Premissa VALE</t>
        </is>
      </c>
    </row>
    <row r="1207">
      <c r="A1207">
        <v>1205</v>
      </c>
      <c r="B1207">
        <v>1</v>
      </c>
      <c r="C1207" t="inlineStr">
        <is>
          <t>1.3</t>
        </is>
      </c>
      <c r="D1207" t="inlineStr">
        <is>
          <t>C44</t>
        </is>
      </c>
      <c r="F1207" t="inlineStr">
        <is>
          <t>EMPA</t>
        </is>
      </c>
      <c r="G1207" t="inlineStr">
        <is>
          <t>CLP-017</t>
        </is>
      </c>
      <c r="H1207" t="inlineStr">
        <is>
          <t>Protocolo</t>
        </is>
      </c>
      <c r="I1207">
        <v>4</v>
      </c>
      <c r="J1207" t="inlineStr">
        <is>
          <t>Terraplenagem</t>
        </is>
      </c>
      <c r="K1207" t="inlineStr">
        <is>
          <t>4.11</t>
        </is>
      </c>
      <c r="L1207" t="inlineStr">
        <is>
          <t>Talude</t>
        </is>
      </c>
      <c r="M1207" t="inlineStr">
        <is>
          <t>Revegetação/ Hidrossemeadura</t>
        </is>
      </c>
      <c r="N1207" t="inlineStr">
        <is>
          <t xml:space="preserve">Falhas na proteção vegetal dos taludes </t>
        </is>
      </c>
      <c r="O1207" t="inlineStr">
        <is>
          <t>Tipo A</t>
        </is>
      </c>
      <c r="P1207" t="inlineStr">
        <is>
          <t>29+840</t>
        </is>
      </c>
      <c r="Q1207">
        <v>29840</v>
      </c>
      <c r="R1207" t="inlineStr">
        <is>
          <t>Aberta</t>
        </is>
      </c>
      <c r="T1207" t="inlineStr">
        <is>
          <t>Aline Batista</t>
        </is>
      </c>
      <c r="U1207" t="inlineStr">
        <is>
          <t>15/05/2026</t>
        </is>
      </c>
      <c r="V1207" t="inlineStr">
        <is>
          <t>22/05/2026</t>
        </is>
      </c>
      <c r="W1207">
        <v>19</v>
      </c>
      <c r="AA1207" t="inlineStr">
        <is>
          <t>Aberta -30 dias</t>
        </is>
      </c>
      <c r="AB1207" t="inlineStr">
        <is>
          <t>EMPA</t>
        </is>
      </c>
      <c r="AC1207" t="inlineStr">
        <is>
          <t>Aline</t>
        </is>
      </c>
      <c r="AD1207" t="inlineStr">
        <is>
          <t>03/08/2026</t>
        </is>
      </c>
      <c r="AE1207" t="inlineStr">
        <is>
          <t>10/08/2026</t>
        </is>
      </c>
      <c r="AF1207" t="inlineStr">
        <is>
          <t>Prazo Premissa VALE</t>
        </is>
      </c>
    </row>
    <row r="1208">
      <c r="A1208">
        <v>1206</v>
      </c>
      <c r="B1208">
        <v>1</v>
      </c>
      <c r="C1208" t="inlineStr">
        <is>
          <t>1.3</t>
        </is>
      </c>
      <c r="D1208" t="inlineStr">
        <is>
          <t>C44</t>
        </is>
      </c>
      <c r="F1208" t="inlineStr">
        <is>
          <t>EMPA</t>
        </is>
      </c>
      <c r="G1208" t="inlineStr">
        <is>
          <t>CLP-017</t>
        </is>
      </c>
      <c r="H1208" t="inlineStr">
        <is>
          <t>Protocolo</t>
        </is>
      </c>
      <c r="I1208">
        <v>4</v>
      </c>
      <c r="J1208" t="inlineStr">
        <is>
          <t>Terraplenagem</t>
        </is>
      </c>
      <c r="K1208" t="inlineStr">
        <is>
          <t>4.11</t>
        </is>
      </c>
      <c r="L1208" t="inlineStr">
        <is>
          <t>Talude</t>
        </is>
      </c>
      <c r="M1208" t="inlineStr">
        <is>
          <t>Revegetação/ Hidrossemeadura</t>
        </is>
      </c>
      <c r="N1208" t="inlineStr">
        <is>
          <t xml:space="preserve">Falhas na proteção vegetal dos taludes </t>
        </is>
      </c>
      <c r="O1208" t="inlineStr">
        <is>
          <t>Tipo A</t>
        </is>
      </c>
      <c r="P1208" t="inlineStr">
        <is>
          <t>29+960</t>
        </is>
      </c>
      <c r="Q1208">
        <v>29960</v>
      </c>
      <c r="R1208" t="inlineStr">
        <is>
          <t>Aberta</t>
        </is>
      </c>
      <c r="T1208" t="inlineStr">
        <is>
          <t>Aline Batista</t>
        </is>
      </c>
      <c r="U1208" t="inlineStr">
        <is>
          <t>15/05/2026</t>
        </is>
      </c>
      <c r="V1208" t="inlineStr">
        <is>
          <t>22/05/2026</t>
        </is>
      </c>
      <c r="W1208">
        <v>19</v>
      </c>
      <c r="AA1208" t="inlineStr">
        <is>
          <t>Aberta -30 dias</t>
        </is>
      </c>
      <c r="AB1208" t="inlineStr">
        <is>
          <t>EMPA</t>
        </is>
      </c>
      <c r="AC1208" t="inlineStr">
        <is>
          <t>Aline</t>
        </is>
      </c>
      <c r="AD1208" t="inlineStr">
        <is>
          <t>03/08/2026</t>
        </is>
      </c>
      <c r="AE1208" t="inlineStr">
        <is>
          <t>10/08/2026</t>
        </is>
      </c>
      <c r="AF1208" t="inlineStr">
        <is>
          <t>Prazo Premissa VALE</t>
        </is>
      </c>
    </row>
    <row r="1209">
      <c r="A1209">
        <v>1207</v>
      </c>
      <c r="B1209">
        <v>1</v>
      </c>
      <c r="C1209" t="inlineStr">
        <is>
          <t>1.3</t>
        </is>
      </c>
      <c r="D1209" t="inlineStr">
        <is>
          <t>C44</t>
        </is>
      </c>
      <c r="F1209" t="inlineStr">
        <is>
          <t>EMPA</t>
        </is>
      </c>
      <c r="G1209" t="inlineStr">
        <is>
          <t>CLP-017</t>
        </is>
      </c>
      <c r="H1209" t="inlineStr">
        <is>
          <t>Protocolo</t>
        </is>
      </c>
      <c r="I1209">
        <v>4</v>
      </c>
      <c r="J1209" t="inlineStr">
        <is>
          <t>Terraplenagem</t>
        </is>
      </c>
      <c r="K1209" t="inlineStr">
        <is>
          <t>4.11</t>
        </is>
      </c>
      <c r="L1209" t="inlineStr">
        <is>
          <t>Talude</t>
        </is>
      </c>
      <c r="M1209" t="inlineStr">
        <is>
          <t>Revegetação/ Hidrossemeadura</t>
        </is>
      </c>
      <c r="N1209" t="inlineStr">
        <is>
          <t xml:space="preserve">Falhas na proteção vegetal dos taludes </t>
        </is>
      </c>
      <c r="O1209" t="inlineStr">
        <is>
          <t>Tipo A</t>
        </is>
      </c>
      <c r="P1209" t="inlineStr">
        <is>
          <t>29+960</t>
        </is>
      </c>
      <c r="Q1209">
        <v>29960</v>
      </c>
      <c r="R1209" t="inlineStr">
        <is>
          <t>Aberta</t>
        </is>
      </c>
      <c r="T1209" t="inlineStr">
        <is>
          <t>Aline Batista</t>
        </is>
      </c>
      <c r="U1209" t="inlineStr">
        <is>
          <t>15/05/2026</t>
        </is>
      </c>
      <c r="V1209" t="inlineStr">
        <is>
          <t>22/05/2026</t>
        </is>
      </c>
      <c r="W1209">
        <v>19</v>
      </c>
      <c r="AA1209" t="inlineStr">
        <is>
          <t>Aberta -30 dias</t>
        </is>
      </c>
      <c r="AB1209" t="inlineStr">
        <is>
          <t>EMPA</t>
        </is>
      </c>
      <c r="AC1209" t="inlineStr">
        <is>
          <t>Aline</t>
        </is>
      </c>
      <c r="AD1209" t="inlineStr">
        <is>
          <t>03/08/2026</t>
        </is>
      </c>
      <c r="AE1209" t="inlineStr">
        <is>
          <t>10/08/2026</t>
        </is>
      </c>
      <c r="AF1209" t="inlineStr">
        <is>
          <t>Prazo Premissa VALE</t>
        </is>
      </c>
    </row>
    <row r="1210">
      <c r="A1210">
        <v>1208</v>
      </c>
      <c r="B1210">
        <v>1</v>
      </c>
      <c r="C1210" t="inlineStr">
        <is>
          <t>1.3</t>
        </is>
      </c>
      <c r="D1210" t="inlineStr">
        <is>
          <t>C44</t>
        </is>
      </c>
      <c r="F1210" t="inlineStr">
        <is>
          <t>EMPA</t>
        </is>
      </c>
      <c r="G1210" t="inlineStr">
        <is>
          <t>CLP-017</t>
        </is>
      </c>
      <c r="H1210" t="inlineStr">
        <is>
          <t>Protocolo</t>
        </is>
      </c>
      <c r="I1210">
        <v>4</v>
      </c>
      <c r="J1210" t="inlineStr">
        <is>
          <t>Terraplenagem</t>
        </is>
      </c>
      <c r="K1210" t="inlineStr">
        <is>
          <t>4.11</t>
        </is>
      </c>
      <c r="L1210" t="inlineStr">
        <is>
          <t>Talude</t>
        </is>
      </c>
      <c r="M1210" t="inlineStr">
        <is>
          <t>Revegetação/ Hidrossemeadura</t>
        </is>
      </c>
      <c r="N1210" t="inlineStr">
        <is>
          <t xml:space="preserve">Falhas na proteção vegetal dos taludes </t>
        </is>
      </c>
      <c r="O1210" t="inlineStr">
        <is>
          <t>Tipo A</t>
        </is>
      </c>
      <c r="P1210" t="inlineStr">
        <is>
          <t>30+200</t>
        </is>
      </c>
      <c r="Q1210">
        <v>30200</v>
      </c>
      <c r="R1210" t="inlineStr">
        <is>
          <t>Aberta</t>
        </is>
      </c>
      <c r="T1210" t="inlineStr">
        <is>
          <t>Aline Batista</t>
        </is>
      </c>
      <c r="U1210" t="inlineStr">
        <is>
          <t>15/05/2026</t>
        </is>
      </c>
      <c r="V1210" t="inlineStr">
        <is>
          <t>22/05/2026</t>
        </is>
      </c>
      <c r="W1210">
        <v>19</v>
      </c>
      <c r="AA1210" t="inlineStr">
        <is>
          <t>Aberta -30 dias</t>
        </is>
      </c>
      <c r="AB1210" t="inlineStr">
        <is>
          <t>EMPA</t>
        </is>
      </c>
      <c r="AC1210" t="inlineStr">
        <is>
          <t>Aline</t>
        </is>
      </c>
      <c r="AD1210" t="inlineStr">
        <is>
          <t>17/08/2026</t>
        </is>
      </c>
      <c r="AE1210" t="inlineStr">
        <is>
          <t>28/08/2026</t>
        </is>
      </c>
      <c r="AF1210" t="inlineStr">
        <is>
          <t>Prazo Premissa VALE</t>
        </is>
      </c>
    </row>
    <row r="1211">
      <c r="A1211">
        <v>1209</v>
      </c>
      <c r="B1211">
        <v>1</v>
      </c>
      <c r="C1211" t="inlineStr">
        <is>
          <t>1.3</t>
        </is>
      </c>
      <c r="D1211" t="inlineStr">
        <is>
          <t>A48</t>
        </is>
      </c>
      <c r="E1211" t="inlineStr">
        <is>
          <t>LD</t>
        </is>
      </c>
      <c r="F1211" t="inlineStr">
        <is>
          <t>EMPA</t>
        </is>
      </c>
      <c r="G1211" t="inlineStr">
        <is>
          <t>CLP-017</t>
        </is>
      </c>
      <c r="H1211" t="inlineStr">
        <is>
          <t>Protocolo</t>
        </is>
      </c>
      <c r="I1211">
        <v>4</v>
      </c>
      <c r="J1211" t="inlineStr">
        <is>
          <t>Terraplenagem</t>
        </is>
      </c>
      <c r="K1211" t="inlineStr">
        <is>
          <t>4.11</t>
        </is>
      </c>
      <c r="L1211" t="inlineStr">
        <is>
          <t>Acesso</t>
        </is>
      </c>
      <c r="M1211" t="inlineStr">
        <is>
          <t>Revegetação/ Hidrossemeadura</t>
        </is>
      </c>
      <c r="N1211" t="inlineStr">
        <is>
          <t>Caminho de serviço necessitando de recuperação.</t>
        </is>
      </c>
      <c r="O1211" t="inlineStr">
        <is>
          <t>Tipo A</t>
        </is>
      </c>
      <c r="P1211" t="inlineStr">
        <is>
          <t>26+900</t>
        </is>
      </c>
      <c r="Q1211" t="inlineStr">
        <is>
          <t>26+901</t>
        </is>
      </c>
      <c r="R1211" t="inlineStr">
        <is>
          <t>Aberta</t>
        </is>
      </c>
      <c r="T1211" t="inlineStr">
        <is>
          <t>Aline Batista</t>
        </is>
      </c>
      <c r="U1211" t="inlineStr">
        <is>
          <t>15/05/2026</t>
        </is>
      </c>
      <c r="V1211" t="inlineStr">
        <is>
          <t>22/05/2026</t>
        </is>
      </c>
      <c r="W1211">
        <v>19</v>
      </c>
      <c r="AA1211" t="inlineStr">
        <is>
          <t>Aberta -30 dias</t>
        </is>
      </c>
      <c r="AB1211" t="inlineStr">
        <is>
          <t>EMPA</t>
        </is>
      </c>
      <c r="AC1211" t="inlineStr">
        <is>
          <t>Aline</t>
        </is>
      </c>
      <c r="AD1211" t="inlineStr">
        <is>
          <t>20/07/2026</t>
        </is>
      </c>
      <c r="AE1211" t="inlineStr">
        <is>
          <t>31/07/2026</t>
        </is>
      </c>
      <c r="AF1211" t="inlineStr">
        <is>
          <t>Prazo Premissa VALE</t>
        </is>
      </c>
    </row>
    <row r="1212">
      <c r="A1212">
        <v>1210</v>
      </c>
      <c r="B1212">
        <v>1</v>
      </c>
      <c r="C1212" t="inlineStr">
        <is>
          <t>1.3</t>
        </is>
      </c>
      <c r="D1212" t="inlineStr">
        <is>
          <t>A47</t>
        </is>
      </c>
      <c r="E1212" t="inlineStr">
        <is>
          <t>LE</t>
        </is>
      </c>
      <c r="F1212" t="inlineStr">
        <is>
          <t>EMPA</t>
        </is>
      </c>
      <c r="G1212" t="inlineStr">
        <is>
          <t>CLP-017</t>
        </is>
      </c>
      <c r="H1212" t="inlineStr">
        <is>
          <t>Protocolo</t>
        </is>
      </c>
      <c r="I1212">
        <v>4</v>
      </c>
      <c r="J1212" t="inlineStr">
        <is>
          <t>Terraplenagem</t>
        </is>
      </c>
      <c r="K1212" t="inlineStr">
        <is>
          <t>4.11</t>
        </is>
      </c>
      <c r="L1212" t="inlineStr">
        <is>
          <t>ADME</t>
        </is>
      </c>
      <c r="M1212" t="inlineStr">
        <is>
          <t>Conformação</t>
        </is>
      </c>
      <c r="N1212" t="inlineStr">
        <is>
          <t>ADME não conformada; presença de solo exposto; resíduos de concreto dispostos em local inadequado.</t>
        </is>
      </c>
      <c r="O1212" t="inlineStr">
        <is>
          <t>Tipo A</t>
        </is>
      </c>
      <c r="P1212" t="inlineStr">
        <is>
          <t>29+800</t>
        </is>
      </c>
      <c r="Q1212" t="inlineStr">
        <is>
          <t>29+800</t>
        </is>
      </c>
      <c r="R1212" t="inlineStr">
        <is>
          <t>Aberta</t>
        </is>
      </c>
      <c r="T1212" t="inlineStr">
        <is>
          <t>Aline Batista</t>
        </is>
      </c>
      <c r="U1212" t="inlineStr">
        <is>
          <t>15/05/2026</t>
        </is>
      </c>
      <c r="V1212" t="inlineStr">
        <is>
          <t>22/05/2026</t>
        </is>
      </c>
      <c r="W1212">
        <v>19</v>
      </c>
      <c r="AA1212" t="inlineStr">
        <is>
          <t>Aberta -30 dias</t>
        </is>
      </c>
      <c r="AB1212" t="inlineStr">
        <is>
          <t>EMPA</t>
        </is>
      </c>
      <c r="AC1212" t="inlineStr">
        <is>
          <t>Aline</t>
        </is>
      </c>
      <c r="AD1212" t="inlineStr">
        <is>
          <t>03/08/2026</t>
        </is>
      </c>
      <c r="AE1212" t="inlineStr">
        <is>
          <t>10/08/2026</t>
        </is>
      </c>
      <c r="AF1212" t="inlineStr">
        <is>
          <t>Prazo Premissa VALE</t>
        </is>
      </c>
    </row>
    <row r="1213">
      <c r="A1213">
        <v>1211</v>
      </c>
      <c r="B1213">
        <v>1</v>
      </c>
      <c r="C1213" t="inlineStr">
        <is>
          <t>1.3</t>
        </is>
      </c>
      <c r="D1213" t="inlineStr">
        <is>
          <t>C44</t>
        </is>
      </c>
      <c r="E1213" t="inlineStr">
        <is>
          <t>LE</t>
        </is>
      </c>
      <c r="F1213" t="inlineStr">
        <is>
          <t>EMPA</t>
        </is>
      </c>
      <c r="G1213" t="inlineStr">
        <is>
          <t>CLP-017</t>
        </is>
      </c>
      <c r="H1213" t="inlineStr">
        <is>
          <t>Protocolo</t>
        </is>
      </c>
      <c r="I1213">
        <v>4</v>
      </c>
      <c r="J1213" t="inlineStr">
        <is>
          <t>Terraplenagem</t>
        </is>
      </c>
      <c r="K1213" t="inlineStr">
        <is>
          <t>4.11</t>
        </is>
      </c>
      <c r="L1213" t="inlineStr">
        <is>
          <t>Acesso</t>
        </is>
      </c>
      <c r="M1213" t="inlineStr">
        <is>
          <t>Revegetação/ Hidrossemeadura</t>
        </is>
      </c>
      <c r="N1213" t="inlineStr">
        <is>
          <t>Caminho de serviço desprotegido; necessário conformar o terreno e executar hidrossemeadura.</t>
        </is>
      </c>
      <c r="O1213" t="inlineStr">
        <is>
          <t>Tipo A</t>
        </is>
      </c>
      <c r="P1213" t="inlineStr">
        <is>
          <t>29+950</t>
        </is>
      </c>
      <c r="Q1213" t="inlineStr">
        <is>
          <t>30+400</t>
        </is>
      </c>
      <c r="R1213" t="inlineStr">
        <is>
          <t>Aberta</t>
        </is>
      </c>
      <c r="T1213" t="inlineStr">
        <is>
          <t>Aline Batista</t>
        </is>
      </c>
      <c r="U1213" t="inlineStr">
        <is>
          <t>15/05/2026</t>
        </is>
      </c>
      <c r="V1213" t="inlineStr">
        <is>
          <t>22/05/2026</t>
        </is>
      </c>
      <c r="W1213">
        <v>19</v>
      </c>
      <c r="AA1213" t="inlineStr">
        <is>
          <t>Aberta -30 dias</t>
        </is>
      </c>
      <c r="AB1213" t="inlineStr">
        <is>
          <t>EMPA</t>
        </is>
      </c>
      <c r="AC1213" t="inlineStr">
        <is>
          <t>Aline</t>
        </is>
      </c>
      <c r="AD1213" t="inlineStr">
        <is>
          <t>03/08/2026</t>
        </is>
      </c>
      <c r="AE1213" t="inlineStr">
        <is>
          <t>10/08/2026</t>
        </is>
      </c>
      <c r="AF1213" t="inlineStr">
        <is>
          <t>Prazo Premissa VALE</t>
        </is>
      </c>
    </row>
    <row r="1214">
      <c r="A1214">
        <v>1212</v>
      </c>
      <c r="B1214">
        <v>1</v>
      </c>
      <c r="C1214" t="inlineStr">
        <is>
          <t>1.3</t>
        </is>
      </c>
      <c r="D1214" t="inlineStr">
        <is>
          <t>GERAL</t>
        </is>
      </c>
      <c r="E1214" t="inlineStr">
        <is>
          <t>-</t>
        </is>
      </c>
      <c r="F1214" t="inlineStr">
        <is>
          <t>EMPA</t>
        </is>
      </c>
      <c r="G1214" t="inlineStr">
        <is>
          <t>CLP-017</t>
        </is>
      </c>
      <c r="H1214" t="inlineStr">
        <is>
          <t>Protocolo</t>
        </is>
      </c>
      <c r="I1214">
        <v>4</v>
      </c>
      <c r="J1214" t="inlineStr">
        <is>
          <t>Terraplenagem</t>
        </is>
      </c>
      <c r="K1214" t="inlineStr">
        <is>
          <t>4.13</t>
        </is>
      </c>
      <c r="L1214" t="inlineStr">
        <is>
          <t>Ensaios</t>
        </is>
      </c>
      <c r="M1214" t="inlineStr">
        <is>
          <t>Documental</t>
        </is>
      </c>
      <c r="N1214" t="inlineStr">
        <is>
          <t>Não foram encaminhados os controles para análise documental.</t>
        </is>
      </c>
      <c r="O1214" t="inlineStr">
        <is>
          <t>Tipo B</t>
        </is>
      </c>
      <c r="P1214" t="inlineStr">
        <is>
          <t>25+536</t>
        </is>
      </c>
      <c r="Q1214">
        <v>31036</v>
      </c>
      <c r="R1214" t="inlineStr">
        <is>
          <t>Aberta</t>
        </is>
      </c>
      <c r="T1214" t="inlineStr">
        <is>
          <t>Aline Batista</t>
        </is>
      </c>
      <c r="U1214" t="inlineStr">
        <is>
          <t>15/05/2026</t>
        </is>
      </c>
      <c r="V1214" t="inlineStr">
        <is>
          <t>30/05/2026</t>
        </is>
      </c>
      <c r="W1214">
        <v>11</v>
      </c>
      <c r="AA1214" t="inlineStr">
        <is>
          <t>Aberta -30 dias</t>
        </is>
      </c>
      <c r="AB1214" t="inlineStr">
        <is>
          <t>EMPA</t>
        </is>
      </c>
      <c r="AC1214" t="inlineStr">
        <is>
          <t>Aline</t>
        </is>
      </c>
      <c r="AE1214" t="inlineStr">
        <is>
          <t>19/06/2026</t>
        </is>
      </c>
      <c r="AF1214" t="inlineStr">
        <is>
          <t>Ata de reunião de RM p/ BK</t>
        </is>
      </c>
    </row>
    <row r="1215">
      <c r="A1215">
        <v>1213</v>
      </c>
      <c r="B1215">
        <v>1</v>
      </c>
      <c r="C1215" t="inlineStr">
        <is>
          <t>1.3</t>
        </is>
      </c>
      <c r="D1215" t="inlineStr">
        <is>
          <t>C44</t>
        </is>
      </c>
      <c r="F1215" t="inlineStr">
        <is>
          <t>EMPA</t>
        </is>
      </c>
      <c r="G1215" t="inlineStr">
        <is>
          <t>CLP-017</t>
        </is>
      </c>
      <c r="H1215" t="inlineStr">
        <is>
          <t>Protocolo</t>
        </is>
      </c>
      <c r="I1215">
        <v>4</v>
      </c>
      <c r="J1215" t="inlineStr">
        <is>
          <t>Terraplenagem</t>
        </is>
      </c>
      <c r="K1215" t="inlineStr">
        <is>
          <t>4.17</t>
        </is>
      </c>
      <c r="L1215" t="inlineStr">
        <is>
          <t>Plataforma</t>
        </is>
      </c>
      <c r="M1215" t="inlineStr">
        <is>
          <t>Fissuras/ trincas na plataforma</t>
        </is>
      </c>
      <c r="N1215" t="inlineStr">
        <is>
          <t>Presença de fissuras na plataforma.</t>
        </is>
      </c>
      <c r="O1215" t="inlineStr">
        <is>
          <t>Tipo A</t>
        </is>
      </c>
      <c r="P1215" t="inlineStr">
        <is>
          <t>29+900</t>
        </is>
      </c>
      <c r="Q1215" t="inlineStr">
        <is>
          <t>31+000</t>
        </is>
      </c>
      <c r="R1215" t="inlineStr">
        <is>
          <t>Aberta</t>
        </is>
      </c>
      <c r="T1215" t="inlineStr">
        <is>
          <t>Aline Batista</t>
        </is>
      </c>
      <c r="U1215" t="inlineStr">
        <is>
          <t>15/05/2026</t>
        </is>
      </c>
      <c r="V1215" t="inlineStr">
        <is>
          <t>22/05/2026</t>
        </is>
      </c>
      <c r="W1215">
        <v>19</v>
      </c>
      <c r="AA1215" t="inlineStr">
        <is>
          <t>Aberta -30 dias</t>
        </is>
      </c>
      <c r="AB1215" t="inlineStr">
        <is>
          <t>EMPA</t>
        </is>
      </c>
      <c r="AC1215" t="inlineStr">
        <is>
          <t>Aline</t>
        </is>
      </c>
      <c r="AD1215" t="inlineStr">
        <is>
          <t>03/08/2026</t>
        </is>
      </c>
      <c r="AE1215" t="inlineStr">
        <is>
          <t>10/08/2026</t>
        </is>
      </c>
      <c r="AF1215" t="inlineStr">
        <is>
          <t>Prazo Premissa VALE</t>
        </is>
      </c>
    </row>
    <row r="1216">
      <c r="A1216">
        <v>1214</v>
      </c>
      <c r="B1216">
        <v>1</v>
      </c>
      <c r="C1216" t="inlineStr">
        <is>
          <t>1.3</t>
        </is>
      </c>
      <c r="D1216" t="inlineStr">
        <is>
          <t>C43</t>
        </is>
      </c>
      <c r="E1216" t="inlineStr">
        <is>
          <t>-</t>
        </is>
      </c>
      <c r="F1216" t="inlineStr">
        <is>
          <t>EMPA</t>
        </is>
      </c>
      <c r="G1216" t="inlineStr">
        <is>
          <t>CLP-017</t>
        </is>
      </c>
      <c r="H1216" t="inlineStr">
        <is>
          <t>Protocolo</t>
        </is>
      </c>
      <c r="I1216">
        <v>4</v>
      </c>
      <c r="J1216" t="inlineStr">
        <is>
          <t>Terraplenagem</t>
        </is>
      </c>
      <c r="K1216" t="inlineStr">
        <is>
          <t>4.2</t>
        </is>
      </c>
      <c r="L1216" t="inlineStr">
        <is>
          <t>Plataforma</t>
        </is>
      </c>
      <c r="M1216" t="inlineStr">
        <is>
          <t>Plano cotado não aprovado</t>
        </is>
      </c>
      <c r="N1216" t="inlineStr">
        <is>
          <t xml:space="preserve">SIT_2026_6665
Nos pontos das medidas á -3,00m e -1,60m as estacas 26+480, 26+540, 26+580, 26+640, 26+680, 26+740, 26+980 e 28+360, apresentam inclinações menores que 1% e as estacas 26+700, 26+720, 26+760, 26+780, 27+040, 27+240 e 28+940 com inclinação negativa.
Os pontos com inclinação reduzida ou negativa estão fora da projeção da grade ferroviária podendo ser corrigidos posteriormente, mas que merecem atenção no processo de correção para entrega definitiva da obra.</t>
        </is>
      </c>
      <c r="O1216" t="inlineStr">
        <is>
          <t>Tipo A</t>
        </is>
      </c>
      <c r="P1216" t="inlineStr">
        <is>
          <t>25+536</t>
        </is>
      </c>
      <c r="Q1216">
        <v>31036</v>
      </c>
      <c r="R1216" t="inlineStr">
        <is>
          <t>Aberta</t>
        </is>
      </c>
      <c r="T1216" t="inlineStr">
        <is>
          <t>Aline Batista</t>
        </is>
      </c>
      <c r="U1216" t="inlineStr">
        <is>
          <t>15/05/2026</t>
        </is>
      </c>
      <c r="V1216" t="inlineStr">
        <is>
          <t>22/05/2026</t>
        </is>
      </c>
      <c r="W1216">
        <v>19</v>
      </c>
      <c r="AA1216" t="inlineStr">
        <is>
          <t>Aberta -30 dias</t>
        </is>
      </c>
      <c r="AB1216" t="inlineStr">
        <is>
          <t>EMPA</t>
        </is>
      </c>
      <c r="AC1216" t="inlineStr">
        <is>
          <t>Aline</t>
        </is>
      </c>
      <c r="AE1216" t="inlineStr">
        <is>
          <t>12/06/2026</t>
        </is>
      </c>
      <c r="AF1216" t="inlineStr">
        <is>
          <t>Dar baixa na pendência com SIT do plano cotado</t>
        </is>
      </c>
    </row>
    <row r="1217">
      <c r="A1217">
        <v>1215</v>
      </c>
      <c r="B1217">
        <v>1</v>
      </c>
      <c r="C1217" t="inlineStr">
        <is>
          <t>1.3</t>
        </is>
      </c>
      <c r="D1217" t="inlineStr">
        <is>
          <t>A47</t>
        </is>
      </c>
      <c r="F1217" t="inlineStr">
        <is>
          <t>EMPA</t>
        </is>
      </c>
      <c r="G1217" t="inlineStr">
        <is>
          <t>CLP-017</t>
        </is>
      </c>
      <c r="H1217" t="inlineStr">
        <is>
          <t>Protocolo</t>
        </is>
      </c>
      <c r="I1217">
        <v>4</v>
      </c>
      <c r="J1217" t="inlineStr">
        <is>
          <t>Terraplenagem</t>
        </is>
      </c>
      <c r="K1217" t="inlineStr">
        <is>
          <t>4.20</t>
        </is>
      </c>
      <c r="L1217" t="inlineStr">
        <is>
          <t>Talude</t>
        </is>
      </c>
      <c r="M1217" t="inlineStr">
        <is>
          <t>Erosões</t>
        </is>
      </c>
      <c r="N1217" t="inlineStr">
        <is>
          <t>Presença de ravinamento no talude do lado direito, possivelmente associado à não execução adequada da remoção da sobrelargura.</t>
        </is>
      </c>
      <c r="O1217" t="inlineStr">
        <is>
          <t>Tipo A</t>
        </is>
      </c>
      <c r="P1217" t="inlineStr">
        <is>
          <t>28+370</t>
        </is>
      </c>
      <c r="Q1217">
        <v>28370</v>
      </c>
      <c r="R1217" t="inlineStr">
        <is>
          <t>Aberta</t>
        </is>
      </c>
      <c r="T1217" t="inlineStr">
        <is>
          <t>Aline Batista</t>
        </is>
      </c>
      <c r="U1217" t="inlineStr">
        <is>
          <t>15/05/2026</t>
        </is>
      </c>
      <c r="V1217" t="inlineStr">
        <is>
          <t>22/05/2026</t>
        </is>
      </c>
      <c r="W1217">
        <v>19</v>
      </c>
      <c r="AA1217" t="inlineStr">
        <is>
          <t>Aberta -30 dias</t>
        </is>
      </c>
      <c r="AB1217" t="inlineStr">
        <is>
          <t>EMPA</t>
        </is>
      </c>
      <c r="AC1217" t="inlineStr">
        <is>
          <t>Aline</t>
        </is>
      </c>
      <c r="AD1217" t="inlineStr">
        <is>
          <t>03/08/2026</t>
        </is>
      </c>
      <c r="AE1217" t="inlineStr">
        <is>
          <t>14/08/2026</t>
        </is>
      </c>
      <c r="AF1217" t="inlineStr">
        <is>
          <t>Prazo premissa VALE</t>
        </is>
      </c>
    </row>
    <row r="1218">
      <c r="A1218">
        <v>1216</v>
      </c>
      <c r="B1218">
        <v>1</v>
      </c>
      <c r="C1218" t="inlineStr">
        <is>
          <t>1.3</t>
        </is>
      </c>
      <c r="D1218" t="inlineStr">
        <is>
          <t>A47</t>
        </is>
      </c>
      <c r="E1218" t="inlineStr">
        <is>
          <t>LE</t>
        </is>
      </c>
      <c r="F1218" t="inlineStr">
        <is>
          <t>EMPA</t>
        </is>
      </c>
      <c r="G1218" t="inlineStr">
        <is>
          <t>CLP-017</t>
        </is>
      </c>
      <c r="H1218" t="inlineStr">
        <is>
          <t>Protocolo</t>
        </is>
      </c>
      <c r="I1218">
        <v>4</v>
      </c>
      <c r="J1218" t="inlineStr">
        <is>
          <t>Terraplenagem</t>
        </is>
      </c>
      <c r="K1218" t="inlineStr">
        <is>
          <t>4.20</t>
        </is>
      </c>
      <c r="L1218" t="inlineStr">
        <is>
          <t>ADME</t>
        </is>
      </c>
      <c r="M1218" t="inlineStr">
        <is>
          <t>Erosões</t>
        </is>
      </c>
      <c r="N1218" t="inlineStr">
        <is>
          <t>Processo erosivo na ADME e presença de solo exposto.</t>
        </is>
      </c>
      <c r="O1218" t="inlineStr">
        <is>
          <t>Tipo A</t>
        </is>
      </c>
      <c r="P1218" t="inlineStr">
        <is>
          <t>27+400</t>
        </is>
      </c>
      <c r="Q1218" t="inlineStr">
        <is>
          <t>27+400</t>
        </is>
      </c>
      <c r="R1218" t="inlineStr">
        <is>
          <t>Aberta</t>
        </is>
      </c>
      <c r="T1218" t="inlineStr">
        <is>
          <t>Aline Batista</t>
        </is>
      </c>
      <c r="U1218" t="inlineStr">
        <is>
          <t>15/05/2026</t>
        </is>
      </c>
      <c r="V1218" t="inlineStr">
        <is>
          <t>22/05/2026</t>
        </is>
      </c>
      <c r="W1218">
        <v>19</v>
      </c>
      <c r="AA1218" t="inlineStr">
        <is>
          <t>Aberta -30 dias</t>
        </is>
      </c>
      <c r="AB1218" t="inlineStr">
        <is>
          <t>EMPA</t>
        </is>
      </c>
      <c r="AC1218" t="inlineStr">
        <is>
          <t>Aline</t>
        </is>
      </c>
      <c r="AD1218" t="inlineStr">
        <is>
          <t>03/08/2026</t>
        </is>
      </c>
      <c r="AE1218" t="inlineStr">
        <is>
          <t>14/08/2026</t>
        </is>
      </c>
      <c r="AF1218" t="inlineStr">
        <is>
          <t>Prazo premissa VALE</t>
        </is>
      </c>
    </row>
    <row r="1219">
      <c r="A1219">
        <v>1217</v>
      </c>
      <c r="B1219">
        <v>1</v>
      </c>
      <c r="C1219" t="inlineStr">
        <is>
          <t>1.3</t>
        </is>
      </c>
      <c r="D1219" t="inlineStr">
        <is>
          <t>A47</t>
        </is>
      </c>
      <c r="E1219" t="inlineStr">
        <is>
          <t>LD/ LE</t>
        </is>
      </c>
      <c r="F1219" t="inlineStr">
        <is>
          <t>EMPA</t>
        </is>
      </c>
      <c r="G1219" t="inlineStr">
        <is>
          <t>CLP-017</t>
        </is>
      </c>
      <c r="H1219" t="inlineStr">
        <is>
          <t>Manifestação</t>
        </is>
      </c>
      <c r="I1219">
        <v>4</v>
      </c>
      <c r="J1219" t="inlineStr">
        <is>
          <t>Terraplenagem</t>
        </is>
      </c>
      <c r="K1219" t="inlineStr">
        <is>
          <t>4.20</t>
        </is>
      </c>
      <c r="L1219" t="inlineStr">
        <is>
          <t>Faixa de domínio</t>
        </is>
      </c>
      <c r="M1219" t="inlineStr">
        <is>
          <t>Assoreamento</t>
        </is>
      </c>
      <c r="N1219" t="inlineStr">
        <is>
          <t>Material carreado para fora da faixa de domínio. Presença de material  com solo solto e exposto.</t>
        </is>
      </c>
      <c r="O1219" t="inlineStr">
        <is>
          <t>Tipo A</t>
        </is>
      </c>
      <c r="P1219" t="inlineStr">
        <is>
          <t>27+420</t>
        </is>
      </c>
      <c r="Q1219" t="inlineStr">
        <is>
          <t>27+900</t>
        </is>
      </c>
      <c r="R1219" t="inlineStr">
        <is>
          <t>Aberta</t>
        </is>
      </c>
      <c r="T1219" t="inlineStr">
        <is>
          <t>Aline Batista</t>
        </is>
      </c>
      <c r="U1219" t="inlineStr">
        <is>
          <t>15/05/2026</t>
        </is>
      </c>
      <c r="V1219" t="inlineStr">
        <is>
          <t>22/05/2026</t>
        </is>
      </c>
      <c r="W1219">
        <v>19</v>
      </c>
      <c r="AA1219" t="inlineStr">
        <is>
          <t>Aberta -30 dias</t>
        </is>
      </c>
      <c r="AB1219" t="inlineStr">
        <is>
          <t>EMPA</t>
        </is>
      </c>
      <c r="AC1219" t="inlineStr">
        <is>
          <t>Aline</t>
        </is>
      </c>
      <c r="AD1219" t="inlineStr">
        <is>
          <t>03/08/2026</t>
        </is>
      </c>
      <c r="AE1219" t="inlineStr">
        <is>
          <t>14/08/2026</t>
        </is>
      </c>
      <c r="AF1219" t="inlineStr">
        <is>
          <t>Prazo premissa VALE</t>
        </is>
      </c>
    </row>
    <row r="1220">
      <c r="A1220">
        <v>1218</v>
      </c>
      <c r="B1220">
        <v>1</v>
      </c>
      <c r="C1220" t="inlineStr">
        <is>
          <t>1.3</t>
        </is>
      </c>
      <c r="D1220" t="inlineStr">
        <is>
          <t>A47</t>
        </is>
      </c>
      <c r="E1220" t="inlineStr">
        <is>
          <t>LE</t>
        </is>
      </c>
      <c r="F1220" t="inlineStr">
        <is>
          <t>EMPA</t>
        </is>
      </c>
      <c r="G1220" t="inlineStr">
        <is>
          <t>CLP-017</t>
        </is>
      </c>
      <c r="H1220" t="inlineStr">
        <is>
          <t>Protocolo</t>
        </is>
      </c>
      <c r="I1220">
        <v>4</v>
      </c>
      <c r="J1220" t="inlineStr">
        <is>
          <t>Terraplenagem</t>
        </is>
      </c>
      <c r="K1220" t="inlineStr">
        <is>
          <t>4.20</t>
        </is>
      </c>
      <c r="L1220" t="inlineStr">
        <is>
          <t>Talude</t>
        </is>
      </c>
      <c r="M1220" t="inlineStr">
        <is>
          <t>Revegetação/ Hidrossemeadura</t>
        </is>
      </c>
      <c r="N1220" t="inlineStr">
        <is>
          <t>Solo exposto nos talude, carreamento de sedimentos.</t>
        </is>
      </c>
      <c r="O1220" t="inlineStr">
        <is>
          <t>Tipo A</t>
        </is>
      </c>
      <c r="P1220" t="inlineStr">
        <is>
          <t>28+300</t>
        </is>
      </c>
      <c r="Q1220" t="inlineStr">
        <is>
          <t>28+300</t>
        </is>
      </c>
      <c r="R1220" t="inlineStr">
        <is>
          <t>Aberta</t>
        </is>
      </c>
      <c r="T1220" t="inlineStr">
        <is>
          <t>Aline Batista</t>
        </is>
      </c>
      <c r="U1220" t="inlineStr">
        <is>
          <t>15/05/2026</t>
        </is>
      </c>
      <c r="V1220" t="inlineStr">
        <is>
          <t>22/05/2026</t>
        </is>
      </c>
      <c r="W1220">
        <v>19</v>
      </c>
      <c r="AA1220" t="inlineStr">
        <is>
          <t>Aberta -30 dias</t>
        </is>
      </c>
      <c r="AB1220" t="inlineStr">
        <is>
          <t>EMPA</t>
        </is>
      </c>
      <c r="AC1220" t="inlineStr">
        <is>
          <t>Aline</t>
        </is>
      </c>
      <c r="AD1220" t="inlineStr">
        <is>
          <t>03/08/2026</t>
        </is>
      </c>
      <c r="AE1220" t="inlineStr">
        <is>
          <t>14/08/2026</t>
        </is>
      </c>
      <c r="AF1220" t="inlineStr">
        <is>
          <t>Prazo premissa VALE</t>
        </is>
      </c>
    </row>
    <row r="1221">
      <c r="A1221">
        <v>1219</v>
      </c>
      <c r="B1221">
        <v>1</v>
      </c>
      <c r="C1221" t="inlineStr">
        <is>
          <t>1.3</t>
        </is>
      </c>
      <c r="D1221" t="inlineStr">
        <is>
          <t>A47</t>
        </is>
      </c>
      <c r="E1221" t="inlineStr">
        <is>
          <t>LD</t>
        </is>
      </c>
      <c r="F1221" t="inlineStr">
        <is>
          <t>EMPA</t>
        </is>
      </c>
      <c r="G1221" t="inlineStr">
        <is>
          <t>CLP-017</t>
        </is>
      </c>
      <c r="H1221" t="inlineStr">
        <is>
          <t>Protocolo</t>
        </is>
      </c>
      <c r="I1221">
        <v>4</v>
      </c>
      <c r="J1221" t="inlineStr">
        <is>
          <t>Terraplenagem</t>
        </is>
      </c>
      <c r="K1221" t="inlineStr">
        <is>
          <t>4.20</t>
        </is>
      </c>
      <c r="L1221" t="inlineStr">
        <is>
          <t>Acesso</t>
        </is>
      </c>
      <c r="M1221" t="inlineStr">
        <is>
          <t>Erosões</t>
        </is>
      </c>
      <c r="N1221" t="inlineStr">
        <is>
          <t>Acesso da comunidade com processo erosivo e solo exposto.</t>
        </is>
      </c>
      <c r="O1221" t="inlineStr">
        <is>
          <t>Tipo A</t>
        </is>
      </c>
      <c r="P1221" t="inlineStr">
        <is>
          <t>28+300</t>
        </is>
      </c>
      <c r="Q1221" t="inlineStr">
        <is>
          <t>28+300</t>
        </is>
      </c>
      <c r="R1221" t="inlineStr">
        <is>
          <t>Aberta</t>
        </is>
      </c>
      <c r="T1221" t="inlineStr">
        <is>
          <t>Aline Batista</t>
        </is>
      </c>
      <c r="U1221" t="inlineStr">
        <is>
          <t>15/05/2026</t>
        </is>
      </c>
      <c r="V1221" t="inlineStr">
        <is>
          <t>22/05/2026</t>
        </is>
      </c>
      <c r="W1221">
        <v>19</v>
      </c>
      <c r="AA1221" t="inlineStr">
        <is>
          <t>Aberta -30 dias</t>
        </is>
      </c>
      <c r="AB1221" t="inlineStr">
        <is>
          <t>EMPA</t>
        </is>
      </c>
      <c r="AC1221" t="inlineStr">
        <is>
          <t>Aline</t>
        </is>
      </c>
      <c r="AD1221" t="inlineStr">
        <is>
          <t>03/08/2026</t>
        </is>
      </c>
      <c r="AE1221" t="inlineStr">
        <is>
          <t>14/08/2026</t>
        </is>
      </c>
      <c r="AF1221" t="inlineStr">
        <is>
          <t>Prazo premissa VALE</t>
        </is>
      </c>
    </row>
    <row r="1222">
      <c r="A1222">
        <v>1220</v>
      </c>
      <c r="B1222">
        <v>1</v>
      </c>
      <c r="C1222" t="inlineStr">
        <is>
          <t>1.3</t>
        </is>
      </c>
      <c r="D1222" t="inlineStr">
        <is>
          <t>A48</t>
        </is>
      </c>
      <c r="E1222" t="inlineStr">
        <is>
          <t>LE</t>
        </is>
      </c>
      <c r="F1222" t="inlineStr">
        <is>
          <t>EMPA</t>
        </is>
      </c>
      <c r="G1222" t="inlineStr">
        <is>
          <t>CLP-017</t>
        </is>
      </c>
      <c r="H1222" t="inlineStr">
        <is>
          <t>Protocolo</t>
        </is>
      </c>
      <c r="I1222">
        <v>4</v>
      </c>
      <c r="J1222" t="inlineStr">
        <is>
          <t>Terraplenagem</t>
        </is>
      </c>
      <c r="K1222" t="inlineStr">
        <is>
          <t>4.20</t>
        </is>
      </c>
      <c r="L1222" t="inlineStr">
        <is>
          <t>Faixa de domínio</t>
        </is>
      </c>
      <c r="M1222" t="inlineStr">
        <is>
          <t>Assoreamento</t>
        </is>
      </c>
      <c r="N1222" t="inlineStr">
        <is>
          <t>Material carreado para fora da faixa de domínio.</t>
        </is>
      </c>
      <c r="O1222" t="inlineStr">
        <is>
          <t>Tipo A</t>
        </is>
      </c>
      <c r="P1222" t="inlineStr">
        <is>
          <t>30+620</t>
        </is>
      </c>
      <c r="Q1222" t="inlineStr">
        <is>
          <t>30+620</t>
        </is>
      </c>
      <c r="R1222" t="inlineStr">
        <is>
          <t>Aberta</t>
        </is>
      </c>
      <c r="T1222" t="inlineStr">
        <is>
          <t>Aline Batista</t>
        </is>
      </c>
      <c r="U1222" t="inlineStr">
        <is>
          <t>15/05/2026</t>
        </is>
      </c>
      <c r="V1222" t="inlineStr">
        <is>
          <t>22/05/2026</t>
        </is>
      </c>
      <c r="W1222">
        <v>19</v>
      </c>
      <c r="AA1222" t="inlineStr">
        <is>
          <t>Aberta -30 dias</t>
        </is>
      </c>
      <c r="AB1222" t="inlineStr">
        <is>
          <t>EMPA</t>
        </is>
      </c>
      <c r="AC1222" t="inlineStr">
        <is>
          <t>Aline</t>
        </is>
      </c>
      <c r="AD1222" t="inlineStr">
        <is>
          <t>17/08/2026</t>
        </is>
      </c>
      <c r="AE1222" t="inlineStr">
        <is>
          <t>28/08/2026</t>
        </is>
      </c>
      <c r="AF1222" t="inlineStr">
        <is>
          <t>Prazo Premissa VALE</t>
        </is>
      </c>
    </row>
    <row r="1223">
      <c r="A1223">
        <v>1221</v>
      </c>
      <c r="B1223">
        <v>1</v>
      </c>
      <c r="C1223" t="inlineStr">
        <is>
          <t>1.3</t>
        </is>
      </c>
      <c r="D1223" t="inlineStr">
        <is>
          <t>A48</t>
        </is>
      </c>
      <c r="E1223" t="inlineStr">
        <is>
          <t>LE</t>
        </is>
      </c>
      <c r="F1223" t="inlineStr">
        <is>
          <t>EMPA</t>
        </is>
      </c>
      <c r="G1223" t="inlineStr">
        <is>
          <t>CLP-017</t>
        </is>
      </c>
      <c r="H1223" t="inlineStr">
        <is>
          <t>Protocolo</t>
        </is>
      </c>
      <c r="I1223">
        <v>4</v>
      </c>
      <c r="J1223" t="inlineStr">
        <is>
          <t>Terraplenagem</t>
        </is>
      </c>
      <c r="K1223" t="inlineStr">
        <is>
          <t>4.20</t>
        </is>
      </c>
      <c r="L1223" t="inlineStr">
        <is>
          <t>APP</t>
        </is>
      </c>
      <c r="M1223" t="inlineStr">
        <is>
          <t>Material Solto</t>
        </is>
      </c>
      <c r="N1223" t="inlineStr">
        <is>
          <t>Material solto e solo exposto em área de APP.</t>
        </is>
      </c>
      <c r="O1223" t="inlineStr">
        <is>
          <t>Tipo A</t>
        </is>
      </c>
      <c r="P1223" t="inlineStr">
        <is>
          <t>30+700</t>
        </is>
      </c>
      <c r="Q1223" t="inlineStr">
        <is>
          <t>30+700</t>
        </is>
      </c>
      <c r="R1223" t="inlineStr">
        <is>
          <t>Aberta</t>
        </is>
      </c>
      <c r="T1223" t="inlineStr">
        <is>
          <t>Aline Batista</t>
        </is>
      </c>
      <c r="U1223" t="inlineStr">
        <is>
          <t>15/05/2026</t>
        </is>
      </c>
      <c r="V1223" t="inlineStr">
        <is>
          <t>22/05/2026</t>
        </is>
      </c>
      <c r="W1223">
        <v>19</v>
      </c>
      <c r="AA1223" t="inlineStr">
        <is>
          <t>Aberta -30 dias</t>
        </is>
      </c>
      <c r="AB1223" t="inlineStr">
        <is>
          <t>EMPA</t>
        </is>
      </c>
      <c r="AC1223" t="inlineStr">
        <is>
          <t>Aline</t>
        </is>
      </c>
      <c r="AD1223" t="inlineStr">
        <is>
          <t>17/08/2026</t>
        </is>
      </c>
      <c r="AE1223" t="inlineStr">
        <is>
          <t>28/08/2026</t>
        </is>
      </c>
      <c r="AF1223" t="inlineStr">
        <is>
          <t>Prazo Premissa VALE</t>
        </is>
      </c>
    </row>
    <row r="1224">
      <c r="A1224">
        <v>1222</v>
      </c>
      <c r="B1224">
        <v>1</v>
      </c>
      <c r="C1224" t="inlineStr">
        <is>
          <t>1.3</t>
        </is>
      </c>
      <c r="D1224" t="inlineStr">
        <is>
          <t>A48</t>
        </is>
      </c>
      <c r="E1224" t="inlineStr">
        <is>
          <t>LD e LE</t>
        </is>
      </c>
      <c r="F1224" t="inlineStr">
        <is>
          <t>EMPA</t>
        </is>
      </c>
      <c r="G1224" t="inlineStr">
        <is>
          <t>CLP-017</t>
        </is>
      </c>
      <c r="H1224" t="inlineStr">
        <is>
          <t>Protocolo</t>
        </is>
      </c>
      <c r="I1224">
        <v>4</v>
      </c>
      <c r="J1224" t="inlineStr">
        <is>
          <t>Terraplenagem</t>
        </is>
      </c>
      <c r="K1224" t="inlineStr">
        <is>
          <t>4.20</t>
        </is>
      </c>
      <c r="L1224" t="inlineStr">
        <is>
          <t>Aterro</t>
        </is>
      </c>
      <c r="M1224" t="inlineStr">
        <is>
          <t>Revegetação/ Hidrossemeadura</t>
        </is>
      </c>
      <c r="N1224" t="inlineStr">
        <is>
          <t>Aterro necessitando de repasse de hidrossemeadura; caminho de serviço desprotegido; talvegue natural necessitando de retirada de bidins e proteção superficial. Captação com motor e gerador no local</t>
        </is>
      </c>
      <c r="O1224" t="inlineStr">
        <is>
          <t>Tipo A</t>
        </is>
      </c>
      <c r="P1224" t="inlineStr">
        <is>
          <t>30+850</t>
        </is>
      </c>
      <c r="Q1224" t="inlineStr">
        <is>
          <t>30+850</t>
        </is>
      </c>
      <c r="R1224" t="inlineStr">
        <is>
          <t>Aberta</t>
        </is>
      </c>
      <c r="T1224" t="inlineStr">
        <is>
          <t>Aline Batista</t>
        </is>
      </c>
      <c r="U1224" t="inlineStr">
        <is>
          <t>15/05/2026</t>
        </is>
      </c>
      <c r="V1224" t="inlineStr">
        <is>
          <t>22/05/2026</t>
        </is>
      </c>
      <c r="W1224">
        <v>19</v>
      </c>
      <c r="AA1224" t="inlineStr">
        <is>
          <t>Aberta -30 dias</t>
        </is>
      </c>
      <c r="AB1224" t="inlineStr">
        <is>
          <t>EMPA</t>
        </is>
      </c>
      <c r="AC1224" t="inlineStr">
        <is>
          <t>Aline</t>
        </is>
      </c>
      <c r="AD1224" t="inlineStr">
        <is>
          <t>17/08/2026</t>
        </is>
      </c>
      <c r="AE1224" t="inlineStr">
        <is>
          <t>28/08/2026</t>
        </is>
      </c>
      <c r="AF1224" t="inlineStr">
        <is>
          <t>Prazo Premissa VALE</t>
        </is>
      </c>
    </row>
    <row r="1225">
      <c r="A1225">
        <v>1223</v>
      </c>
      <c r="B1225">
        <v>1</v>
      </c>
      <c r="C1225" t="inlineStr">
        <is>
          <t>1.3</t>
        </is>
      </c>
      <c r="D1225" t="inlineStr">
        <is>
          <t>A47</t>
        </is>
      </c>
      <c r="E1225" t="inlineStr">
        <is>
          <t>LE</t>
        </is>
      </c>
      <c r="F1225" t="inlineStr">
        <is>
          <t>EMPA</t>
        </is>
      </c>
      <c r="G1225" t="inlineStr">
        <is>
          <t>CLP-017</t>
        </is>
      </c>
      <c r="H1225" t="inlineStr">
        <is>
          <t>Protocolo</t>
        </is>
      </c>
      <c r="I1225">
        <v>4</v>
      </c>
      <c r="J1225" t="inlineStr">
        <is>
          <t>Terraplenagem</t>
        </is>
      </c>
      <c r="K1225" t="inlineStr">
        <is>
          <t>4.20</t>
        </is>
      </c>
      <c r="L1225" t="inlineStr">
        <is>
          <t>APP</t>
        </is>
      </c>
      <c r="M1225" t="inlineStr">
        <is>
          <t>Material Solto</t>
        </is>
      </c>
      <c r="N1225" t="inlineStr">
        <is>
          <t>Presença de material solto próximo à área de APP.</t>
        </is>
      </c>
      <c r="O1225" t="inlineStr">
        <is>
          <t>Tipo A</t>
        </is>
      </c>
      <c r="P1225" t="inlineStr">
        <is>
          <t>28+450</t>
        </is>
      </c>
      <c r="Q1225" t="inlineStr">
        <is>
          <t>28+450</t>
        </is>
      </c>
      <c r="R1225" t="inlineStr">
        <is>
          <t>Aberta</t>
        </is>
      </c>
      <c r="T1225" t="inlineStr">
        <is>
          <t>Aline Batista</t>
        </is>
      </c>
      <c r="U1225" t="inlineStr">
        <is>
          <t>15/05/2026</t>
        </is>
      </c>
      <c r="V1225" t="inlineStr">
        <is>
          <t>22/05/2026</t>
        </is>
      </c>
      <c r="W1225">
        <v>19</v>
      </c>
      <c r="AA1225" t="inlineStr">
        <is>
          <t>Aberta -30 dias</t>
        </is>
      </c>
      <c r="AB1225" t="inlineStr">
        <is>
          <t>EMPA</t>
        </is>
      </c>
      <c r="AC1225" t="inlineStr">
        <is>
          <t>Aline</t>
        </is>
      </c>
      <c r="AD1225" t="inlineStr">
        <is>
          <t>03/08/2026</t>
        </is>
      </c>
      <c r="AE1225" t="inlineStr">
        <is>
          <t>14/08/2026</t>
        </is>
      </c>
      <c r="AF1225" t="inlineStr">
        <is>
          <t>Prazo premissa VALE</t>
        </is>
      </c>
    </row>
    <row r="1226">
      <c r="A1226">
        <v>1224</v>
      </c>
      <c r="B1226">
        <v>1</v>
      </c>
      <c r="C1226" t="inlineStr">
        <is>
          <t>1.3</t>
        </is>
      </c>
      <c r="D1226" t="inlineStr">
        <is>
          <t>A47</t>
        </is>
      </c>
      <c r="E1226" t="inlineStr">
        <is>
          <t>LD/LE</t>
        </is>
      </c>
      <c r="F1226" t="inlineStr">
        <is>
          <t>EMPA</t>
        </is>
      </c>
      <c r="G1226" t="inlineStr">
        <is>
          <t>CLP-017</t>
        </is>
      </c>
      <c r="H1226" t="inlineStr">
        <is>
          <t>Protocolo</t>
        </is>
      </c>
      <c r="I1226">
        <v>4</v>
      </c>
      <c r="J1226" t="inlineStr">
        <is>
          <t>Terraplenagem</t>
        </is>
      </c>
      <c r="K1226" t="inlineStr">
        <is>
          <t>4.20</t>
        </is>
      </c>
      <c r="L1226" t="inlineStr">
        <is>
          <t>Talude</t>
        </is>
      </c>
      <c r="M1226" t="inlineStr">
        <is>
          <t>Conformação</t>
        </is>
      </c>
      <c r="N1226" t="inlineStr">
        <is>
          <t>Pendente conformação de talude de berma.</t>
        </is>
      </c>
      <c r="O1226" t="inlineStr">
        <is>
          <t>Tipo A</t>
        </is>
      </c>
      <c r="P1226" t="inlineStr">
        <is>
          <t>28+500</t>
        </is>
      </c>
      <c r="Q1226">
        <v>28500</v>
      </c>
      <c r="R1226" t="inlineStr">
        <is>
          <t>Aberta</t>
        </is>
      </c>
      <c r="T1226" t="inlineStr">
        <is>
          <t>Aline Batista</t>
        </is>
      </c>
      <c r="U1226" t="inlineStr">
        <is>
          <t>15/05/2026</t>
        </is>
      </c>
      <c r="V1226" t="inlineStr">
        <is>
          <t>22/05/2026</t>
        </is>
      </c>
      <c r="W1226">
        <v>19</v>
      </c>
      <c r="AA1226" t="inlineStr">
        <is>
          <t>Aberta -30 dias</t>
        </is>
      </c>
      <c r="AB1226" t="inlineStr">
        <is>
          <t>EMPA</t>
        </is>
      </c>
      <c r="AC1226" t="inlineStr">
        <is>
          <t>Aline</t>
        </is>
      </c>
      <c r="AD1226" t="inlineStr">
        <is>
          <t>03/08/2026</t>
        </is>
      </c>
      <c r="AE1226" t="inlineStr">
        <is>
          <t>14/08/2026</t>
        </is>
      </c>
      <c r="AF1226" t="inlineStr">
        <is>
          <t>Prazo premissa VALE</t>
        </is>
      </c>
    </row>
    <row r="1227">
      <c r="A1227">
        <v>1225</v>
      </c>
      <c r="B1227">
        <v>1</v>
      </c>
      <c r="C1227" t="inlineStr">
        <is>
          <t>1.3</t>
        </is>
      </c>
      <c r="D1227" t="inlineStr">
        <is>
          <t>A47</t>
        </is>
      </c>
      <c r="E1227" t="inlineStr">
        <is>
          <t>LD</t>
        </is>
      </c>
      <c r="F1227" t="inlineStr">
        <is>
          <t>EMPA</t>
        </is>
      </c>
      <c r="G1227" t="inlineStr">
        <is>
          <t>CLP-017</t>
        </is>
      </c>
      <c r="H1227" t="inlineStr">
        <is>
          <t>Protocolo</t>
        </is>
      </c>
      <c r="I1227">
        <v>4</v>
      </c>
      <c r="J1227" t="inlineStr">
        <is>
          <t>Terraplenagem</t>
        </is>
      </c>
      <c r="K1227" t="inlineStr">
        <is>
          <t>4.20</t>
        </is>
      </c>
      <c r="L1227" t="inlineStr">
        <is>
          <t>Plataforma</t>
        </is>
      </c>
      <c r="M1227" t="inlineStr">
        <is>
          <t>Material Solto</t>
        </is>
      </c>
      <c r="N1227" t="inlineStr">
        <is>
          <t>Material solto na plataforma</t>
        </is>
      </c>
      <c r="O1227" t="inlineStr">
        <is>
          <t>Tipo A</t>
        </is>
      </c>
      <c r="P1227" t="inlineStr">
        <is>
          <t>26+950</t>
        </is>
      </c>
      <c r="Q1227">
        <v>27200</v>
      </c>
      <c r="R1227" t="inlineStr">
        <is>
          <t>Aberta</t>
        </is>
      </c>
      <c r="T1227" t="inlineStr">
        <is>
          <t>Aline Batista</t>
        </is>
      </c>
      <c r="U1227" t="inlineStr">
        <is>
          <t>15/05/2026</t>
        </is>
      </c>
      <c r="V1227" t="inlineStr">
        <is>
          <t>22/05/2026</t>
        </is>
      </c>
      <c r="W1227">
        <v>19</v>
      </c>
      <c r="AA1227" t="inlineStr">
        <is>
          <t>Aberta -30 dias</t>
        </is>
      </c>
      <c r="AB1227" t="inlineStr">
        <is>
          <t>EMPA</t>
        </is>
      </c>
      <c r="AC1227" t="inlineStr">
        <is>
          <t>Aline</t>
        </is>
      </c>
      <c r="AD1227" t="inlineStr">
        <is>
          <t>20/07/2026</t>
        </is>
      </c>
      <c r="AE1227" t="inlineStr">
        <is>
          <t>31/07/2026</t>
        </is>
      </c>
      <c r="AF1227" t="inlineStr">
        <is>
          <t>Prazo Premissa VALE</t>
        </is>
      </c>
    </row>
    <row r="1228">
      <c r="A1228">
        <v>1226</v>
      </c>
      <c r="B1228">
        <v>1</v>
      </c>
      <c r="C1228" t="inlineStr">
        <is>
          <t>1.3</t>
        </is>
      </c>
      <c r="D1228" t="inlineStr">
        <is>
          <t>A48</t>
        </is>
      </c>
      <c r="F1228" t="inlineStr">
        <is>
          <t>EMPA</t>
        </is>
      </c>
      <c r="G1228" t="inlineStr">
        <is>
          <t>CLP-017</t>
        </is>
      </c>
      <c r="H1228" t="inlineStr">
        <is>
          <t>Fiscalização/Manifestação</t>
        </is>
      </c>
      <c r="I1228">
        <v>4</v>
      </c>
      <c r="J1228" t="inlineStr">
        <is>
          <t>Terraplenagem</t>
        </is>
      </c>
      <c r="K1228" t="inlineStr">
        <is>
          <t>4.20</t>
        </is>
      </c>
      <c r="L1228" t="inlineStr">
        <is>
          <t>Talude</t>
        </is>
      </c>
      <c r="M1228" t="inlineStr">
        <is>
          <t>Erosões</t>
        </is>
      </c>
      <c r="N1228" t="inlineStr">
        <is>
          <t>Erosões.</t>
        </is>
      </c>
      <c r="O1228" t="inlineStr">
        <is>
          <t>Tipo A</t>
        </is>
      </c>
      <c r="P1228" t="inlineStr">
        <is>
          <t>29+860</t>
        </is>
      </c>
      <c r="Q1228" t="inlineStr">
        <is>
          <t xml:space="preserve">30+920 </t>
        </is>
      </c>
      <c r="R1228" t="inlineStr">
        <is>
          <t>Aberta</t>
        </is>
      </c>
      <c r="T1228" t="inlineStr">
        <is>
          <t>Aline Batista</t>
        </is>
      </c>
      <c r="U1228" t="inlineStr">
        <is>
          <t>15/05/2026</t>
        </is>
      </c>
      <c r="V1228" t="inlineStr">
        <is>
          <t>22/05/2026</t>
        </is>
      </c>
      <c r="W1228">
        <v>19</v>
      </c>
      <c r="AA1228" t="inlineStr">
        <is>
          <t>Aberta -30 dias</t>
        </is>
      </c>
      <c r="AB1228" t="inlineStr">
        <is>
          <t>EMPA</t>
        </is>
      </c>
      <c r="AC1228" t="inlineStr">
        <is>
          <t>Aline</t>
        </is>
      </c>
      <c r="AD1228" t="inlineStr">
        <is>
          <t>03/08/2026</t>
        </is>
      </c>
      <c r="AE1228" t="inlineStr">
        <is>
          <t>10/08/2026</t>
        </is>
      </c>
      <c r="AF1228" t="inlineStr">
        <is>
          <t>Prazo Premissa VALE</t>
        </is>
      </c>
    </row>
    <row r="1229">
      <c r="A1229">
        <v>1227</v>
      </c>
      <c r="B1229">
        <v>1</v>
      </c>
      <c r="C1229" t="inlineStr">
        <is>
          <t>1.3</t>
        </is>
      </c>
      <c r="D1229" t="inlineStr">
        <is>
          <t>GERAL</t>
        </is>
      </c>
      <c r="E1229" t="inlineStr">
        <is>
          <t>-</t>
        </is>
      </c>
      <c r="F1229" t="inlineStr">
        <is>
          <t>EMPA</t>
        </is>
      </c>
      <c r="G1229" t="inlineStr">
        <is>
          <t>CLP-017</t>
        </is>
      </c>
      <c r="H1229" t="inlineStr">
        <is>
          <t>Protocolo</t>
        </is>
      </c>
      <c r="I1229">
        <v>4</v>
      </c>
      <c r="J1229" t="inlineStr">
        <is>
          <t>Terraplenagem</t>
        </is>
      </c>
      <c r="K1229" t="inlineStr">
        <is>
          <t>4.26</t>
        </is>
      </c>
      <c r="L1229" t="inlineStr">
        <is>
          <t xml:space="preserve">As Built </t>
        </is>
      </c>
      <c r="M1229" t="inlineStr">
        <is>
          <t>Documental</t>
        </is>
      </c>
      <c r="N1229" t="inlineStr">
        <is>
          <t>As Built pendente de aprovação.</t>
        </is>
      </c>
      <c r="O1229" t="inlineStr">
        <is>
          <t>Tipo B</t>
        </is>
      </c>
      <c r="P1229" t="inlineStr">
        <is>
          <t>-</t>
        </is>
      </c>
      <c r="Q1229" t="inlineStr">
        <is>
          <t>-</t>
        </is>
      </c>
      <c r="R1229" t="inlineStr">
        <is>
          <t>Aberta</t>
        </is>
      </c>
      <c r="T1229" t="inlineStr">
        <is>
          <t>Aline Batista</t>
        </is>
      </c>
      <c r="U1229" t="inlineStr">
        <is>
          <t>15/05/2026</t>
        </is>
      </c>
      <c r="V1229" t="inlineStr">
        <is>
          <t>30/05/2026</t>
        </is>
      </c>
      <c r="W1229">
        <v>11</v>
      </c>
      <c r="AA1229" t="inlineStr">
        <is>
          <t>Aberta -30 dias</t>
        </is>
      </c>
      <c r="AB1229" t="inlineStr">
        <is>
          <t>EMPA</t>
        </is>
      </c>
      <c r="AC1229" t="inlineStr">
        <is>
          <t>Aline</t>
        </is>
      </c>
      <c r="AE1229" t="inlineStr">
        <is>
          <t>19/06/2026</t>
        </is>
      </c>
      <c r="AF1229" t="inlineStr">
        <is>
          <t>Ata de reunião de RM p/ BK</t>
        </is>
      </c>
    </row>
    <row r="1230">
      <c r="A1230">
        <v>1228</v>
      </c>
      <c r="B1230">
        <v>1</v>
      </c>
      <c r="C1230" t="inlineStr">
        <is>
          <t>1.3</t>
        </is>
      </c>
      <c r="D1230" t="inlineStr">
        <is>
          <t>GERAL</t>
        </is>
      </c>
      <c r="E1230" t="inlineStr">
        <is>
          <t>-</t>
        </is>
      </c>
      <c r="F1230" t="inlineStr">
        <is>
          <t>EMPA</t>
        </is>
      </c>
      <c r="G1230" t="inlineStr">
        <is>
          <t>CLP-017</t>
        </is>
      </c>
      <c r="H1230" t="inlineStr">
        <is>
          <t>Protocolo</t>
        </is>
      </c>
      <c r="I1230">
        <v>4</v>
      </c>
      <c r="J1230" t="inlineStr">
        <is>
          <t>Terraplenagem</t>
        </is>
      </c>
      <c r="K1230" t="inlineStr">
        <is>
          <t>4.28</t>
        </is>
      </c>
      <c r="L1230" t="inlineStr">
        <is>
          <t>RNC</t>
        </is>
      </c>
      <c r="M1230" t="inlineStr">
        <is>
          <t>Documental</t>
        </is>
      </c>
      <c r="N1230" t="inlineStr">
        <is>
          <t xml:space="preserve">Constam em aberto os seguintes referente a terraplenagem:
RNC-01191/26
RNC-02199/26
RNC-10692/25</t>
        </is>
      </c>
      <c r="O1230" t="inlineStr">
        <is>
          <t>Tipo B</t>
        </is>
      </c>
      <c r="P1230" t="inlineStr">
        <is>
          <t>-</t>
        </is>
      </c>
      <c r="Q1230" t="inlineStr">
        <is>
          <t>-</t>
        </is>
      </c>
      <c r="R1230" t="inlineStr">
        <is>
          <t>Aberta</t>
        </is>
      </c>
      <c r="T1230" t="inlineStr">
        <is>
          <t>Aline Batista</t>
        </is>
      </c>
      <c r="U1230" t="inlineStr">
        <is>
          <t>15/05/2026</t>
        </is>
      </c>
      <c r="V1230" t="inlineStr">
        <is>
          <t>30/05/2026</t>
        </is>
      </c>
      <c r="W1230">
        <v>11</v>
      </c>
      <c r="AA1230" t="inlineStr">
        <is>
          <t>Aberta -30 dias</t>
        </is>
      </c>
      <c r="AB1230" t="inlineStr">
        <is>
          <t>EMPA</t>
        </is>
      </c>
      <c r="AC1230" t="inlineStr">
        <is>
          <t>Aline</t>
        </is>
      </c>
      <c r="AE1230" t="inlineStr">
        <is>
          <t>19/06/2026</t>
        </is>
      </c>
      <c r="AF1230" t="inlineStr">
        <is>
          <t>Ata de reunião de RM p/ BK</t>
        </is>
      </c>
    </row>
    <row r="1231">
      <c r="A1231">
        <v>1229</v>
      </c>
      <c r="B1231">
        <v>1</v>
      </c>
      <c r="C1231" t="inlineStr">
        <is>
          <t>1.3</t>
        </is>
      </c>
      <c r="D1231" t="inlineStr">
        <is>
          <t>A48</t>
        </is>
      </c>
      <c r="E1231" t="inlineStr">
        <is>
          <t>LD</t>
        </is>
      </c>
      <c r="F1231" t="inlineStr">
        <is>
          <t>EMPA</t>
        </is>
      </c>
      <c r="G1231" t="inlineStr">
        <is>
          <t>CLP-017</t>
        </is>
      </c>
      <c r="H1231" t="inlineStr">
        <is>
          <t>Protocolo</t>
        </is>
      </c>
      <c r="I1231">
        <v>4</v>
      </c>
      <c r="J1231" t="inlineStr">
        <is>
          <t>Terraplenagem</t>
        </is>
      </c>
      <c r="K1231" t="inlineStr">
        <is>
          <t>4.32</t>
        </is>
      </c>
      <c r="L1231" t="inlineStr">
        <is>
          <t>Sublastro</t>
        </is>
      </c>
      <c r="M1231" t="inlineStr">
        <is>
          <t>Limpeza/ remoção de material</t>
        </is>
      </c>
      <c r="N1231" t="inlineStr">
        <is>
          <t>Resíduos diversos dispostos em local inadequado.</t>
        </is>
      </c>
      <c r="O1231" t="inlineStr">
        <is>
          <t>Tipo C</t>
        </is>
      </c>
      <c r="P1231" t="inlineStr">
        <is>
          <t>30+550</t>
        </is>
      </c>
      <c r="Q1231" t="inlineStr">
        <is>
          <t>30+550</t>
        </is>
      </c>
      <c r="R1231" t="inlineStr">
        <is>
          <t>Aberta</t>
        </is>
      </c>
      <c r="T1231" t="inlineStr">
        <is>
          <t>Aline Batista</t>
        </is>
      </c>
      <c r="U1231" t="inlineStr">
        <is>
          <t>15/05/2026</t>
        </is>
      </c>
      <c r="V1231" t="inlineStr">
        <is>
          <t>14/06/2026</t>
        </is>
      </c>
      <c r="W1231">
        <v>-4</v>
      </c>
      <c r="AA1231" t="inlineStr">
        <is>
          <t>Aberta -30 dias</t>
        </is>
      </c>
      <c r="AB1231" t="inlineStr">
        <is>
          <t>EMPA</t>
        </is>
      </c>
      <c r="AC1231" t="inlineStr">
        <is>
          <t>Aline</t>
        </is>
      </c>
      <c r="AD1231" t="inlineStr">
        <is>
          <t>17/08/2026</t>
        </is>
      </c>
      <c r="AE1231" t="inlineStr">
        <is>
          <t>28/08/2026</t>
        </is>
      </c>
      <c r="AF1231" t="inlineStr">
        <is>
          <t>Prazo Premissa VALE</t>
        </is>
      </c>
    </row>
    <row r="1232">
      <c r="A1232">
        <v>1230</v>
      </c>
      <c r="B1232">
        <v>1</v>
      </c>
      <c r="C1232" t="inlineStr">
        <is>
          <t>1.3</t>
        </is>
      </c>
      <c r="D1232" t="inlineStr">
        <is>
          <t>A48</t>
        </is>
      </c>
      <c r="E1232" t="inlineStr">
        <is>
          <t>LE</t>
        </is>
      </c>
      <c r="F1232" t="inlineStr">
        <is>
          <t>EMPA</t>
        </is>
      </c>
      <c r="G1232" t="inlineStr">
        <is>
          <t>CLP-017</t>
        </is>
      </c>
      <c r="H1232" t="inlineStr">
        <is>
          <t>Protocolo</t>
        </is>
      </c>
      <c r="I1232">
        <v>4</v>
      </c>
      <c r="J1232" t="inlineStr">
        <is>
          <t>Terraplenagem</t>
        </is>
      </c>
      <c r="K1232" t="inlineStr">
        <is>
          <t>4.32</t>
        </is>
      </c>
      <c r="L1232" t="inlineStr">
        <is>
          <t>Sublastro</t>
        </is>
      </c>
      <c r="M1232" t="inlineStr">
        <is>
          <t>Limpeza/ remoção de material</t>
        </is>
      </c>
      <c r="N1232" t="inlineStr">
        <is>
          <t>Pendente retirada de materiais de obra.</t>
        </is>
      </c>
      <c r="O1232" t="inlineStr">
        <is>
          <t>Tipo C</t>
        </is>
      </c>
      <c r="P1232" t="inlineStr">
        <is>
          <t>30+710</t>
        </is>
      </c>
      <c r="Q1232" t="inlineStr">
        <is>
          <t>30+711</t>
        </is>
      </c>
      <c r="R1232" t="inlineStr">
        <is>
          <t>Aberta</t>
        </is>
      </c>
      <c r="T1232" t="inlineStr">
        <is>
          <t>Aline Batista</t>
        </is>
      </c>
      <c r="U1232" t="inlineStr">
        <is>
          <t>15/05/2026</t>
        </is>
      </c>
      <c r="V1232" t="inlineStr">
        <is>
          <t>14/06/2026</t>
        </is>
      </c>
      <c r="W1232">
        <v>-4</v>
      </c>
      <c r="AA1232" t="inlineStr">
        <is>
          <t>Aberta -30 dias</t>
        </is>
      </c>
      <c r="AB1232" t="inlineStr">
        <is>
          <t>EMPA</t>
        </is>
      </c>
      <c r="AC1232" t="inlineStr">
        <is>
          <t>Aline</t>
        </is>
      </c>
      <c r="AD1232" t="inlineStr">
        <is>
          <t>17/08/2026</t>
        </is>
      </c>
      <c r="AE1232" t="inlineStr">
        <is>
          <t>28/08/2026</t>
        </is>
      </c>
      <c r="AF1232" t="inlineStr">
        <is>
          <t>Prazo Premissa VALE</t>
        </is>
      </c>
    </row>
    <row r="1233">
      <c r="A1233">
        <v>1231</v>
      </c>
      <c r="B1233">
        <v>1</v>
      </c>
      <c r="C1233" t="inlineStr">
        <is>
          <t>1.3</t>
        </is>
      </c>
      <c r="D1233" t="inlineStr">
        <is>
          <t>A47</t>
        </is>
      </c>
      <c r="F1233" t="inlineStr">
        <is>
          <t>EMPA</t>
        </is>
      </c>
      <c r="G1233" t="inlineStr">
        <is>
          <t>CLP-017</t>
        </is>
      </c>
      <c r="H1233" t="inlineStr">
        <is>
          <t>Fiscalização</t>
        </is>
      </c>
      <c r="I1233">
        <v>6</v>
      </c>
      <c r="J1233" t="inlineStr">
        <is>
          <t>Drenagem Superficial</t>
        </is>
      </c>
      <c r="K1233" t="inlineStr">
        <is>
          <t>6.1</t>
        </is>
      </c>
      <c r="L1233" t="inlineStr">
        <is>
          <t>VPC 01</t>
        </is>
      </c>
      <c r="M1233" t="inlineStr">
        <is>
          <t>Dispositivo não executado</t>
        </is>
      </c>
      <c r="N1233" t="inlineStr">
        <is>
          <t>VPC não executada.</t>
        </is>
      </c>
      <c r="O1233" t="inlineStr">
        <is>
          <t>Tipo A</t>
        </is>
      </c>
      <c r="P1233" t="inlineStr">
        <is>
          <t xml:space="preserve">0+050
(Acesso km 26+828)</t>
        </is>
      </c>
      <c r="Q1233" t="inlineStr">
        <is>
          <t xml:space="preserve">0+074
(Acesso km 26+828)</t>
        </is>
      </c>
      <c r="R1233" t="inlineStr">
        <is>
          <t>Aberta</t>
        </is>
      </c>
      <c r="T1233" t="inlineStr">
        <is>
          <t>Aline Batista</t>
        </is>
      </c>
      <c r="U1233" t="inlineStr">
        <is>
          <t>15/05/2026</t>
        </is>
      </c>
      <c r="V1233" t="inlineStr">
        <is>
          <t>22/05/2026</t>
        </is>
      </c>
      <c r="W1233">
        <v>19</v>
      </c>
      <c r="AA1233" t="inlineStr">
        <is>
          <t>Aberta -30 dias</t>
        </is>
      </c>
      <c r="AB1233" t="inlineStr">
        <is>
          <t>EMPA</t>
        </is>
      </c>
      <c r="AC1233" t="inlineStr">
        <is>
          <t>Aline</t>
        </is>
      </c>
      <c r="AD1233" t="inlineStr">
        <is>
          <t>20/07/2026</t>
        </is>
      </c>
      <c r="AE1233" t="inlineStr">
        <is>
          <t>31/07/2026</t>
        </is>
      </c>
      <c r="AF1233" t="inlineStr">
        <is>
          <t>Prazo Premissa VALE</t>
        </is>
      </c>
    </row>
    <row r="1234">
      <c r="A1234">
        <v>1232</v>
      </c>
      <c r="B1234">
        <v>1</v>
      </c>
      <c r="C1234" t="inlineStr">
        <is>
          <t>1.3</t>
        </is>
      </c>
      <c r="D1234" t="inlineStr">
        <is>
          <t>A47</t>
        </is>
      </c>
      <c r="F1234" t="inlineStr">
        <is>
          <t>EMPA</t>
        </is>
      </c>
      <c r="G1234" t="inlineStr">
        <is>
          <t>CLP-017</t>
        </is>
      </c>
      <c r="H1234" t="inlineStr">
        <is>
          <t>Protocolo</t>
        </is>
      </c>
      <c r="I1234">
        <v>6</v>
      </c>
      <c r="J1234" t="inlineStr">
        <is>
          <t>Drenagem Superficial</t>
        </is>
      </c>
      <c r="K1234" t="inlineStr">
        <is>
          <t>6.1</t>
        </is>
      </c>
      <c r="L1234" t="inlineStr">
        <is>
          <t>VPC 01</t>
        </is>
      </c>
      <c r="M1234" t="inlineStr">
        <is>
          <t>Dispositivo não executado</t>
        </is>
      </c>
      <c r="N1234" t="inlineStr">
        <is>
          <t>VPC não executada.</t>
        </is>
      </c>
      <c r="O1234" t="inlineStr">
        <is>
          <t>Tipo A</t>
        </is>
      </c>
      <c r="P1234" t="inlineStr">
        <is>
          <t>26+838</t>
        </is>
      </c>
      <c r="Q1234" t="inlineStr">
        <is>
          <t>26+875</t>
        </is>
      </c>
      <c r="R1234" t="inlineStr">
        <is>
          <t>Aberta</t>
        </is>
      </c>
      <c r="T1234" t="inlineStr">
        <is>
          <t>Aline Batista</t>
        </is>
      </c>
      <c r="U1234" t="inlineStr">
        <is>
          <t>15/05/2026</t>
        </is>
      </c>
      <c r="V1234" t="inlineStr">
        <is>
          <t>22/05/2026</t>
        </is>
      </c>
      <c r="W1234">
        <v>19</v>
      </c>
      <c r="AA1234" t="inlineStr">
        <is>
          <t>Aberta -30 dias</t>
        </is>
      </c>
      <c r="AB1234" t="inlineStr">
        <is>
          <t>EMPA</t>
        </is>
      </c>
      <c r="AC1234" t="inlineStr">
        <is>
          <t>Aline</t>
        </is>
      </c>
      <c r="AD1234" t="inlineStr">
        <is>
          <t>20/07/2026</t>
        </is>
      </c>
      <c r="AE1234" t="inlineStr">
        <is>
          <t>31/07/2026</t>
        </is>
      </c>
      <c r="AF1234" t="inlineStr">
        <is>
          <t>Prazo Premissa VALE</t>
        </is>
      </c>
    </row>
    <row r="1235">
      <c r="A1235">
        <v>1233</v>
      </c>
      <c r="B1235">
        <v>1</v>
      </c>
      <c r="C1235" t="inlineStr">
        <is>
          <t>1.3</t>
        </is>
      </c>
      <c r="D1235" t="inlineStr">
        <is>
          <t>A47</t>
        </is>
      </c>
      <c r="F1235" t="inlineStr">
        <is>
          <t>EMPA</t>
        </is>
      </c>
      <c r="G1235" t="inlineStr">
        <is>
          <t>CLP-017</t>
        </is>
      </c>
      <c r="H1235" t="inlineStr">
        <is>
          <t>Protocolo</t>
        </is>
      </c>
      <c r="I1235">
        <v>6</v>
      </c>
      <c r="J1235" t="inlineStr">
        <is>
          <t>Drenagem Superficial</t>
        </is>
      </c>
      <c r="K1235" t="inlineStr">
        <is>
          <t>6.1</t>
        </is>
      </c>
      <c r="L1235" t="inlineStr">
        <is>
          <t>VPC 01</t>
        </is>
      </c>
      <c r="M1235" t="inlineStr">
        <is>
          <t>Dispositivo não executado</t>
        </is>
      </c>
      <c r="N1235" t="inlineStr">
        <is>
          <t>VPC não executada.</t>
        </is>
      </c>
      <c r="O1235" t="inlineStr">
        <is>
          <t>Tipo A</t>
        </is>
      </c>
      <c r="P1235" t="inlineStr">
        <is>
          <t xml:space="preserve">26+985
(ADME 28B)</t>
        </is>
      </c>
      <c r="Q1235" t="inlineStr">
        <is>
          <t xml:space="preserve">26+880
(ADME 28B)</t>
        </is>
      </c>
      <c r="R1235" t="inlineStr">
        <is>
          <t>Aberta</t>
        </is>
      </c>
      <c r="T1235" t="inlineStr">
        <is>
          <t>Aline Batista</t>
        </is>
      </c>
      <c r="U1235" t="inlineStr">
        <is>
          <t>15/05/2026</t>
        </is>
      </c>
      <c r="V1235" t="inlineStr">
        <is>
          <t>22/05/2026</t>
        </is>
      </c>
      <c r="W1235">
        <v>19</v>
      </c>
      <c r="AA1235" t="inlineStr">
        <is>
          <t>Aberta -30 dias</t>
        </is>
      </c>
      <c r="AB1235" t="inlineStr">
        <is>
          <t>EMPA</t>
        </is>
      </c>
      <c r="AC1235" t="inlineStr">
        <is>
          <t>Aline</t>
        </is>
      </c>
      <c r="AD1235" t="inlineStr">
        <is>
          <t>20/07/2026</t>
        </is>
      </c>
      <c r="AE1235" t="inlineStr">
        <is>
          <t>31/07/2026</t>
        </is>
      </c>
      <c r="AF1235" t="inlineStr">
        <is>
          <t>Prazo Premissa VALE</t>
        </is>
      </c>
    </row>
    <row r="1236">
      <c r="A1236">
        <v>1234</v>
      </c>
      <c r="B1236">
        <v>1</v>
      </c>
      <c r="C1236" t="inlineStr">
        <is>
          <t>1.3</t>
        </is>
      </c>
      <c r="D1236" t="inlineStr">
        <is>
          <t>A47</t>
        </is>
      </c>
      <c r="F1236" t="inlineStr">
        <is>
          <t>EMPA</t>
        </is>
      </c>
      <c r="G1236" t="inlineStr">
        <is>
          <t>CLP-017</t>
        </is>
      </c>
      <c r="H1236" t="inlineStr">
        <is>
          <t>Protocolo</t>
        </is>
      </c>
      <c r="I1236">
        <v>6</v>
      </c>
      <c r="J1236" t="inlineStr">
        <is>
          <t>Drenagem Superficial</t>
        </is>
      </c>
      <c r="K1236" t="inlineStr">
        <is>
          <t>6.1</t>
        </is>
      </c>
      <c r="L1236" t="inlineStr">
        <is>
          <t>VPC 01</t>
        </is>
      </c>
      <c r="M1236" t="inlineStr">
        <is>
          <t>Dispositivo não executado</t>
        </is>
      </c>
      <c r="N1236" t="inlineStr">
        <is>
          <t>VPC não executada.</t>
        </is>
      </c>
      <c r="O1236" t="inlineStr">
        <is>
          <t>Tipo A</t>
        </is>
      </c>
      <c r="P1236" t="inlineStr">
        <is>
          <t xml:space="preserve">26+985
(ADME 28B)</t>
        </is>
      </c>
      <c r="Q1236" t="inlineStr">
        <is>
          <t xml:space="preserve">27+065
(ADME 28B)</t>
        </is>
      </c>
      <c r="R1236" t="inlineStr">
        <is>
          <t>Aberta</t>
        </is>
      </c>
      <c r="T1236" t="inlineStr">
        <is>
          <t>Aline Batista</t>
        </is>
      </c>
      <c r="U1236" t="inlineStr">
        <is>
          <t>15/05/2026</t>
        </is>
      </c>
      <c r="V1236" t="inlineStr">
        <is>
          <t>22/05/2026</t>
        </is>
      </c>
      <c r="W1236">
        <v>19</v>
      </c>
      <c r="AA1236" t="inlineStr">
        <is>
          <t>Aberta -30 dias</t>
        </is>
      </c>
      <c r="AB1236" t="inlineStr">
        <is>
          <t>EMPA</t>
        </is>
      </c>
      <c r="AC1236" t="inlineStr">
        <is>
          <t>Aline</t>
        </is>
      </c>
      <c r="AD1236" t="inlineStr">
        <is>
          <t>20/07/2026</t>
        </is>
      </c>
      <c r="AE1236" t="inlineStr">
        <is>
          <t>31/07/2026</t>
        </is>
      </c>
      <c r="AF1236" t="inlineStr">
        <is>
          <t>Prazo Premissa VALE</t>
        </is>
      </c>
    </row>
    <row r="1237">
      <c r="A1237">
        <v>1235</v>
      </c>
      <c r="B1237">
        <v>1</v>
      </c>
      <c r="C1237" t="inlineStr">
        <is>
          <t>1.3</t>
        </is>
      </c>
      <c r="D1237" t="inlineStr">
        <is>
          <t>A47</t>
        </is>
      </c>
      <c r="F1237" t="inlineStr">
        <is>
          <t>EMPA</t>
        </is>
      </c>
      <c r="G1237" t="inlineStr">
        <is>
          <t>CLP-017</t>
        </is>
      </c>
      <c r="H1237" t="inlineStr">
        <is>
          <t>Protocolo</t>
        </is>
      </c>
      <c r="I1237">
        <v>6</v>
      </c>
      <c r="J1237" t="inlineStr">
        <is>
          <t>Drenagem Superficial</t>
        </is>
      </c>
      <c r="K1237" t="inlineStr">
        <is>
          <t>6.1</t>
        </is>
      </c>
      <c r="L1237" t="inlineStr">
        <is>
          <t>VPC 01</t>
        </is>
      </c>
      <c r="M1237" t="inlineStr">
        <is>
          <t>Dispositivo não executado</t>
        </is>
      </c>
      <c r="N1237" t="inlineStr">
        <is>
          <t>VPC não executada.</t>
        </is>
      </c>
      <c r="O1237" t="inlineStr">
        <is>
          <t>Tipo A</t>
        </is>
      </c>
      <c r="P1237" t="inlineStr">
        <is>
          <t>26+990</t>
        </is>
      </c>
      <c r="Q1237" t="inlineStr">
        <is>
          <t>26+878</t>
        </is>
      </c>
      <c r="R1237" t="inlineStr">
        <is>
          <t>Aberta</t>
        </is>
      </c>
      <c r="T1237" t="inlineStr">
        <is>
          <t>Aline Batista</t>
        </is>
      </c>
      <c r="U1237" t="inlineStr">
        <is>
          <t>15/05/2026</t>
        </is>
      </c>
      <c r="V1237" t="inlineStr">
        <is>
          <t>22/05/2026</t>
        </is>
      </c>
      <c r="W1237">
        <v>19</v>
      </c>
      <c r="AA1237" t="inlineStr">
        <is>
          <t>Aberta -30 dias</t>
        </is>
      </c>
      <c r="AB1237" t="inlineStr">
        <is>
          <t>EMPA</t>
        </is>
      </c>
      <c r="AC1237" t="inlineStr">
        <is>
          <t>Aline</t>
        </is>
      </c>
      <c r="AD1237" t="inlineStr">
        <is>
          <t>20/07/2026</t>
        </is>
      </c>
      <c r="AE1237" t="inlineStr">
        <is>
          <t>31/07/2026</t>
        </is>
      </c>
      <c r="AF1237" t="inlineStr">
        <is>
          <t>Prazo Premissa VALE</t>
        </is>
      </c>
    </row>
    <row r="1238">
      <c r="A1238">
        <v>1236</v>
      </c>
      <c r="B1238">
        <v>1</v>
      </c>
      <c r="C1238" t="inlineStr">
        <is>
          <t>1.3</t>
        </is>
      </c>
      <c r="D1238" t="inlineStr">
        <is>
          <t>A47</t>
        </is>
      </c>
      <c r="F1238" t="inlineStr">
        <is>
          <t>EMPA</t>
        </is>
      </c>
      <c r="G1238" t="inlineStr">
        <is>
          <t>CLP-017</t>
        </is>
      </c>
      <c r="H1238" t="inlineStr">
        <is>
          <t>Protocolo</t>
        </is>
      </c>
      <c r="I1238">
        <v>6</v>
      </c>
      <c r="J1238" t="inlineStr">
        <is>
          <t>Drenagem Superficial</t>
        </is>
      </c>
      <c r="K1238" t="inlineStr">
        <is>
          <t>6.1</t>
        </is>
      </c>
      <c r="L1238" t="inlineStr">
        <is>
          <t>VPC 01</t>
        </is>
      </c>
      <c r="M1238" t="inlineStr">
        <is>
          <t>Dispositivo não executado</t>
        </is>
      </c>
      <c r="N1238" t="inlineStr">
        <is>
          <t>VPC não executada.</t>
        </is>
      </c>
      <c r="O1238" t="inlineStr">
        <is>
          <t>Tipo A</t>
        </is>
      </c>
      <c r="P1238" t="inlineStr">
        <is>
          <t>26+990</t>
        </is>
      </c>
      <c r="Q1238" t="inlineStr">
        <is>
          <t>27+110</t>
        </is>
      </c>
      <c r="R1238" t="inlineStr">
        <is>
          <t>Aberta</t>
        </is>
      </c>
      <c r="T1238" t="inlineStr">
        <is>
          <t>Aline Batista</t>
        </is>
      </c>
      <c r="U1238" t="inlineStr">
        <is>
          <t>15/05/2026</t>
        </is>
      </c>
      <c r="V1238" t="inlineStr">
        <is>
          <t>22/05/2026</t>
        </is>
      </c>
      <c r="W1238">
        <v>19</v>
      </c>
      <c r="AA1238" t="inlineStr">
        <is>
          <t>Aberta -30 dias</t>
        </is>
      </c>
      <c r="AB1238" t="inlineStr">
        <is>
          <t>EMPA</t>
        </is>
      </c>
      <c r="AC1238" t="inlineStr">
        <is>
          <t>Aline</t>
        </is>
      </c>
      <c r="AD1238" t="inlineStr">
        <is>
          <t>20/07/2026</t>
        </is>
      </c>
      <c r="AE1238" t="inlineStr">
        <is>
          <t>31/07/2026</t>
        </is>
      </c>
      <c r="AF1238" t="inlineStr">
        <is>
          <t>Prazo Premissa VALE</t>
        </is>
      </c>
    </row>
    <row r="1239">
      <c r="A1239">
        <v>1237</v>
      </c>
      <c r="B1239">
        <v>1</v>
      </c>
      <c r="C1239" t="inlineStr">
        <is>
          <t>1.3</t>
        </is>
      </c>
      <c r="D1239" t="inlineStr">
        <is>
          <t>A47</t>
        </is>
      </c>
      <c r="F1239" t="inlineStr">
        <is>
          <t>EMPA</t>
        </is>
      </c>
      <c r="G1239" t="inlineStr">
        <is>
          <t>CLP-017</t>
        </is>
      </c>
      <c r="H1239" t="inlineStr">
        <is>
          <t>Protocolo</t>
        </is>
      </c>
      <c r="I1239">
        <v>6</v>
      </c>
      <c r="J1239" t="inlineStr">
        <is>
          <t>Drenagem Superficial</t>
        </is>
      </c>
      <c r="K1239" t="inlineStr">
        <is>
          <t>6.1</t>
        </is>
      </c>
      <c r="L1239" t="inlineStr">
        <is>
          <t>VPCD 01</t>
        </is>
      </c>
      <c r="M1239" t="inlineStr">
        <is>
          <t>Dispositivo não executado</t>
        </is>
      </c>
      <c r="N1239" t="inlineStr">
        <is>
          <t>VPCD não executada.</t>
        </is>
      </c>
      <c r="O1239" t="inlineStr">
        <is>
          <t>Tipo A</t>
        </is>
      </c>
      <c r="P1239" t="inlineStr">
        <is>
          <t>27+110</t>
        </is>
      </c>
      <c r="Q1239" t="inlineStr">
        <is>
          <t>27+135</t>
        </is>
      </c>
      <c r="R1239" t="inlineStr">
        <is>
          <t>Aberta</t>
        </is>
      </c>
      <c r="T1239" t="inlineStr">
        <is>
          <t>Aline Batista</t>
        </is>
      </c>
      <c r="U1239" t="inlineStr">
        <is>
          <t>15/05/2026</t>
        </is>
      </c>
      <c r="V1239" t="inlineStr">
        <is>
          <t>22/05/2026</t>
        </is>
      </c>
      <c r="W1239">
        <v>19</v>
      </c>
      <c r="AA1239" t="inlineStr">
        <is>
          <t>Aberta -30 dias</t>
        </is>
      </c>
      <c r="AB1239" t="inlineStr">
        <is>
          <t>EMPA</t>
        </is>
      </c>
      <c r="AC1239" t="inlineStr">
        <is>
          <t>Aline</t>
        </is>
      </c>
      <c r="AD1239" t="inlineStr">
        <is>
          <t>03/08/2026</t>
        </is>
      </c>
      <c r="AE1239" t="inlineStr">
        <is>
          <t>14/08/2026</t>
        </is>
      </c>
      <c r="AF1239" t="inlineStr">
        <is>
          <t>Prazo premissa VALE</t>
        </is>
      </c>
    </row>
    <row r="1240">
      <c r="A1240">
        <v>1238</v>
      </c>
      <c r="B1240">
        <v>1</v>
      </c>
      <c r="C1240" t="inlineStr">
        <is>
          <t>1.3</t>
        </is>
      </c>
      <c r="D1240" t="inlineStr">
        <is>
          <t>A47</t>
        </is>
      </c>
      <c r="F1240" t="inlineStr">
        <is>
          <t>EMPA</t>
        </is>
      </c>
      <c r="G1240" t="inlineStr">
        <is>
          <t>CLP-017</t>
        </is>
      </c>
      <c r="H1240" t="inlineStr">
        <is>
          <t>Protocolo</t>
        </is>
      </c>
      <c r="I1240">
        <v>6</v>
      </c>
      <c r="J1240" t="inlineStr">
        <is>
          <t>Drenagem Superficial</t>
        </is>
      </c>
      <c r="K1240" t="inlineStr">
        <is>
          <t>6.1</t>
        </is>
      </c>
      <c r="L1240" t="inlineStr">
        <is>
          <t>VPC 01</t>
        </is>
      </c>
      <c r="M1240" t="inlineStr">
        <is>
          <t>Dispositivo não executado</t>
        </is>
      </c>
      <c r="N1240" t="inlineStr">
        <is>
          <t>VPC não executada.</t>
        </is>
      </c>
      <c r="O1240" t="inlineStr">
        <is>
          <t>Tipo A</t>
        </is>
      </c>
      <c r="P1240" t="inlineStr">
        <is>
          <t>27+100</t>
        </is>
      </c>
      <c r="Q1240" t="inlineStr">
        <is>
          <t>27+375</t>
        </is>
      </c>
      <c r="R1240" t="inlineStr">
        <is>
          <t>Aberta</t>
        </is>
      </c>
      <c r="T1240" t="inlineStr">
        <is>
          <t>Aline Batista</t>
        </is>
      </c>
      <c r="U1240" t="inlineStr">
        <is>
          <t>15/05/2026</t>
        </is>
      </c>
      <c r="V1240" t="inlineStr">
        <is>
          <t>22/05/2026</t>
        </is>
      </c>
      <c r="W1240">
        <v>19</v>
      </c>
      <c r="AA1240" t="inlineStr">
        <is>
          <t>Aberta -30 dias</t>
        </is>
      </c>
      <c r="AB1240" t="inlineStr">
        <is>
          <t>EMPA</t>
        </is>
      </c>
      <c r="AC1240" t="inlineStr">
        <is>
          <t>Aline</t>
        </is>
      </c>
      <c r="AD1240" t="inlineStr">
        <is>
          <t>03/08/2026</t>
        </is>
      </c>
      <c r="AE1240" t="inlineStr">
        <is>
          <t>14/08/2026</t>
        </is>
      </c>
      <c r="AF1240" t="inlineStr">
        <is>
          <t>Prazo premissa VALE</t>
        </is>
      </c>
    </row>
    <row r="1241">
      <c r="A1241">
        <v>1239</v>
      </c>
      <c r="B1241">
        <v>1</v>
      </c>
      <c r="C1241" t="inlineStr">
        <is>
          <t>1.3</t>
        </is>
      </c>
      <c r="D1241" t="inlineStr">
        <is>
          <t>A47</t>
        </is>
      </c>
      <c r="F1241" t="inlineStr">
        <is>
          <t>EMPA</t>
        </is>
      </c>
      <c r="G1241" t="inlineStr">
        <is>
          <t>CLP-017</t>
        </is>
      </c>
      <c r="H1241" t="inlineStr">
        <is>
          <t>Protocolo</t>
        </is>
      </c>
      <c r="I1241">
        <v>6</v>
      </c>
      <c r="J1241" t="inlineStr">
        <is>
          <t>Drenagem Superficial</t>
        </is>
      </c>
      <c r="K1241" t="inlineStr">
        <is>
          <t>6.1</t>
        </is>
      </c>
      <c r="L1241" t="inlineStr">
        <is>
          <t>VPC 02</t>
        </is>
      </c>
      <c r="M1241" t="inlineStr">
        <is>
          <t>Dispositivo não executado</t>
        </is>
      </c>
      <c r="N1241" t="inlineStr">
        <is>
          <t>VPC não executada.</t>
        </is>
      </c>
      <c r="O1241" t="inlineStr">
        <is>
          <t>Tipo A</t>
        </is>
      </c>
      <c r="P1241" t="inlineStr">
        <is>
          <t>27+375</t>
        </is>
      </c>
      <c r="Q1241" t="inlineStr">
        <is>
          <t>24+510</t>
        </is>
      </c>
      <c r="R1241" t="inlineStr">
        <is>
          <t>Aberta</t>
        </is>
      </c>
      <c r="T1241" t="inlineStr">
        <is>
          <t>Aline Batista</t>
        </is>
      </c>
      <c r="U1241" t="inlineStr">
        <is>
          <t>15/05/2026</t>
        </is>
      </c>
      <c r="V1241" t="inlineStr">
        <is>
          <t>22/05/2026</t>
        </is>
      </c>
      <c r="W1241">
        <v>19</v>
      </c>
      <c r="AA1241" t="inlineStr">
        <is>
          <t>Aberta -30 dias</t>
        </is>
      </c>
      <c r="AB1241" t="inlineStr">
        <is>
          <t>EMPA</t>
        </is>
      </c>
      <c r="AC1241" t="inlineStr">
        <is>
          <t>Aline</t>
        </is>
      </c>
      <c r="AD1241" t="inlineStr">
        <is>
          <t>03/08/2026</t>
        </is>
      </c>
      <c r="AE1241" t="inlineStr">
        <is>
          <t>14/08/2026</t>
        </is>
      </c>
      <c r="AF1241" t="inlineStr">
        <is>
          <t>Prazo premissa VALE</t>
        </is>
      </c>
    </row>
    <row r="1242">
      <c r="A1242">
        <v>1240</v>
      </c>
      <c r="B1242">
        <v>1</v>
      </c>
      <c r="C1242" t="inlineStr">
        <is>
          <t>1.3</t>
        </is>
      </c>
      <c r="D1242" t="inlineStr">
        <is>
          <t>A47</t>
        </is>
      </c>
      <c r="F1242" t="inlineStr">
        <is>
          <t>EMPA</t>
        </is>
      </c>
      <c r="G1242" t="inlineStr">
        <is>
          <t>CLP-017</t>
        </is>
      </c>
      <c r="H1242" t="inlineStr">
        <is>
          <t>Protocolo</t>
        </is>
      </c>
      <c r="I1242">
        <v>6</v>
      </c>
      <c r="J1242" t="inlineStr">
        <is>
          <t>Drenagem Superficial</t>
        </is>
      </c>
      <c r="K1242" t="inlineStr">
        <is>
          <t>6.1</t>
        </is>
      </c>
      <c r="L1242" t="inlineStr">
        <is>
          <t>VPC 01</t>
        </is>
      </c>
      <c r="M1242" t="inlineStr">
        <is>
          <t>Dispositivo não executado</t>
        </is>
      </c>
      <c r="N1242" t="inlineStr">
        <is>
          <t>VPC não executada.</t>
        </is>
      </c>
      <c r="O1242" t="inlineStr">
        <is>
          <t>Tipo A</t>
        </is>
      </c>
      <c r="P1242" t="inlineStr">
        <is>
          <t>27+280</t>
        </is>
      </c>
      <c r="Q1242" t="inlineStr">
        <is>
          <t>27+452</t>
        </is>
      </c>
      <c r="R1242" t="inlineStr">
        <is>
          <t>Aberta</t>
        </is>
      </c>
      <c r="T1242" t="inlineStr">
        <is>
          <t>Aline Batista</t>
        </is>
      </c>
      <c r="U1242" t="inlineStr">
        <is>
          <t>15/05/2026</t>
        </is>
      </c>
      <c r="V1242" t="inlineStr">
        <is>
          <t>22/05/2026</t>
        </is>
      </c>
      <c r="W1242">
        <v>19</v>
      </c>
      <c r="AA1242" t="inlineStr">
        <is>
          <t>Aberta -30 dias</t>
        </is>
      </c>
      <c r="AB1242" t="inlineStr">
        <is>
          <t>EMPA</t>
        </is>
      </c>
      <c r="AC1242" t="inlineStr">
        <is>
          <t>Aline</t>
        </is>
      </c>
      <c r="AD1242" t="inlineStr">
        <is>
          <t>03/08/2026</t>
        </is>
      </c>
      <c r="AE1242" t="inlineStr">
        <is>
          <t>14/08/2026</t>
        </is>
      </c>
      <c r="AF1242" t="inlineStr">
        <is>
          <t>Prazo premissa VALE</t>
        </is>
      </c>
    </row>
    <row r="1243">
      <c r="A1243">
        <v>1241</v>
      </c>
      <c r="B1243">
        <v>1</v>
      </c>
      <c r="C1243" t="inlineStr">
        <is>
          <t>1.3</t>
        </is>
      </c>
      <c r="D1243" t="inlineStr">
        <is>
          <t>A47</t>
        </is>
      </c>
      <c r="F1243" t="inlineStr">
        <is>
          <t>EMPA</t>
        </is>
      </c>
      <c r="G1243" t="inlineStr">
        <is>
          <t>CLP-017</t>
        </is>
      </c>
      <c r="H1243" t="inlineStr">
        <is>
          <t>Protocolo</t>
        </is>
      </c>
      <c r="I1243">
        <v>6</v>
      </c>
      <c r="J1243" t="inlineStr">
        <is>
          <t>Drenagem Superficial</t>
        </is>
      </c>
      <c r="K1243" t="inlineStr">
        <is>
          <t>6.1</t>
        </is>
      </c>
      <c r="L1243" t="inlineStr">
        <is>
          <t>VPC 01</t>
        </is>
      </c>
      <c r="M1243" t="inlineStr">
        <is>
          <t>Dispositivo não executado</t>
        </is>
      </c>
      <c r="N1243" t="inlineStr">
        <is>
          <t>VPC não executada.</t>
        </is>
      </c>
      <c r="O1243" t="inlineStr">
        <is>
          <t>Tipo A</t>
        </is>
      </c>
      <c r="P1243" t="inlineStr">
        <is>
          <t>27+542</t>
        </is>
      </c>
      <c r="Q1243" t="inlineStr">
        <is>
          <t>27+460</t>
        </is>
      </c>
      <c r="R1243" t="inlineStr">
        <is>
          <t>Aberta</t>
        </is>
      </c>
      <c r="T1243" t="inlineStr">
        <is>
          <t>Aline Batista</t>
        </is>
      </c>
      <c r="U1243" t="inlineStr">
        <is>
          <t>15/05/2026</t>
        </is>
      </c>
      <c r="V1243" t="inlineStr">
        <is>
          <t>22/05/2026</t>
        </is>
      </c>
      <c r="W1243">
        <v>19</v>
      </c>
      <c r="AA1243" t="inlineStr">
        <is>
          <t>Aberta -30 dias</t>
        </is>
      </c>
      <c r="AB1243" t="inlineStr">
        <is>
          <t>EMPA</t>
        </is>
      </c>
      <c r="AC1243" t="inlineStr">
        <is>
          <t>Aline</t>
        </is>
      </c>
      <c r="AD1243" t="inlineStr">
        <is>
          <t>03/08/2026</t>
        </is>
      </c>
      <c r="AE1243" t="inlineStr">
        <is>
          <t>14/08/2026</t>
        </is>
      </c>
      <c r="AF1243" t="inlineStr">
        <is>
          <t>Prazo premissa VALE</t>
        </is>
      </c>
    </row>
    <row r="1244">
      <c r="A1244">
        <v>1242</v>
      </c>
      <c r="B1244">
        <v>1</v>
      </c>
      <c r="C1244" t="inlineStr">
        <is>
          <t>1.3</t>
        </is>
      </c>
      <c r="D1244" t="inlineStr">
        <is>
          <t>A47</t>
        </is>
      </c>
      <c r="F1244" t="inlineStr">
        <is>
          <t>EMPA</t>
        </is>
      </c>
      <c r="G1244" t="inlineStr">
        <is>
          <t>CLP-017</t>
        </is>
      </c>
      <c r="H1244" t="inlineStr">
        <is>
          <t>Protocolo</t>
        </is>
      </c>
      <c r="I1244">
        <v>6</v>
      </c>
      <c r="J1244" t="inlineStr">
        <is>
          <t>Drenagem Superficial</t>
        </is>
      </c>
      <c r="K1244" t="inlineStr">
        <is>
          <t>6.1</t>
        </is>
      </c>
      <c r="L1244" t="inlineStr">
        <is>
          <t>VPC 01</t>
        </is>
      </c>
      <c r="M1244" t="inlineStr">
        <is>
          <t>Dispositivo não executado</t>
        </is>
      </c>
      <c r="N1244" t="inlineStr">
        <is>
          <t>VPC não executada.</t>
        </is>
      </c>
      <c r="O1244" t="inlineStr">
        <is>
          <t>Tipo A</t>
        </is>
      </c>
      <c r="P1244" t="inlineStr">
        <is>
          <t>27+542</t>
        </is>
      </c>
      <c r="Q1244" t="inlineStr">
        <is>
          <t>27+650</t>
        </is>
      </c>
      <c r="R1244" t="inlineStr">
        <is>
          <t>Aberta</t>
        </is>
      </c>
      <c r="T1244" t="inlineStr">
        <is>
          <t>Aline Batista</t>
        </is>
      </c>
      <c r="U1244" t="inlineStr">
        <is>
          <t>15/05/2026</t>
        </is>
      </c>
      <c r="V1244" t="inlineStr">
        <is>
          <t>22/05/2026</t>
        </is>
      </c>
      <c r="W1244">
        <v>19</v>
      </c>
      <c r="AA1244" t="inlineStr">
        <is>
          <t>Aberta -30 dias</t>
        </is>
      </c>
      <c r="AB1244" t="inlineStr">
        <is>
          <t>EMPA</t>
        </is>
      </c>
      <c r="AC1244" t="inlineStr">
        <is>
          <t>Aline</t>
        </is>
      </c>
      <c r="AD1244" t="inlineStr">
        <is>
          <t>03/08/2026</t>
        </is>
      </c>
      <c r="AE1244" t="inlineStr">
        <is>
          <t>14/08/2026</t>
        </is>
      </c>
      <c r="AF1244" t="inlineStr">
        <is>
          <t>Prazo premissa VALE</t>
        </is>
      </c>
    </row>
    <row r="1245">
      <c r="A1245">
        <v>1243</v>
      </c>
      <c r="B1245">
        <v>1</v>
      </c>
      <c r="C1245" t="inlineStr">
        <is>
          <t>1.3</t>
        </is>
      </c>
      <c r="D1245" t="inlineStr">
        <is>
          <t>A47</t>
        </is>
      </c>
      <c r="F1245" t="inlineStr">
        <is>
          <t>EMPA</t>
        </is>
      </c>
      <c r="G1245" t="inlineStr">
        <is>
          <t>CLP-017</t>
        </is>
      </c>
      <c r="H1245" t="inlineStr">
        <is>
          <t>Protocolo</t>
        </is>
      </c>
      <c r="I1245">
        <v>6</v>
      </c>
      <c r="J1245" t="inlineStr">
        <is>
          <t>Drenagem Superficial</t>
        </is>
      </c>
      <c r="K1245" t="inlineStr">
        <is>
          <t>6.1</t>
        </is>
      </c>
      <c r="L1245" t="inlineStr">
        <is>
          <t>VPC 01</t>
        </is>
      </c>
      <c r="M1245" t="inlineStr">
        <is>
          <t>Dispositivo não executado</t>
        </is>
      </c>
      <c r="N1245" t="inlineStr">
        <is>
          <t>VPC não executada.</t>
        </is>
      </c>
      <c r="O1245" t="inlineStr">
        <is>
          <t>Tipo A</t>
        </is>
      </c>
      <c r="P1245" t="inlineStr">
        <is>
          <t>27+650</t>
        </is>
      </c>
      <c r="Q1245" t="inlineStr">
        <is>
          <t>27+800</t>
        </is>
      </c>
      <c r="R1245" t="inlineStr">
        <is>
          <t>Aberta</t>
        </is>
      </c>
      <c r="T1245" t="inlineStr">
        <is>
          <t>Aline Batista</t>
        </is>
      </c>
      <c r="U1245" t="inlineStr">
        <is>
          <t>15/05/2026</t>
        </is>
      </c>
      <c r="V1245" t="inlineStr">
        <is>
          <t>22/05/2026</t>
        </is>
      </c>
      <c r="W1245">
        <v>19</v>
      </c>
      <c r="AA1245" t="inlineStr">
        <is>
          <t>Aberta -30 dias</t>
        </is>
      </c>
      <c r="AB1245" t="inlineStr">
        <is>
          <t>EMPA</t>
        </is>
      </c>
      <c r="AC1245" t="inlineStr">
        <is>
          <t>Aline</t>
        </is>
      </c>
      <c r="AD1245" t="inlineStr">
        <is>
          <t>03/08/2026</t>
        </is>
      </c>
      <c r="AE1245" t="inlineStr">
        <is>
          <t>14/08/2026</t>
        </is>
      </c>
      <c r="AF1245" t="inlineStr">
        <is>
          <t>Prazo premissa VALE</t>
        </is>
      </c>
    </row>
    <row r="1246">
      <c r="A1246">
        <v>1244</v>
      </c>
      <c r="B1246">
        <v>1</v>
      </c>
      <c r="C1246" t="inlineStr">
        <is>
          <t>1.3</t>
        </is>
      </c>
      <c r="D1246" t="inlineStr">
        <is>
          <t>A47</t>
        </is>
      </c>
      <c r="F1246" t="inlineStr">
        <is>
          <t>EMPA</t>
        </is>
      </c>
      <c r="G1246" t="inlineStr">
        <is>
          <t>CLP-017</t>
        </is>
      </c>
      <c r="H1246" t="inlineStr">
        <is>
          <t>Protocolo</t>
        </is>
      </c>
      <c r="I1246">
        <v>6</v>
      </c>
      <c r="J1246" t="inlineStr">
        <is>
          <t>Drenagem Superficial</t>
        </is>
      </c>
      <c r="K1246" t="inlineStr">
        <is>
          <t>6.1</t>
        </is>
      </c>
      <c r="L1246" t="inlineStr">
        <is>
          <t>VPC 01</t>
        </is>
      </c>
      <c r="M1246" t="inlineStr">
        <is>
          <t>Dispositivo não executado</t>
        </is>
      </c>
      <c r="N1246" t="inlineStr">
        <is>
          <t>VPC não executada.</t>
        </is>
      </c>
      <c r="O1246" t="inlineStr">
        <is>
          <t>Tipo A</t>
        </is>
      </c>
      <c r="P1246" t="inlineStr">
        <is>
          <t>28+200</t>
        </is>
      </c>
      <c r="Q1246" t="inlineStr">
        <is>
          <t>28+095</t>
        </is>
      </c>
      <c r="R1246" t="inlineStr">
        <is>
          <t>Aberta</t>
        </is>
      </c>
      <c r="T1246" t="inlineStr">
        <is>
          <t>Aline Batista</t>
        </is>
      </c>
      <c r="U1246" t="inlineStr">
        <is>
          <t>15/05/2026</t>
        </is>
      </c>
      <c r="V1246" t="inlineStr">
        <is>
          <t>22/05/2026</t>
        </is>
      </c>
      <c r="W1246">
        <v>19</v>
      </c>
      <c r="AA1246" t="inlineStr">
        <is>
          <t>Aberta -30 dias</t>
        </is>
      </c>
      <c r="AB1246" t="inlineStr">
        <is>
          <t>EMPA</t>
        </is>
      </c>
      <c r="AC1246" t="inlineStr">
        <is>
          <t>Aline</t>
        </is>
      </c>
      <c r="AD1246" t="inlineStr">
        <is>
          <t>03/08/2026</t>
        </is>
      </c>
      <c r="AE1246" t="inlineStr">
        <is>
          <t>14/08/2026</t>
        </is>
      </c>
      <c r="AF1246" t="inlineStr">
        <is>
          <t>Prazo premissa VALE</t>
        </is>
      </c>
    </row>
    <row r="1247">
      <c r="A1247">
        <v>1245</v>
      </c>
      <c r="B1247">
        <v>1</v>
      </c>
      <c r="C1247" t="inlineStr">
        <is>
          <t>1.3</t>
        </is>
      </c>
      <c r="D1247" t="inlineStr">
        <is>
          <t>A48</t>
        </is>
      </c>
      <c r="E1247" t="inlineStr">
        <is>
          <t>LD/LE</t>
        </is>
      </c>
      <c r="F1247" t="inlineStr">
        <is>
          <t>EMPA</t>
        </is>
      </c>
      <c r="G1247" t="inlineStr">
        <is>
          <t>CLP-017</t>
        </is>
      </c>
      <c r="H1247" t="inlineStr">
        <is>
          <t>Protocolo</t>
        </is>
      </c>
      <c r="I1247">
        <v>6</v>
      </c>
      <c r="J1247" t="inlineStr">
        <is>
          <t>Drenagem Superficial</t>
        </is>
      </c>
      <c r="K1247" t="inlineStr">
        <is>
          <t>6.1</t>
        </is>
      </c>
      <c r="L1247" t="inlineStr">
        <is>
          <t>VPC</t>
        </is>
      </c>
      <c r="M1247" t="inlineStr">
        <is>
          <t>Dispositivo não executado</t>
        </is>
      </c>
      <c r="N1247" t="inlineStr">
        <is>
          <t>Pendente execução de canaleta no pé do aterro.</t>
        </is>
      </c>
      <c r="O1247" t="inlineStr">
        <is>
          <t>Tipo A</t>
        </is>
      </c>
      <c r="P1247" t="inlineStr">
        <is>
          <t>30+080</t>
        </is>
      </c>
      <c r="Q1247">
        <v>30080</v>
      </c>
      <c r="R1247" t="inlineStr">
        <is>
          <t>Aberta</t>
        </is>
      </c>
      <c r="T1247" t="inlineStr">
        <is>
          <t>Aline Batista</t>
        </is>
      </c>
      <c r="U1247" t="inlineStr">
        <is>
          <t>15/05/2026</t>
        </is>
      </c>
      <c r="V1247" t="inlineStr">
        <is>
          <t>22/05/2026</t>
        </is>
      </c>
      <c r="W1247">
        <v>19</v>
      </c>
      <c r="AA1247" t="inlineStr">
        <is>
          <t>Aberta -30 dias</t>
        </is>
      </c>
      <c r="AB1247" t="inlineStr">
        <is>
          <t>EMPA</t>
        </is>
      </c>
      <c r="AC1247" t="inlineStr">
        <is>
          <t>Aline</t>
        </is>
      </c>
      <c r="AD1247" t="inlineStr">
        <is>
          <t>17/08/2026</t>
        </is>
      </c>
      <c r="AE1247" t="inlineStr">
        <is>
          <t>28/08/2026</t>
        </is>
      </c>
      <c r="AF1247" t="inlineStr">
        <is>
          <t>Prazo Premissa VALE</t>
        </is>
      </c>
    </row>
    <row r="1248">
      <c r="A1248">
        <v>1246</v>
      </c>
      <c r="B1248">
        <v>1</v>
      </c>
      <c r="C1248" t="inlineStr">
        <is>
          <t>1.3</t>
        </is>
      </c>
      <c r="D1248" t="inlineStr">
        <is>
          <t>A47</t>
        </is>
      </c>
      <c r="E1248" t="inlineStr">
        <is>
          <t>LD /LE</t>
        </is>
      </c>
      <c r="F1248" t="inlineStr">
        <is>
          <t>EMPA</t>
        </is>
      </c>
      <c r="G1248" t="inlineStr">
        <is>
          <t>CLP-017</t>
        </is>
      </c>
      <c r="H1248" t="inlineStr">
        <is>
          <t>Protocolo</t>
        </is>
      </c>
      <c r="I1248">
        <v>6</v>
      </c>
      <c r="J1248" t="inlineStr">
        <is>
          <t>Drenagem Superficial</t>
        </is>
      </c>
      <c r="K1248" t="inlineStr">
        <is>
          <t>6.10</t>
        </is>
      </c>
      <c r="L1248" t="inlineStr">
        <is>
          <t>VPC</t>
        </is>
      </c>
      <c r="M1248" t="inlineStr">
        <is>
          <t>Obstrução do dispositivo</t>
        </is>
      </c>
      <c r="N1248" t="inlineStr">
        <is>
          <t>Drenagem obstruída.</t>
        </is>
      </c>
      <c r="O1248" t="inlineStr">
        <is>
          <t>Tipo A</t>
        </is>
      </c>
      <c r="P1248" t="inlineStr">
        <is>
          <t>26+900</t>
        </is>
      </c>
      <c r="Q1248">
        <v>26900</v>
      </c>
      <c r="R1248" t="inlineStr">
        <is>
          <t>Aberta</t>
        </is>
      </c>
      <c r="T1248" t="inlineStr">
        <is>
          <t>Aline Batista</t>
        </is>
      </c>
      <c r="U1248" t="inlineStr">
        <is>
          <t>15/05/2026</t>
        </is>
      </c>
      <c r="V1248" t="inlineStr">
        <is>
          <t>22/05/2026</t>
        </is>
      </c>
      <c r="W1248">
        <v>19</v>
      </c>
      <c r="AA1248" t="inlineStr">
        <is>
          <t>Aberta -30 dias</t>
        </is>
      </c>
      <c r="AB1248" t="inlineStr">
        <is>
          <t>EMPA</t>
        </is>
      </c>
      <c r="AC1248" t="inlineStr">
        <is>
          <t>Aline</t>
        </is>
      </c>
      <c r="AD1248" t="inlineStr">
        <is>
          <t>20/07/2026</t>
        </is>
      </c>
      <c r="AE1248" t="inlineStr">
        <is>
          <t>31/07/2026</t>
        </is>
      </c>
      <c r="AF1248" t="inlineStr">
        <is>
          <t>Prazo Premissa VALE</t>
        </is>
      </c>
    </row>
    <row r="1249">
      <c r="A1249">
        <v>1247</v>
      </c>
      <c r="B1249">
        <v>1</v>
      </c>
      <c r="C1249" t="inlineStr">
        <is>
          <t>1.3</t>
        </is>
      </c>
      <c r="D1249" t="inlineStr">
        <is>
          <t>A47</t>
        </is>
      </c>
      <c r="E1249" t="inlineStr">
        <is>
          <t>LE</t>
        </is>
      </c>
      <c r="F1249" t="inlineStr">
        <is>
          <t>EMPA</t>
        </is>
      </c>
      <c r="G1249" t="inlineStr">
        <is>
          <t>CLP-017</t>
        </is>
      </c>
      <c r="H1249" t="inlineStr">
        <is>
          <t>Protocolo</t>
        </is>
      </c>
      <c r="I1249">
        <v>6</v>
      </c>
      <c r="J1249" t="inlineStr">
        <is>
          <t>Drenagem Superficial</t>
        </is>
      </c>
      <c r="K1249" t="inlineStr">
        <is>
          <t>6.10</t>
        </is>
      </c>
      <c r="L1249" t="inlineStr">
        <is>
          <t>DDA</t>
        </is>
      </c>
      <c r="M1249" t="inlineStr">
        <is>
          <t>Obstrução do dispositivo</t>
        </is>
      </c>
      <c r="N1249" t="inlineStr">
        <is>
          <t>Descida d'água obstruída.</t>
        </is>
      </c>
      <c r="O1249" t="inlineStr">
        <is>
          <t>Tipo A</t>
        </is>
      </c>
      <c r="P1249" t="inlineStr">
        <is>
          <t>26+900</t>
        </is>
      </c>
      <c r="Q1249">
        <v>26900</v>
      </c>
      <c r="R1249" t="inlineStr">
        <is>
          <t>Aberta</t>
        </is>
      </c>
      <c r="T1249" t="inlineStr">
        <is>
          <t>Aline Batista</t>
        </is>
      </c>
      <c r="U1249" t="inlineStr">
        <is>
          <t>15/05/2026</t>
        </is>
      </c>
      <c r="V1249" t="inlineStr">
        <is>
          <t>22/05/2026</t>
        </is>
      </c>
      <c r="W1249">
        <v>19</v>
      </c>
      <c r="AA1249" t="inlineStr">
        <is>
          <t>Aberta -30 dias</t>
        </is>
      </c>
      <c r="AB1249" t="inlineStr">
        <is>
          <t>EMPA</t>
        </is>
      </c>
      <c r="AC1249" t="inlineStr">
        <is>
          <t>Aline</t>
        </is>
      </c>
      <c r="AD1249" t="inlineStr">
        <is>
          <t>20/07/2026</t>
        </is>
      </c>
      <c r="AE1249" t="inlineStr">
        <is>
          <t>31/07/2026</t>
        </is>
      </c>
      <c r="AF1249" t="inlineStr">
        <is>
          <t>Prazo Premissa VALE</t>
        </is>
      </c>
    </row>
    <row r="1250">
      <c r="A1250">
        <v>1248</v>
      </c>
      <c r="B1250">
        <v>1</v>
      </c>
      <c r="C1250" t="inlineStr">
        <is>
          <t>1.3</t>
        </is>
      </c>
      <c r="D1250" t="inlineStr">
        <is>
          <t>A47</t>
        </is>
      </c>
      <c r="E1250" t="inlineStr">
        <is>
          <t>LE</t>
        </is>
      </c>
      <c r="F1250" t="inlineStr">
        <is>
          <t>EMPA</t>
        </is>
      </c>
      <c r="G1250" t="inlineStr">
        <is>
          <t>CLP-017</t>
        </is>
      </c>
      <c r="H1250" t="inlineStr">
        <is>
          <t>Protocolo</t>
        </is>
      </c>
      <c r="I1250">
        <v>6</v>
      </c>
      <c r="J1250" t="inlineStr">
        <is>
          <t>Drenagem Superficial</t>
        </is>
      </c>
      <c r="K1250" t="inlineStr">
        <is>
          <t>6.10</t>
        </is>
      </c>
      <c r="L1250" t="inlineStr">
        <is>
          <t>VPC</t>
        </is>
      </c>
      <c r="M1250" t="inlineStr">
        <is>
          <t>Obstrução do dispositivo</t>
        </is>
      </c>
      <c r="N1250" t="inlineStr">
        <is>
          <t>Drenagem obstruída.</t>
        </is>
      </c>
      <c r="O1250" t="inlineStr">
        <is>
          <t>Tipo A</t>
        </is>
      </c>
      <c r="P1250" t="inlineStr">
        <is>
          <t>26+900</t>
        </is>
      </c>
      <c r="Q1250">
        <v>26900</v>
      </c>
      <c r="R1250" t="inlineStr">
        <is>
          <t>Aberta</t>
        </is>
      </c>
      <c r="T1250" t="inlineStr">
        <is>
          <t>Aline Batista</t>
        </is>
      </c>
      <c r="U1250" t="inlineStr">
        <is>
          <t>15/05/2026</t>
        </is>
      </c>
      <c r="V1250" t="inlineStr">
        <is>
          <t>22/05/2026</t>
        </is>
      </c>
      <c r="W1250">
        <v>19</v>
      </c>
      <c r="AA1250" t="inlineStr">
        <is>
          <t>Aberta -30 dias</t>
        </is>
      </c>
      <c r="AB1250" t="inlineStr">
        <is>
          <t>EMPA</t>
        </is>
      </c>
      <c r="AC1250" t="inlineStr">
        <is>
          <t>Aline</t>
        </is>
      </c>
      <c r="AD1250" t="inlineStr">
        <is>
          <t>20/07/2026</t>
        </is>
      </c>
      <c r="AE1250" t="inlineStr">
        <is>
          <t>31/07/2026</t>
        </is>
      </c>
      <c r="AF1250" t="inlineStr">
        <is>
          <t>Prazo Premissa VALE</t>
        </is>
      </c>
    </row>
    <row r="1251">
      <c r="A1251">
        <v>1249</v>
      </c>
      <c r="B1251">
        <v>1</v>
      </c>
      <c r="C1251" t="inlineStr">
        <is>
          <t>1.3</t>
        </is>
      </c>
      <c r="D1251" t="inlineStr">
        <is>
          <t>GERAL</t>
        </is>
      </c>
      <c r="F1251" t="inlineStr">
        <is>
          <t>EMPA</t>
        </is>
      </c>
      <c r="G1251" t="inlineStr">
        <is>
          <t>CLP-017</t>
        </is>
      </c>
      <c r="H1251" t="inlineStr">
        <is>
          <t>Protocolo</t>
        </is>
      </c>
      <c r="I1251">
        <v>6</v>
      </c>
      <c r="J1251" t="inlineStr">
        <is>
          <t>Drenagem Superficial</t>
        </is>
      </c>
      <c r="K1251" t="inlineStr">
        <is>
          <t>6.14</t>
        </is>
      </c>
      <c r="L1251" t="inlineStr">
        <is>
          <t xml:space="preserve">As built </t>
        </is>
      </c>
      <c r="M1251" t="inlineStr">
        <is>
          <t>Documental</t>
        </is>
      </c>
      <c r="N1251" t="inlineStr">
        <is>
          <t xml:space="preserve">Pendente aprovação de Data Book
(As Built, controle tecnológico, certificados de qualidade, RNC)</t>
        </is>
      </c>
      <c r="O1251" t="inlineStr">
        <is>
          <t>Tipo B</t>
        </is>
      </c>
      <c r="P1251" t="inlineStr">
        <is>
          <t>23+600</t>
        </is>
      </c>
      <c r="Q1251" t="inlineStr">
        <is>
          <t>31+800</t>
        </is>
      </c>
      <c r="R1251" t="inlineStr">
        <is>
          <t>Aberta</t>
        </is>
      </c>
      <c r="T1251" t="inlineStr">
        <is>
          <t>Aline Batista</t>
        </is>
      </c>
      <c r="U1251" t="inlineStr">
        <is>
          <t>15/05/2026</t>
        </is>
      </c>
      <c r="V1251" t="inlineStr">
        <is>
          <t>30/05/2026</t>
        </is>
      </c>
      <c r="W1251">
        <v>11</v>
      </c>
      <c r="AA1251" t="inlineStr">
        <is>
          <t>Aberta -30 dias</t>
        </is>
      </c>
      <c r="AB1251" t="inlineStr">
        <is>
          <t>EMPA</t>
        </is>
      </c>
      <c r="AC1251" t="inlineStr">
        <is>
          <t>Aline</t>
        </is>
      </c>
      <c r="AD1251" t="inlineStr">
        <is>
          <t>20/07/2026</t>
        </is>
      </c>
      <c r="AE1251" t="inlineStr">
        <is>
          <t>31/07/2026</t>
        </is>
      </c>
      <c r="AF1251" t="inlineStr">
        <is>
          <t>Prazo premissa VALE</t>
        </is>
      </c>
    </row>
    <row r="1252">
      <c r="A1252">
        <v>1250</v>
      </c>
      <c r="B1252">
        <v>1</v>
      </c>
      <c r="C1252" t="inlineStr">
        <is>
          <t>1.3</t>
        </is>
      </c>
      <c r="D1252" t="inlineStr">
        <is>
          <t>GERAL</t>
        </is>
      </c>
      <c r="E1252" t="inlineStr">
        <is>
          <t>-</t>
        </is>
      </c>
      <c r="F1252" t="inlineStr">
        <is>
          <t>EMPA</t>
        </is>
      </c>
      <c r="G1252" t="inlineStr">
        <is>
          <t>CLP-017</t>
        </is>
      </c>
      <c r="H1252" t="inlineStr">
        <is>
          <t>Protocolo</t>
        </is>
      </c>
      <c r="I1252">
        <v>6</v>
      </c>
      <c r="J1252" t="inlineStr">
        <is>
          <t>Drenagem Superficial</t>
        </is>
      </c>
      <c r="K1252" t="inlineStr">
        <is>
          <t>6.16</t>
        </is>
      </c>
      <c r="L1252" t="inlineStr">
        <is>
          <t>RNC</t>
        </is>
      </c>
      <c r="M1252" t="inlineStr">
        <is>
          <t>Documental</t>
        </is>
      </c>
      <c r="N1252" t="inlineStr">
        <is>
          <t xml:space="preserve">Constam em aberto os seguintes refenrente a dreangem:
 RNC-00545/26
RNC-02196/26
RNC-02598/26
RNC-02629/26
RNC-02841/26
RNC-06851/25</t>
        </is>
      </c>
      <c r="O1252" t="inlineStr">
        <is>
          <t>Tipo B</t>
        </is>
      </c>
      <c r="P1252" t="inlineStr">
        <is>
          <t>-</t>
        </is>
      </c>
      <c r="Q1252" t="inlineStr">
        <is>
          <t>-</t>
        </is>
      </c>
      <c r="R1252" t="inlineStr">
        <is>
          <t>Aberta</t>
        </is>
      </c>
      <c r="T1252" t="inlineStr">
        <is>
          <t>Aline Batista</t>
        </is>
      </c>
      <c r="U1252" t="inlineStr">
        <is>
          <t>15/05/2026</t>
        </is>
      </c>
      <c r="V1252" t="inlineStr">
        <is>
          <t>30/05/2026</t>
        </is>
      </c>
      <c r="W1252">
        <v>11</v>
      </c>
      <c r="AA1252" t="inlineStr">
        <is>
          <t>Aberta -30 dias</t>
        </is>
      </c>
      <c r="AB1252" t="inlineStr">
        <is>
          <t>EMPA</t>
        </is>
      </c>
      <c r="AC1252" t="inlineStr">
        <is>
          <t>Aline</t>
        </is>
      </c>
      <c r="AE1252" t="inlineStr">
        <is>
          <t>19/06/2026</t>
        </is>
      </c>
      <c r="AF1252" t="inlineStr">
        <is>
          <t>Ata de reunião de RM p/ BK</t>
        </is>
      </c>
    </row>
    <row r="1253">
      <c r="A1253">
        <v>1251</v>
      </c>
      <c r="B1253">
        <v>1</v>
      </c>
      <c r="C1253" t="inlineStr">
        <is>
          <t>1.3</t>
        </is>
      </c>
      <c r="D1253" t="inlineStr">
        <is>
          <t>A47</t>
        </is>
      </c>
      <c r="F1253" t="inlineStr">
        <is>
          <t>EMPA</t>
        </is>
      </c>
      <c r="G1253" t="inlineStr">
        <is>
          <t>CLP-017</t>
        </is>
      </c>
      <c r="H1253" t="inlineStr">
        <is>
          <t>Protocolo</t>
        </is>
      </c>
      <c r="I1253">
        <v>6</v>
      </c>
      <c r="J1253" t="inlineStr">
        <is>
          <t>Drenagem Superficial</t>
        </is>
      </c>
      <c r="K1253" t="inlineStr">
        <is>
          <t>6.2</t>
        </is>
      </c>
      <c r="L1253" t="inlineStr">
        <is>
          <t>STA 01</t>
        </is>
      </c>
      <c r="M1253" t="inlineStr">
        <is>
          <t>Dispositivo não executado</t>
        </is>
      </c>
      <c r="N1253" t="inlineStr">
        <is>
          <t>STA não executada.</t>
        </is>
      </c>
      <c r="O1253" t="inlineStr">
        <is>
          <t>Tipo A</t>
        </is>
      </c>
      <c r="P1253" t="inlineStr">
        <is>
          <t xml:space="preserve">0+095
(Acesso km 26+828)</t>
        </is>
      </c>
      <c r="Q1253" t="inlineStr">
        <is>
          <t xml:space="preserve">0+150
(Acesso km 26+828)</t>
        </is>
      </c>
      <c r="R1253" t="inlineStr">
        <is>
          <t>Aberta</t>
        </is>
      </c>
      <c r="T1253" t="inlineStr">
        <is>
          <t>Aline Batista</t>
        </is>
      </c>
      <c r="U1253" t="inlineStr">
        <is>
          <t>15/05/2026</t>
        </is>
      </c>
      <c r="V1253" t="inlineStr">
        <is>
          <t>22/05/2026</t>
        </is>
      </c>
      <c r="W1253">
        <v>19</v>
      </c>
      <c r="AA1253" t="inlineStr">
        <is>
          <t>Aberta -30 dias</t>
        </is>
      </c>
      <c r="AB1253" t="inlineStr">
        <is>
          <t>EMPA</t>
        </is>
      </c>
      <c r="AC1253" t="inlineStr">
        <is>
          <t>Aline</t>
        </is>
      </c>
      <c r="AD1253" t="inlineStr">
        <is>
          <t>20/07/2026</t>
        </is>
      </c>
      <c r="AE1253" t="inlineStr">
        <is>
          <t>31/07/2026</t>
        </is>
      </c>
      <c r="AF1253" t="inlineStr">
        <is>
          <t>Prazo Premissa VALE</t>
        </is>
      </c>
    </row>
    <row r="1254">
      <c r="A1254">
        <v>1252</v>
      </c>
      <c r="B1254">
        <v>1</v>
      </c>
      <c r="C1254" t="inlineStr">
        <is>
          <t>1.3</t>
        </is>
      </c>
      <c r="D1254" t="inlineStr">
        <is>
          <t>A47</t>
        </is>
      </c>
      <c r="F1254" t="inlineStr">
        <is>
          <t>EMPA</t>
        </is>
      </c>
      <c r="G1254" t="inlineStr">
        <is>
          <t>CLP-017</t>
        </is>
      </c>
      <c r="H1254" t="inlineStr">
        <is>
          <t>Protocolo</t>
        </is>
      </c>
      <c r="I1254">
        <v>6</v>
      </c>
      <c r="J1254" t="inlineStr">
        <is>
          <t>Drenagem Superficial</t>
        </is>
      </c>
      <c r="K1254" t="inlineStr">
        <is>
          <t>6.2</t>
        </is>
      </c>
      <c r="L1254" t="inlineStr">
        <is>
          <t>CZB 01</t>
        </is>
      </c>
      <c r="M1254" t="inlineStr">
        <is>
          <t>Dispositivo não executado</t>
        </is>
      </c>
      <c r="N1254" t="inlineStr">
        <is>
          <t>CZB não executada.</t>
        </is>
      </c>
      <c r="O1254" t="inlineStr">
        <is>
          <t>Tipo A</t>
        </is>
      </c>
      <c r="P1254" t="inlineStr">
        <is>
          <t>27+240</t>
        </is>
      </c>
      <c r="Q1254" t="inlineStr">
        <is>
          <t>27+375</t>
        </is>
      </c>
      <c r="R1254" t="inlineStr">
        <is>
          <t>Aberta</t>
        </is>
      </c>
      <c r="T1254" t="inlineStr">
        <is>
          <t>Aline Batista</t>
        </is>
      </c>
      <c r="U1254" t="inlineStr">
        <is>
          <t>15/05/2026</t>
        </is>
      </c>
      <c r="V1254" t="inlineStr">
        <is>
          <t>22/05/2026</t>
        </is>
      </c>
      <c r="W1254">
        <v>19</v>
      </c>
      <c r="AA1254" t="inlineStr">
        <is>
          <t>Aberta -30 dias</t>
        </is>
      </c>
      <c r="AB1254" t="inlineStr">
        <is>
          <t>EMPA</t>
        </is>
      </c>
      <c r="AC1254" t="inlineStr">
        <is>
          <t>Aline</t>
        </is>
      </c>
      <c r="AD1254" t="inlineStr">
        <is>
          <t>03/08/2026</t>
        </is>
      </c>
      <c r="AE1254" t="inlineStr">
        <is>
          <t>14/08/2026</t>
        </is>
      </c>
      <c r="AF1254" t="inlineStr">
        <is>
          <t>Prazo premissa VALE</t>
        </is>
      </c>
    </row>
    <row r="1255">
      <c r="A1255">
        <v>1253</v>
      </c>
      <c r="B1255">
        <v>1</v>
      </c>
      <c r="C1255" t="inlineStr">
        <is>
          <t>1.3</t>
        </is>
      </c>
      <c r="D1255" t="inlineStr">
        <is>
          <t>A47</t>
        </is>
      </c>
      <c r="F1255" t="inlineStr">
        <is>
          <t>EMPA</t>
        </is>
      </c>
      <c r="G1255" t="inlineStr">
        <is>
          <t>CLP-017</t>
        </is>
      </c>
      <c r="H1255" t="inlineStr">
        <is>
          <t>Protocolo</t>
        </is>
      </c>
      <c r="I1255">
        <v>6</v>
      </c>
      <c r="J1255" t="inlineStr">
        <is>
          <t>Drenagem Superficial</t>
        </is>
      </c>
      <c r="K1255" t="inlineStr">
        <is>
          <t>6.2</t>
        </is>
      </c>
      <c r="L1255" t="inlineStr">
        <is>
          <t>CZB 02</t>
        </is>
      </c>
      <c r="M1255" t="inlineStr">
        <is>
          <t>Dispositivo não executado</t>
        </is>
      </c>
      <c r="N1255" t="inlineStr">
        <is>
          <t>CZB não executada.</t>
        </is>
      </c>
      <c r="O1255" t="inlineStr">
        <is>
          <t>Tipo A</t>
        </is>
      </c>
      <c r="P1255" t="inlineStr">
        <is>
          <t>27+375</t>
        </is>
      </c>
      <c r="Q1255" t="inlineStr">
        <is>
          <t>27+650</t>
        </is>
      </c>
      <c r="R1255" t="inlineStr">
        <is>
          <t>Aberta</t>
        </is>
      </c>
      <c r="T1255" t="inlineStr">
        <is>
          <t>Aline Batista</t>
        </is>
      </c>
      <c r="U1255" t="inlineStr">
        <is>
          <t>15/05/2026</t>
        </is>
      </c>
      <c r="V1255" t="inlineStr">
        <is>
          <t>22/05/2026</t>
        </is>
      </c>
      <c r="W1255">
        <v>19</v>
      </c>
      <c r="AA1255" t="inlineStr">
        <is>
          <t>Aberta -30 dias</t>
        </is>
      </c>
      <c r="AB1255" t="inlineStr">
        <is>
          <t>EMPA</t>
        </is>
      </c>
      <c r="AC1255" t="inlineStr">
        <is>
          <t>Aline</t>
        </is>
      </c>
      <c r="AD1255" t="inlineStr">
        <is>
          <t>03/08/2026</t>
        </is>
      </c>
      <c r="AE1255" t="inlineStr">
        <is>
          <t>14/08/2026</t>
        </is>
      </c>
      <c r="AF1255" t="inlineStr">
        <is>
          <t>Prazo premissa VALE</t>
        </is>
      </c>
    </row>
    <row r="1256">
      <c r="A1256">
        <v>1254</v>
      </c>
      <c r="B1256">
        <v>1</v>
      </c>
      <c r="C1256" t="inlineStr">
        <is>
          <t>1.3</t>
        </is>
      </c>
      <c r="D1256" t="inlineStr">
        <is>
          <t>A47</t>
        </is>
      </c>
      <c r="F1256" t="inlineStr">
        <is>
          <t>EMPA</t>
        </is>
      </c>
      <c r="G1256" t="inlineStr">
        <is>
          <t>CLP-017</t>
        </is>
      </c>
      <c r="H1256" t="inlineStr">
        <is>
          <t>Protocolo</t>
        </is>
      </c>
      <c r="I1256">
        <v>6</v>
      </c>
      <c r="J1256" t="inlineStr">
        <is>
          <t>Drenagem Superficial</t>
        </is>
      </c>
      <c r="K1256" t="inlineStr">
        <is>
          <t>6.2</t>
        </is>
      </c>
      <c r="L1256" t="inlineStr">
        <is>
          <t>CZB 02</t>
        </is>
      </c>
      <c r="M1256" t="inlineStr">
        <is>
          <t>Dispositivo não executado</t>
        </is>
      </c>
      <c r="N1256" t="inlineStr">
        <is>
          <t>CZB não executada.</t>
        </is>
      </c>
      <c r="O1256" t="inlineStr">
        <is>
          <t>Tipo A</t>
        </is>
      </c>
      <c r="P1256" t="inlineStr">
        <is>
          <t>27+650</t>
        </is>
      </c>
      <c r="Q1256" t="inlineStr">
        <is>
          <t>27+950</t>
        </is>
      </c>
      <c r="R1256" t="inlineStr">
        <is>
          <t>Aberta</t>
        </is>
      </c>
      <c r="T1256" t="inlineStr">
        <is>
          <t>Aline Batista</t>
        </is>
      </c>
      <c r="U1256" t="inlineStr">
        <is>
          <t>15/05/2026</t>
        </is>
      </c>
      <c r="V1256" t="inlineStr">
        <is>
          <t>22/05/2026</t>
        </is>
      </c>
      <c r="W1256">
        <v>19</v>
      </c>
      <c r="AA1256" t="inlineStr">
        <is>
          <t>Aberta -30 dias</t>
        </is>
      </c>
      <c r="AB1256" t="inlineStr">
        <is>
          <t>EMPA</t>
        </is>
      </c>
      <c r="AC1256" t="inlineStr">
        <is>
          <t>Aline</t>
        </is>
      </c>
      <c r="AD1256" t="inlineStr">
        <is>
          <t>03/08/2026</t>
        </is>
      </c>
      <c r="AE1256" t="inlineStr">
        <is>
          <t>14/08/2026</t>
        </is>
      </c>
      <c r="AF1256" t="inlineStr">
        <is>
          <t>Prazo premissa VALE</t>
        </is>
      </c>
    </row>
    <row r="1257">
      <c r="A1257">
        <v>1255</v>
      </c>
      <c r="B1257">
        <v>1</v>
      </c>
      <c r="C1257" t="inlineStr">
        <is>
          <t>1.3</t>
        </is>
      </c>
      <c r="D1257" t="inlineStr">
        <is>
          <t>A47</t>
        </is>
      </c>
      <c r="F1257" t="inlineStr">
        <is>
          <t>EMPA</t>
        </is>
      </c>
      <c r="G1257" t="inlineStr">
        <is>
          <t>CLP-017</t>
        </is>
      </c>
      <c r="H1257" t="inlineStr">
        <is>
          <t>Protocolo</t>
        </is>
      </c>
      <c r="I1257">
        <v>6</v>
      </c>
      <c r="J1257" t="inlineStr">
        <is>
          <t>Drenagem Superficial</t>
        </is>
      </c>
      <c r="K1257" t="inlineStr">
        <is>
          <t>6.2</t>
        </is>
      </c>
      <c r="L1257" t="inlineStr">
        <is>
          <t>CZB 02</t>
        </is>
      </c>
      <c r="M1257" t="inlineStr">
        <is>
          <t>Dispositivo não executado</t>
        </is>
      </c>
      <c r="N1257" t="inlineStr">
        <is>
          <t>CZB não executada.</t>
        </is>
      </c>
      <c r="O1257" t="inlineStr">
        <is>
          <t>Tipo A</t>
        </is>
      </c>
      <c r="P1257" t="inlineStr">
        <is>
          <t>27+950</t>
        </is>
      </c>
      <c r="Q1257" t="inlineStr">
        <is>
          <t>28+200</t>
        </is>
      </c>
      <c r="R1257" t="inlineStr">
        <is>
          <t>Aberta</t>
        </is>
      </c>
      <c r="T1257" t="inlineStr">
        <is>
          <t>Aline Batista</t>
        </is>
      </c>
      <c r="U1257" t="inlineStr">
        <is>
          <t>15/05/2026</t>
        </is>
      </c>
      <c r="V1257" t="inlineStr">
        <is>
          <t>22/05/2026</t>
        </is>
      </c>
      <c r="W1257">
        <v>19</v>
      </c>
      <c r="AA1257" t="inlineStr">
        <is>
          <t>Aberta -30 dias</t>
        </is>
      </c>
      <c r="AB1257" t="inlineStr">
        <is>
          <t>EMPA</t>
        </is>
      </c>
      <c r="AC1257" t="inlineStr">
        <is>
          <t>Aline</t>
        </is>
      </c>
      <c r="AD1257" t="inlineStr">
        <is>
          <t>03/08/2026</t>
        </is>
      </c>
      <c r="AE1257" t="inlineStr">
        <is>
          <t>14/08/2026</t>
        </is>
      </c>
      <c r="AF1257" t="inlineStr">
        <is>
          <t>Prazo premissa VALE</t>
        </is>
      </c>
    </row>
    <row r="1258">
      <c r="A1258">
        <v>1256</v>
      </c>
      <c r="B1258">
        <v>1</v>
      </c>
      <c r="C1258" t="inlineStr">
        <is>
          <t>1.3</t>
        </is>
      </c>
      <c r="D1258" t="inlineStr">
        <is>
          <t>A47</t>
        </is>
      </c>
      <c r="F1258" t="inlineStr">
        <is>
          <t>EMPA</t>
        </is>
      </c>
      <c r="G1258" t="inlineStr">
        <is>
          <t>CLP-017</t>
        </is>
      </c>
      <c r="H1258" t="inlineStr">
        <is>
          <t>Protocolo</t>
        </is>
      </c>
      <c r="I1258">
        <v>6</v>
      </c>
      <c r="J1258" t="inlineStr">
        <is>
          <t>Drenagem Superficial</t>
        </is>
      </c>
      <c r="K1258" t="inlineStr">
        <is>
          <t>6.2</t>
        </is>
      </c>
      <c r="L1258" t="inlineStr">
        <is>
          <t>CZB 01</t>
        </is>
      </c>
      <c r="M1258" t="inlineStr">
        <is>
          <t>Dispositivo não executado</t>
        </is>
      </c>
      <c r="N1258" t="inlineStr">
        <is>
          <t>CZB não executada.</t>
        </is>
      </c>
      <c r="O1258" t="inlineStr">
        <is>
          <t>Tipo A</t>
        </is>
      </c>
      <c r="P1258" t="inlineStr">
        <is>
          <t>27+455</t>
        </is>
      </c>
      <c r="Q1258" t="inlineStr">
        <is>
          <t>27+612</t>
        </is>
      </c>
      <c r="R1258" t="inlineStr">
        <is>
          <t>Aberta</t>
        </is>
      </c>
      <c r="T1258" t="inlineStr">
        <is>
          <t>Aline Batista</t>
        </is>
      </c>
      <c r="U1258" t="inlineStr">
        <is>
          <t>15/05/2026</t>
        </is>
      </c>
      <c r="V1258" t="inlineStr">
        <is>
          <t>22/05/2026</t>
        </is>
      </c>
      <c r="W1258">
        <v>19</v>
      </c>
      <c r="AA1258" t="inlineStr">
        <is>
          <t>Aberta -30 dias</t>
        </is>
      </c>
      <c r="AB1258" t="inlineStr">
        <is>
          <t>EMPA</t>
        </is>
      </c>
      <c r="AC1258" t="inlineStr">
        <is>
          <t>Aline</t>
        </is>
      </c>
      <c r="AD1258" t="inlineStr">
        <is>
          <t>03/08/2026</t>
        </is>
      </c>
      <c r="AE1258" t="inlineStr">
        <is>
          <t>14/08/2026</t>
        </is>
      </c>
      <c r="AF1258" t="inlineStr">
        <is>
          <t>Prazo premissa VALE</t>
        </is>
      </c>
    </row>
    <row r="1259">
      <c r="A1259">
        <v>1257</v>
      </c>
      <c r="B1259">
        <v>1</v>
      </c>
      <c r="C1259" t="inlineStr">
        <is>
          <t>1.3</t>
        </is>
      </c>
      <c r="D1259" t="inlineStr">
        <is>
          <t>A47</t>
        </is>
      </c>
      <c r="F1259" t="inlineStr">
        <is>
          <t>EMPA</t>
        </is>
      </c>
      <c r="G1259" t="inlineStr">
        <is>
          <t>CLP-017</t>
        </is>
      </c>
      <c r="H1259" t="inlineStr">
        <is>
          <t>Protocolo</t>
        </is>
      </c>
      <c r="I1259">
        <v>6</v>
      </c>
      <c r="J1259" t="inlineStr">
        <is>
          <t>Drenagem Superficial</t>
        </is>
      </c>
      <c r="K1259" t="inlineStr">
        <is>
          <t>6.2</t>
        </is>
      </c>
      <c r="L1259" t="inlineStr">
        <is>
          <t>CZB 01</t>
        </is>
      </c>
      <c r="M1259" t="inlineStr">
        <is>
          <t>Dispositivo não executado</t>
        </is>
      </c>
      <c r="N1259" t="inlineStr">
        <is>
          <t>CZB não executada.</t>
        </is>
      </c>
      <c r="O1259" t="inlineStr">
        <is>
          <t>Tipo A</t>
        </is>
      </c>
      <c r="P1259" t="inlineStr">
        <is>
          <t>27+872</t>
        </is>
      </c>
      <c r="Q1259" t="inlineStr">
        <is>
          <t>27+891</t>
        </is>
      </c>
      <c r="R1259" t="inlineStr">
        <is>
          <t>Aberta</t>
        </is>
      </c>
      <c r="T1259" t="inlineStr">
        <is>
          <t>Aline Batista</t>
        </is>
      </c>
      <c r="U1259" t="inlineStr">
        <is>
          <t>15/05/2026</t>
        </is>
      </c>
      <c r="V1259" t="inlineStr">
        <is>
          <t>22/05/2026</t>
        </is>
      </c>
      <c r="W1259">
        <v>19</v>
      </c>
      <c r="AA1259" t="inlineStr">
        <is>
          <t>Aberta -30 dias</t>
        </is>
      </c>
      <c r="AB1259" t="inlineStr">
        <is>
          <t>EMPA</t>
        </is>
      </c>
      <c r="AC1259" t="inlineStr">
        <is>
          <t>Aline</t>
        </is>
      </c>
      <c r="AD1259" t="inlineStr">
        <is>
          <t>03/08/2026</t>
        </is>
      </c>
      <c r="AE1259" t="inlineStr">
        <is>
          <t>14/08/2026</t>
        </is>
      </c>
      <c r="AF1259" t="inlineStr">
        <is>
          <t>Prazo premissa VALE</t>
        </is>
      </c>
    </row>
    <row r="1260">
      <c r="A1260">
        <v>1258</v>
      </c>
      <c r="B1260">
        <v>1</v>
      </c>
      <c r="C1260" t="inlineStr">
        <is>
          <t>1.3</t>
        </is>
      </c>
      <c r="D1260" t="inlineStr">
        <is>
          <t>A47</t>
        </is>
      </c>
      <c r="F1260" t="inlineStr">
        <is>
          <t>EMPA</t>
        </is>
      </c>
      <c r="G1260" t="inlineStr">
        <is>
          <t>CLP-017</t>
        </is>
      </c>
      <c r="H1260" t="inlineStr">
        <is>
          <t>Protocolo</t>
        </is>
      </c>
      <c r="I1260">
        <v>6</v>
      </c>
      <c r="J1260" t="inlineStr">
        <is>
          <t>Drenagem Superficial</t>
        </is>
      </c>
      <c r="K1260" t="inlineStr">
        <is>
          <t>6.2</t>
        </is>
      </c>
      <c r="L1260" t="inlineStr">
        <is>
          <t>CZB 01</t>
        </is>
      </c>
      <c r="M1260" t="inlineStr">
        <is>
          <t>Dispositivo não executado</t>
        </is>
      </c>
      <c r="N1260" t="inlineStr">
        <is>
          <t>CZB não executada.</t>
        </is>
      </c>
      <c r="O1260" t="inlineStr">
        <is>
          <t>Tipo A</t>
        </is>
      </c>
      <c r="P1260" t="inlineStr">
        <is>
          <t>27+655</t>
        </is>
      </c>
      <c r="Q1260" t="inlineStr">
        <is>
          <t>27+862</t>
        </is>
      </c>
      <c r="R1260" t="inlineStr">
        <is>
          <t>Aberta</t>
        </is>
      </c>
      <c r="T1260" t="inlineStr">
        <is>
          <t>Aline Batista</t>
        </is>
      </c>
      <c r="U1260" t="inlineStr">
        <is>
          <t>15/05/2026</t>
        </is>
      </c>
      <c r="V1260" t="inlineStr">
        <is>
          <t>22/05/2026</t>
        </is>
      </c>
      <c r="W1260">
        <v>19</v>
      </c>
      <c r="AA1260" t="inlineStr">
        <is>
          <t>Aberta -30 dias</t>
        </is>
      </c>
      <c r="AB1260" t="inlineStr">
        <is>
          <t>EMPA</t>
        </is>
      </c>
      <c r="AC1260" t="inlineStr">
        <is>
          <t>Aline</t>
        </is>
      </c>
      <c r="AD1260" t="inlineStr">
        <is>
          <t>03/08/2026</t>
        </is>
      </c>
      <c r="AE1260" t="inlineStr">
        <is>
          <t>14/08/2026</t>
        </is>
      </c>
      <c r="AF1260" t="inlineStr">
        <is>
          <t>Prazo premissa VALE</t>
        </is>
      </c>
    </row>
    <row r="1261">
      <c r="A1261">
        <v>1259</v>
      </c>
      <c r="B1261">
        <v>1</v>
      </c>
      <c r="C1261" t="inlineStr">
        <is>
          <t>1.3</t>
        </is>
      </c>
      <c r="D1261" t="inlineStr">
        <is>
          <t>A47</t>
        </is>
      </c>
      <c r="F1261" t="inlineStr">
        <is>
          <t>EMPA</t>
        </is>
      </c>
      <c r="G1261" t="inlineStr">
        <is>
          <t>CLP-017</t>
        </is>
      </c>
      <c r="H1261" t="inlineStr">
        <is>
          <t>Protocolo</t>
        </is>
      </c>
      <c r="I1261">
        <v>6</v>
      </c>
      <c r="J1261" t="inlineStr">
        <is>
          <t>Drenagem Superficial</t>
        </is>
      </c>
      <c r="K1261" t="inlineStr">
        <is>
          <t>6.2</t>
        </is>
      </c>
      <c r="L1261" t="inlineStr">
        <is>
          <t>CZB 01</t>
        </is>
      </c>
      <c r="M1261" t="inlineStr">
        <is>
          <t>Dispositivo não executado</t>
        </is>
      </c>
      <c r="N1261" t="inlineStr">
        <is>
          <t>CZB não executada.</t>
        </is>
      </c>
      <c r="O1261" t="inlineStr">
        <is>
          <t>Tipo A</t>
        </is>
      </c>
      <c r="P1261" t="inlineStr">
        <is>
          <t>27+950</t>
        </is>
      </c>
      <c r="Q1261" t="inlineStr">
        <is>
          <t>28+108</t>
        </is>
      </c>
      <c r="R1261" t="inlineStr">
        <is>
          <t>Aberta</t>
        </is>
      </c>
      <c r="T1261" t="inlineStr">
        <is>
          <t>Aline Batista</t>
        </is>
      </c>
      <c r="U1261" t="inlineStr">
        <is>
          <t>15/05/2026</t>
        </is>
      </c>
      <c r="V1261" t="inlineStr">
        <is>
          <t>22/05/2026</t>
        </is>
      </c>
      <c r="W1261">
        <v>19</v>
      </c>
      <c r="AA1261" t="inlineStr">
        <is>
          <t>Aberta -30 dias</t>
        </is>
      </c>
      <c r="AB1261" t="inlineStr">
        <is>
          <t>EMPA</t>
        </is>
      </c>
      <c r="AC1261" t="inlineStr">
        <is>
          <t>Aline</t>
        </is>
      </c>
      <c r="AD1261" t="inlineStr">
        <is>
          <t>03/08/2026</t>
        </is>
      </c>
      <c r="AE1261" t="inlineStr">
        <is>
          <t>14/08/2026</t>
        </is>
      </c>
      <c r="AF1261" t="inlineStr">
        <is>
          <t>Prazo premissa VALE</t>
        </is>
      </c>
    </row>
    <row r="1262">
      <c r="A1262">
        <v>1260</v>
      </c>
      <c r="B1262">
        <v>1</v>
      </c>
      <c r="C1262" t="inlineStr">
        <is>
          <t>1.3</t>
        </is>
      </c>
      <c r="D1262" t="inlineStr">
        <is>
          <t>C43</t>
        </is>
      </c>
      <c r="E1262" t="inlineStr">
        <is>
          <t>LE</t>
        </is>
      </c>
      <c r="F1262" t="inlineStr">
        <is>
          <t>EMPA</t>
        </is>
      </c>
      <c r="G1262" t="inlineStr">
        <is>
          <t>CLP-017</t>
        </is>
      </c>
      <c r="H1262" t="inlineStr">
        <is>
          <t>Protocolo</t>
        </is>
      </c>
      <c r="I1262">
        <v>6</v>
      </c>
      <c r="J1262" t="inlineStr">
        <is>
          <t>Drenagem Superficial</t>
        </is>
      </c>
      <c r="K1262" t="inlineStr">
        <is>
          <t>6.3/6.5</t>
        </is>
      </c>
      <c r="L1262" t="inlineStr">
        <is>
          <t>VPC</t>
        </is>
      </c>
      <c r="M1262" t="inlineStr">
        <is>
          <t>Dispositivo não executado</t>
        </is>
      </c>
      <c r="N1262" t="inlineStr">
        <is>
          <t>Drenagem de acesso lado esquerdo não finalizada.</t>
        </is>
      </c>
      <c r="O1262" t="inlineStr">
        <is>
          <t>Tipo A</t>
        </is>
      </c>
      <c r="P1262" t="inlineStr">
        <is>
          <t>23+700</t>
        </is>
      </c>
      <c r="Q1262">
        <v>23700</v>
      </c>
      <c r="R1262" t="inlineStr">
        <is>
          <t>Aberta</t>
        </is>
      </c>
      <c r="T1262" t="inlineStr">
        <is>
          <t>Aline Batista</t>
        </is>
      </c>
      <c r="U1262" t="inlineStr">
        <is>
          <t>15/05/2026</t>
        </is>
      </c>
      <c r="V1262" t="inlineStr">
        <is>
          <t>22/05/2026</t>
        </is>
      </c>
      <c r="W1262">
        <v>19</v>
      </c>
      <c r="AA1262" t="inlineStr">
        <is>
          <t>Aberta -30 dias</t>
        </is>
      </c>
      <c r="AB1262" t="inlineStr">
        <is>
          <t>CT-REMANESCENTE</t>
        </is>
      </c>
      <c r="AC1262" t="inlineStr">
        <is>
          <t>Aline</t>
        </is>
      </c>
      <c r="AD1262" t="inlineStr">
        <is>
          <t>15/08/2026</t>
        </is>
      </c>
      <c r="AE1262" t="inlineStr">
        <is>
          <t>25/09/2026</t>
        </is>
      </c>
      <c r="AF1262" t="inlineStr">
        <is>
          <t>Prazo Premissa VALE</t>
        </is>
      </c>
    </row>
    <row r="1263">
      <c r="A1263">
        <v>1261</v>
      </c>
      <c r="B1263">
        <v>1</v>
      </c>
      <c r="C1263" t="inlineStr">
        <is>
          <t>1.3</t>
        </is>
      </c>
      <c r="D1263" t="inlineStr">
        <is>
          <t>A48</t>
        </is>
      </c>
      <c r="E1263" t="inlineStr">
        <is>
          <t>LD /LE</t>
        </is>
      </c>
      <c r="F1263" t="inlineStr">
        <is>
          <t>EMPA</t>
        </is>
      </c>
      <c r="G1263" t="inlineStr">
        <is>
          <t>CLP-017</t>
        </is>
      </c>
      <c r="H1263" t="inlineStr">
        <is>
          <t>Protocolo</t>
        </is>
      </c>
      <c r="I1263">
        <v>6</v>
      </c>
      <c r="J1263" t="inlineStr">
        <is>
          <t>Drenagem Superficial</t>
        </is>
      </c>
      <c r="K1263" t="inlineStr">
        <is>
          <t>6.3</t>
        </is>
      </c>
      <c r="L1263" t="inlineStr">
        <is>
          <t>DRA</t>
        </is>
      </c>
      <c r="M1263" t="inlineStr">
        <is>
          <t>Dispositivo não executado</t>
        </is>
      </c>
      <c r="N1263" t="inlineStr">
        <is>
          <t>Pendente conclusão de descida d'água</t>
        </is>
      </c>
      <c r="O1263" t="inlineStr">
        <is>
          <t>Tipo A</t>
        </is>
      </c>
      <c r="P1263" t="inlineStr">
        <is>
          <t>30+260</t>
        </is>
      </c>
      <c r="Q1263">
        <v>30260</v>
      </c>
      <c r="R1263" t="inlineStr">
        <is>
          <t>Aberta</t>
        </is>
      </c>
      <c r="T1263" t="inlineStr">
        <is>
          <t>Aline Batista</t>
        </is>
      </c>
      <c r="U1263" t="inlineStr">
        <is>
          <t>15/05/2026</t>
        </is>
      </c>
      <c r="V1263" t="inlineStr">
        <is>
          <t>22/05/2026</t>
        </is>
      </c>
      <c r="W1263">
        <v>19</v>
      </c>
      <c r="AA1263" t="inlineStr">
        <is>
          <t>Aberta -30 dias</t>
        </is>
      </c>
      <c r="AB1263" t="inlineStr">
        <is>
          <t>EMPA</t>
        </is>
      </c>
      <c r="AC1263" t="inlineStr">
        <is>
          <t>Aline</t>
        </is>
      </c>
      <c r="AD1263" t="inlineStr">
        <is>
          <t>17/08/2026</t>
        </is>
      </c>
      <c r="AE1263" t="inlineStr">
        <is>
          <t>28/08/2026</t>
        </is>
      </c>
      <c r="AF1263" t="inlineStr">
        <is>
          <t>Prazo Premissa VALE</t>
        </is>
      </c>
    </row>
    <row r="1264">
      <c r="A1264">
        <v>1262</v>
      </c>
      <c r="B1264">
        <v>1</v>
      </c>
      <c r="C1264" t="inlineStr">
        <is>
          <t>1.3</t>
        </is>
      </c>
      <c r="D1264" t="inlineStr">
        <is>
          <t>A48</t>
        </is>
      </c>
      <c r="E1264" t="inlineStr">
        <is>
          <t>LE</t>
        </is>
      </c>
      <c r="F1264" t="inlineStr">
        <is>
          <t>EMPA</t>
        </is>
      </c>
      <c r="G1264" t="inlineStr">
        <is>
          <t>CLP-017</t>
        </is>
      </c>
      <c r="H1264" t="inlineStr">
        <is>
          <t>Protocolo</t>
        </is>
      </c>
      <c r="I1264">
        <v>6</v>
      </c>
      <c r="J1264" t="inlineStr">
        <is>
          <t>Drenagem Superficial</t>
        </is>
      </c>
      <c r="K1264" t="inlineStr">
        <is>
          <t>6.3</t>
        </is>
      </c>
      <c r="L1264" t="inlineStr">
        <is>
          <t>EDA</t>
        </is>
      </c>
      <c r="M1264" t="inlineStr">
        <is>
          <t>Dispositivo não executado</t>
        </is>
      </c>
      <c r="N1264" t="inlineStr">
        <is>
          <t>Pendente conclusão de ligação de canaleta a descida d'água.</t>
        </is>
      </c>
      <c r="O1264" t="inlineStr">
        <is>
          <t>Tipo A</t>
        </is>
      </c>
      <c r="P1264" t="inlineStr">
        <is>
          <t>30+140</t>
        </is>
      </c>
      <c r="Q1264">
        <v>30140</v>
      </c>
      <c r="R1264" t="inlineStr">
        <is>
          <t>Aberta</t>
        </is>
      </c>
      <c r="T1264" t="inlineStr">
        <is>
          <t>Aline Batista</t>
        </is>
      </c>
      <c r="U1264" t="inlineStr">
        <is>
          <t>15/05/2026</t>
        </is>
      </c>
      <c r="V1264" t="inlineStr">
        <is>
          <t>22/05/2026</t>
        </is>
      </c>
      <c r="W1264">
        <v>19</v>
      </c>
      <c r="AA1264" t="inlineStr">
        <is>
          <t>Aberta -30 dias</t>
        </is>
      </c>
      <c r="AB1264" t="inlineStr">
        <is>
          <t>EMPA</t>
        </is>
      </c>
      <c r="AC1264" t="inlineStr">
        <is>
          <t>Aline</t>
        </is>
      </c>
      <c r="AD1264" t="inlineStr">
        <is>
          <t>17/08/2026</t>
        </is>
      </c>
      <c r="AE1264" t="inlineStr">
        <is>
          <t>28/08/2026</t>
        </is>
      </c>
      <c r="AF1264" t="inlineStr">
        <is>
          <t>Prazo Premissa VALE</t>
        </is>
      </c>
    </row>
    <row r="1265">
      <c r="A1265">
        <v>1263</v>
      </c>
      <c r="B1265">
        <v>1</v>
      </c>
      <c r="C1265" t="inlineStr">
        <is>
          <t>1.3</t>
        </is>
      </c>
      <c r="D1265" t="inlineStr">
        <is>
          <t>C44</t>
        </is>
      </c>
      <c r="E1265" t="inlineStr">
        <is>
          <t>LE</t>
        </is>
      </c>
      <c r="F1265" t="inlineStr">
        <is>
          <t>EMPA</t>
        </is>
      </c>
      <c r="G1265" t="inlineStr">
        <is>
          <t>CLP-017</t>
        </is>
      </c>
      <c r="H1265" t="inlineStr">
        <is>
          <t>Protocolo</t>
        </is>
      </c>
      <c r="I1265">
        <v>6</v>
      </c>
      <c r="J1265" t="inlineStr">
        <is>
          <t>Drenagem Superficial</t>
        </is>
      </c>
      <c r="K1265" t="inlineStr">
        <is>
          <t>6.3/6.5</t>
        </is>
      </c>
      <c r="L1265" t="inlineStr">
        <is>
          <t>VPC</t>
        </is>
      </c>
      <c r="M1265" t="inlineStr">
        <is>
          <t>Dispositivo não executado</t>
        </is>
      </c>
      <c r="N1265" t="inlineStr">
        <is>
          <t>Presença de fissuras no dispositivo de drenagem.</t>
        </is>
      </c>
      <c r="O1265" t="inlineStr">
        <is>
          <t>Tipo A</t>
        </is>
      </c>
      <c r="P1265" t="inlineStr">
        <is>
          <t>29+480</t>
        </is>
      </c>
      <c r="Q1265" t="inlineStr">
        <is>
          <t>29+480</t>
        </is>
      </c>
      <c r="R1265" t="inlineStr">
        <is>
          <t>Aberta</t>
        </is>
      </c>
      <c r="T1265" t="inlineStr">
        <is>
          <t>Aline Batista</t>
        </is>
      </c>
      <c r="U1265" t="inlineStr">
        <is>
          <t>15/05/2026</t>
        </is>
      </c>
      <c r="V1265" t="inlineStr">
        <is>
          <t>22/05/2026</t>
        </is>
      </c>
      <c r="W1265">
        <v>19</v>
      </c>
      <c r="AA1265" t="inlineStr">
        <is>
          <t>Aberta -30 dias</t>
        </is>
      </c>
      <c r="AB1265" t="inlineStr">
        <is>
          <t>EMPA</t>
        </is>
      </c>
      <c r="AC1265" t="inlineStr">
        <is>
          <t>Aline</t>
        </is>
      </c>
      <c r="AD1265" t="inlineStr">
        <is>
          <t>03/08/2026</t>
        </is>
      </c>
      <c r="AE1265" t="inlineStr">
        <is>
          <t>10/08/2026</t>
        </is>
      </c>
      <c r="AF1265" t="inlineStr">
        <is>
          <t>Prazo Premissa VALE</t>
        </is>
      </c>
    </row>
    <row r="1266">
      <c r="A1266">
        <v>1264</v>
      </c>
      <c r="B1266">
        <v>1</v>
      </c>
      <c r="C1266" t="inlineStr">
        <is>
          <t>1.3</t>
        </is>
      </c>
      <c r="D1266" t="inlineStr">
        <is>
          <t>A47</t>
        </is>
      </c>
      <c r="F1266" t="inlineStr">
        <is>
          <t>EMPA</t>
        </is>
      </c>
      <c r="G1266" t="inlineStr">
        <is>
          <t>CLP-017</t>
        </is>
      </c>
      <c r="H1266" t="inlineStr">
        <is>
          <t>Protocolo</t>
        </is>
      </c>
      <c r="I1266">
        <v>6</v>
      </c>
      <c r="J1266" t="inlineStr">
        <is>
          <t>Drenagem Superficial</t>
        </is>
      </c>
      <c r="K1266" t="inlineStr">
        <is>
          <t>6.3/6.5</t>
        </is>
      </c>
      <c r="L1266" t="inlineStr">
        <is>
          <t>DVS 01</t>
        </is>
      </c>
      <c r="M1266" t="inlineStr">
        <is>
          <t>Dispositivo não executado</t>
        </is>
      </c>
      <c r="N1266" t="inlineStr">
        <is>
          <t>Dissipador de energia não executado.</t>
        </is>
      </c>
      <c r="O1266" t="inlineStr">
        <is>
          <t>Tipo A</t>
        </is>
      </c>
      <c r="P1266" t="inlineStr">
        <is>
          <t>28+095</t>
        </is>
      </c>
      <c r="Q1266" t="inlineStr">
        <is>
          <t>28+095</t>
        </is>
      </c>
      <c r="R1266" t="inlineStr">
        <is>
          <t>Aberta</t>
        </is>
      </c>
      <c r="T1266" t="inlineStr">
        <is>
          <t>Aline Batista</t>
        </is>
      </c>
      <c r="U1266" t="inlineStr">
        <is>
          <t>15/05/2026</t>
        </is>
      </c>
      <c r="V1266" t="inlineStr">
        <is>
          <t>22/05/2026</t>
        </is>
      </c>
      <c r="W1266">
        <v>19</v>
      </c>
      <c r="AA1266" t="inlineStr">
        <is>
          <t>Aberta -30 dias</t>
        </is>
      </c>
      <c r="AB1266" t="inlineStr">
        <is>
          <t>EMPA</t>
        </is>
      </c>
      <c r="AC1266" t="inlineStr">
        <is>
          <t>Aline</t>
        </is>
      </c>
      <c r="AD1266" t="inlineStr">
        <is>
          <t>03/08/2026</t>
        </is>
      </c>
      <c r="AE1266" t="inlineStr">
        <is>
          <t>14/08/2026</t>
        </is>
      </c>
      <c r="AF1266" t="inlineStr">
        <is>
          <t>Prazo premissa VALE</t>
        </is>
      </c>
    </row>
    <row r="1267">
      <c r="A1267">
        <v>1265</v>
      </c>
      <c r="B1267">
        <v>1</v>
      </c>
      <c r="C1267" t="inlineStr">
        <is>
          <t>1.3</t>
        </is>
      </c>
      <c r="D1267" t="inlineStr">
        <is>
          <t>A47</t>
        </is>
      </c>
      <c r="F1267" t="inlineStr">
        <is>
          <t>EMPA</t>
        </is>
      </c>
      <c r="G1267" t="inlineStr">
        <is>
          <t>CLP-017</t>
        </is>
      </c>
      <c r="H1267" t="inlineStr">
        <is>
          <t>Protocolo</t>
        </is>
      </c>
      <c r="I1267">
        <v>6</v>
      </c>
      <c r="J1267" t="inlineStr">
        <is>
          <t>Drenagem Superficial</t>
        </is>
      </c>
      <c r="K1267" t="inlineStr">
        <is>
          <t>6.3/6.5</t>
        </is>
      </c>
      <c r="L1267" t="inlineStr">
        <is>
          <t>DED 01</t>
        </is>
      </c>
      <c r="M1267" t="inlineStr">
        <is>
          <t>Dispositivo não executado</t>
        </is>
      </c>
      <c r="N1267" t="inlineStr">
        <is>
          <t>Dissipador de energia não executado.</t>
        </is>
      </c>
      <c r="O1267" t="inlineStr">
        <is>
          <t>Tipo A</t>
        </is>
      </c>
      <c r="P1267" t="inlineStr">
        <is>
          <t>28+445</t>
        </is>
      </c>
      <c r="Q1267" t="inlineStr">
        <is>
          <t>28+445</t>
        </is>
      </c>
      <c r="R1267" t="inlineStr">
        <is>
          <t>Aberta</t>
        </is>
      </c>
      <c r="T1267" t="inlineStr">
        <is>
          <t>Aline Batista</t>
        </is>
      </c>
      <c r="U1267" t="inlineStr">
        <is>
          <t>15/05/2026</t>
        </is>
      </c>
      <c r="V1267" t="inlineStr">
        <is>
          <t>22/05/2026</t>
        </is>
      </c>
      <c r="W1267">
        <v>19</v>
      </c>
      <c r="AA1267" t="inlineStr">
        <is>
          <t>Aberta -30 dias</t>
        </is>
      </c>
      <c r="AB1267" t="inlineStr">
        <is>
          <t>EMPA</t>
        </is>
      </c>
      <c r="AC1267" t="inlineStr">
        <is>
          <t>Aline</t>
        </is>
      </c>
      <c r="AD1267" t="inlineStr">
        <is>
          <t>03/08/2026</t>
        </is>
      </c>
      <c r="AE1267" t="inlineStr">
        <is>
          <t>14/08/2026</t>
        </is>
      </c>
      <c r="AF1267" t="inlineStr">
        <is>
          <t>Prazo premissa VALE</t>
        </is>
      </c>
    </row>
    <row r="1268">
      <c r="A1268">
        <v>1266</v>
      </c>
      <c r="B1268">
        <v>1</v>
      </c>
      <c r="C1268" t="inlineStr">
        <is>
          <t>1.3</t>
        </is>
      </c>
      <c r="D1268" t="inlineStr">
        <is>
          <t>A47</t>
        </is>
      </c>
      <c r="F1268" t="inlineStr">
        <is>
          <t>EMPA</t>
        </is>
      </c>
      <c r="G1268" t="inlineStr">
        <is>
          <t>CLP-017</t>
        </is>
      </c>
      <c r="H1268" t="inlineStr">
        <is>
          <t>Protocolo</t>
        </is>
      </c>
      <c r="I1268">
        <v>6</v>
      </c>
      <c r="J1268" t="inlineStr">
        <is>
          <t>Drenagem Superficial</t>
        </is>
      </c>
      <c r="K1268" t="inlineStr">
        <is>
          <t>6.3/6.5</t>
        </is>
      </c>
      <c r="L1268" t="inlineStr">
        <is>
          <t>DVS 01</t>
        </is>
      </c>
      <c r="M1268" t="inlineStr">
        <is>
          <t>Dispositivo não executado</t>
        </is>
      </c>
      <c r="N1268" t="inlineStr">
        <is>
          <t>Dissipador de energia não executado.</t>
        </is>
      </c>
      <c r="O1268" t="inlineStr">
        <is>
          <t>Tipo A</t>
        </is>
      </c>
      <c r="P1268" t="inlineStr">
        <is>
          <t>28+500</t>
        </is>
      </c>
      <c r="Q1268" t="inlineStr">
        <is>
          <t>28+615</t>
        </is>
      </c>
      <c r="R1268" t="inlineStr">
        <is>
          <t>Aberta</t>
        </is>
      </c>
      <c r="T1268" t="inlineStr">
        <is>
          <t>Aline Batista</t>
        </is>
      </c>
      <c r="U1268" t="inlineStr">
        <is>
          <t>15/05/2026</t>
        </is>
      </c>
      <c r="V1268" t="inlineStr">
        <is>
          <t>22/05/2026</t>
        </is>
      </c>
      <c r="W1268">
        <v>19</v>
      </c>
      <c r="AA1268" t="inlineStr">
        <is>
          <t>Aberta -30 dias</t>
        </is>
      </c>
      <c r="AB1268" t="inlineStr">
        <is>
          <t>EMPA</t>
        </is>
      </c>
      <c r="AC1268" t="inlineStr">
        <is>
          <t>Aline</t>
        </is>
      </c>
      <c r="AD1268" t="inlineStr">
        <is>
          <t>03/08/2026</t>
        </is>
      </c>
      <c r="AE1268" t="inlineStr">
        <is>
          <t>14/08/2026</t>
        </is>
      </c>
      <c r="AF1268" t="inlineStr">
        <is>
          <t>Prazo premissa VALE</t>
        </is>
      </c>
    </row>
    <row r="1269">
      <c r="A1269">
        <v>1267</v>
      </c>
      <c r="B1269">
        <v>1</v>
      </c>
      <c r="C1269" t="inlineStr">
        <is>
          <t>1.3</t>
        </is>
      </c>
      <c r="D1269" t="inlineStr">
        <is>
          <t>A47</t>
        </is>
      </c>
      <c r="F1269" t="inlineStr">
        <is>
          <t>EMPA</t>
        </is>
      </c>
      <c r="G1269" t="inlineStr">
        <is>
          <t>CLP-017</t>
        </is>
      </c>
      <c r="H1269" t="inlineStr">
        <is>
          <t>Protocolo</t>
        </is>
      </c>
      <c r="I1269">
        <v>6</v>
      </c>
      <c r="J1269" t="inlineStr">
        <is>
          <t>Drenagem Superficial</t>
        </is>
      </c>
      <c r="K1269" t="inlineStr">
        <is>
          <t>6.3/6.5</t>
        </is>
      </c>
      <c r="L1269" t="inlineStr">
        <is>
          <t>DED 01</t>
        </is>
      </c>
      <c r="M1269" t="inlineStr">
        <is>
          <t>Dispositivo não executado</t>
        </is>
      </c>
      <c r="N1269" t="inlineStr">
        <is>
          <t>Dissipador de energia não executado.</t>
        </is>
      </c>
      <c r="O1269" t="inlineStr">
        <is>
          <t>Tipo A</t>
        </is>
      </c>
      <c r="P1269" t="inlineStr">
        <is>
          <t>28+745</t>
        </is>
      </c>
      <c r="Q1269" t="inlineStr">
        <is>
          <t>28+745</t>
        </is>
      </c>
      <c r="R1269" t="inlineStr">
        <is>
          <t>Aberta</t>
        </is>
      </c>
      <c r="T1269" t="inlineStr">
        <is>
          <t>Aline Batista</t>
        </is>
      </c>
      <c r="U1269" t="inlineStr">
        <is>
          <t>15/05/2026</t>
        </is>
      </c>
      <c r="V1269" t="inlineStr">
        <is>
          <t>22/05/2026</t>
        </is>
      </c>
      <c r="W1269">
        <v>19</v>
      </c>
      <c r="AA1269" t="inlineStr">
        <is>
          <t>Aberta -30 dias</t>
        </is>
      </c>
      <c r="AB1269" t="inlineStr">
        <is>
          <t>EMPA</t>
        </is>
      </c>
      <c r="AC1269" t="inlineStr">
        <is>
          <t>Aline</t>
        </is>
      </c>
      <c r="AD1269" t="inlineStr">
        <is>
          <t>03/08/2026</t>
        </is>
      </c>
      <c r="AE1269" t="inlineStr">
        <is>
          <t>14/08/2026</t>
        </is>
      </c>
      <c r="AF1269" t="inlineStr">
        <is>
          <t>Prazo premissa VALE</t>
        </is>
      </c>
    </row>
    <row r="1270">
      <c r="A1270">
        <v>1268</v>
      </c>
      <c r="B1270">
        <v>1</v>
      </c>
      <c r="C1270" t="inlineStr">
        <is>
          <t>1.3</t>
        </is>
      </c>
      <c r="D1270" t="inlineStr">
        <is>
          <t>A47</t>
        </is>
      </c>
      <c r="F1270" t="inlineStr">
        <is>
          <t>EMPA</t>
        </is>
      </c>
      <c r="G1270" t="inlineStr">
        <is>
          <t>CLP-017</t>
        </is>
      </c>
      <c r="H1270" t="inlineStr">
        <is>
          <t>Protocolo</t>
        </is>
      </c>
      <c r="I1270">
        <v>6</v>
      </c>
      <c r="J1270" t="inlineStr">
        <is>
          <t>Drenagem Superficial</t>
        </is>
      </c>
      <c r="K1270" t="inlineStr">
        <is>
          <t>6.3/6.5</t>
        </is>
      </c>
      <c r="L1270" t="inlineStr">
        <is>
          <t>DED 01</t>
        </is>
      </c>
      <c r="M1270" t="inlineStr">
        <is>
          <t>Dispositivo não executado</t>
        </is>
      </c>
      <c r="N1270" t="inlineStr">
        <is>
          <t>Dissipador de energia não executado.</t>
        </is>
      </c>
      <c r="O1270" t="inlineStr">
        <is>
          <t>Tipo A</t>
        </is>
      </c>
      <c r="P1270" t="inlineStr">
        <is>
          <t>28+730</t>
        </is>
      </c>
      <c r="Q1270" t="inlineStr">
        <is>
          <t>28+730</t>
        </is>
      </c>
      <c r="R1270" t="inlineStr">
        <is>
          <t>Aberta</t>
        </is>
      </c>
      <c r="T1270" t="inlineStr">
        <is>
          <t>Aline Batista</t>
        </is>
      </c>
      <c r="U1270" t="inlineStr">
        <is>
          <t>15/05/2026</t>
        </is>
      </c>
      <c r="V1270" t="inlineStr">
        <is>
          <t>22/05/2026</t>
        </is>
      </c>
      <c r="W1270">
        <v>19</v>
      </c>
      <c r="AA1270" t="inlineStr">
        <is>
          <t>Aberta -30 dias</t>
        </is>
      </c>
      <c r="AB1270" t="inlineStr">
        <is>
          <t>EMPA</t>
        </is>
      </c>
      <c r="AC1270" t="inlineStr">
        <is>
          <t>Aline</t>
        </is>
      </c>
      <c r="AD1270" t="inlineStr">
        <is>
          <t>03/08/2026</t>
        </is>
      </c>
      <c r="AE1270" t="inlineStr">
        <is>
          <t>14/08/2026</t>
        </is>
      </c>
      <c r="AF1270" t="inlineStr">
        <is>
          <t>Prazo premissa VALE</t>
        </is>
      </c>
    </row>
    <row r="1271">
      <c r="A1271">
        <v>1269</v>
      </c>
      <c r="B1271">
        <v>1</v>
      </c>
      <c r="C1271" t="inlineStr">
        <is>
          <t>1.3</t>
        </is>
      </c>
      <c r="D1271" t="inlineStr">
        <is>
          <t>C43</t>
        </is>
      </c>
      <c r="E1271" t="inlineStr">
        <is>
          <t>LE</t>
        </is>
      </c>
      <c r="F1271" t="inlineStr">
        <is>
          <t>EMPA</t>
        </is>
      </c>
      <c r="G1271" t="inlineStr">
        <is>
          <t>CLP-017</t>
        </is>
      </c>
      <c r="H1271" t="inlineStr">
        <is>
          <t>Protocolo</t>
        </is>
      </c>
      <c r="I1271">
        <v>6</v>
      </c>
      <c r="J1271" t="inlineStr">
        <is>
          <t>Drenagem Superficial</t>
        </is>
      </c>
      <c r="K1271" t="inlineStr">
        <is>
          <t>6.3/6.5</t>
        </is>
      </c>
      <c r="L1271" t="inlineStr">
        <is>
          <t>VPC</t>
        </is>
      </c>
      <c r="M1271" t="inlineStr">
        <is>
          <t>Patologias no Concreto</t>
        </is>
      </c>
      <c r="N1271" t="inlineStr">
        <is>
          <t>Foram identificadas fissuras no dispositivo de dremagem.</t>
        </is>
      </c>
      <c r="O1271" t="inlineStr">
        <is>
          <t>Tipo A</t>
        </is>
      </c>
      <c r="P1271" t="inlineStr">
        <is>
          <t>24+650</t>
        </is>
      </c>
      <c r="Q1271" t="inlineStr">
        <is>
          <t>24+651</t>
        </is>
      </c>
      <c r="R1271" t="inlineStr">
        <is>
          <t>Aberta</t>
        </is>
      </c>
      <c r="T1271" t="inlineStr">
        <is>
          <t>Aline Batista</t>
        </is>
      </c>
      <c r="U1271" t="inlineStr">
        <is>
          <t>15/05/2026</t>
        </is>
      </c>
      <c r="V1271" t="inlineStr">
        <is>
          <t>22/05/2026</t>
        </is>
      </c>
      <c r="W1271">
        <v>19</v>
      </c>
      <c r="AA1271" t="inlineStr">
        <is>
          <t>Aberta -30 dias</t>
        </is>
      </c>
      <c r="AB1271" t="inlineStr">
        <is>
          <t>EMPA</t>
        </is>
      </c>
      <c r="AC1271" t="inlineStr">
        <is>
          <t>Aline</t>
        </is>
      </c>
      <c r="AD1271" t="inlineStr">
        <is>
          <t>20/07/2026</t>
        </is>
      </c>
      <c r="AE1271" t="inlineStr">
        <is>
          <t>31/07/2026</t>
        </is>
      </c>
      <c r="AF1271" t="inlineStr">
        <is>
          <t>Prazo premissa VALE</t>
        </is>
      </c>
    </row>
    <row r="1272">
      <c r="A1272">
        <v>1270</v>
      </c>
      <c r="B1272">
        <v>1</v>
      </c>
      <c r="C1272" t="inlineStr">
        <is>
          <t>1.3</t>
        </is>
      </c>
      <c r="D1272" t="inlineStr">
        <is>
          <t>A47</t>
        </is>
      </c>
      <c r="E1272" t="inlineStr">
        <is>
          <t>LD/LE</t>
        </is>
      </c>
      <c r="F1272" t="inlineStr">
        <is>
          <t>EMPA</t>
        </is>
      </c>
      <c r="G1272" t="inlineStr">
        <is>
          <t>CLP-017</t>
        </is>
      </c>
      <c r="H1272" t="inlineStr">
        <is>
          <t>Protocolo</t>
        </is>
      </c>
      <c r="I1272">
        <v>6</v>
      </c>
      <c r="J1272" t="inlineStr">
        <is>
          <t>Drenagem Superficial</t>
        </is>
      </c>
      <c r="K1272" t="inlineStr">
        <is>
          <t>6.3/6.5</t>
        </is>
      </c>
      <c r="L1272" t="inlineStr">
        <is>
          <t xml:space="preserve">VBC </t>
        </is>
      </c>
      <c r="M1272" t="inlineStr">
        <is>
          <t>Patologias no Concreto</t>
        </is>
      </c>
      <c r="N1272" t="inlineStr">
        <is>
          <t>Preença de fissuras em canaleta</t>
        </is>
      </c>
      <c r="O1272" t="inlineStr">
        <is>
          <t>Tipo A</t>
        </is>
      </c>
      <c r="P1272" t="inlineStr">
        <is>
          <t>27+400</t>
        </is>
      </c>
      <c r="Q1272">
        <v>27520</v>
      </c>
      <c r="R1272" t="inlineStr">
        <is>
          <t>Aberta</t>
        </is>
      </c>
      <c r="T1272" t="inlineStr">
        <is>
          <t>Aline Batista</t>
        </is>
      </c>
      <c r="U1272" t="inlineStr">
        <is>
          <t>15/05/2026</t>
        </is>
      </c>
      <c r="V1272" t="inlineStr">
        <is>
          <t>22/05/2026</t>
        </is>
      </c>
      <c r="W1272">
        <v>19</v>
      </c>
      <c r="AA1272" t="inlineStr">
        <is>
          <t>Aberta -30 dias</t>
        </is>
      </c>
      <c r="AB1272" t="inlineStr">
        <is>
          <t>EMPA</t>
        </is>
      </c>
      <c r="AC1272" t="inlineStr">
        <is>
          <t>Aline</t>
        </is>
      </c>
      <c r="AD1272" t="inlineStr">
        <is>
          <t>03/08/2026</t>
        </is>
      </c>
      <c r="AE1272" t="inlineStr">
        <is>
          <t>14/08/2026</t>
        </is>
      </c>
      <c r="AF1272" t="inlineStr">
        <is>
          <t>Prazo premissa VALE</t>
        </is>
      </c>
    </row>
    <row r="1273">
      <c r="A1273">
        <v>1271</v>
      </c>
      <c r="B1273">
        <v>1</v>
      </c>
      <c r="C1273" t="inlineStr">
        <is>
          <t>1.3</t>
        </is>
      </c>
      <c r="D1273" t="inlineStr">
        <is>
          <t>A47</t>
        </is>
      </c>
      <c r="F1273" t="inlineStr">
        <is>
          <t>EMPA</t>
        </is>
      </c>
      <c r="G1273" t="inlineStr">
        <is>
          <t>CLP-017</t>
        </is>
      </c>
      <c r="H1273" t="inlineStr">
        <is>
          <t>Protocolo</t>
        </is>
      </c>
      <c r="I1273">
        <v>6</v>
      </c>
      <c r="J1273" t="inlineStr">
        <is>
          <t>Drenagem Superficial</t>
        </is>
      </c>
      <c r="K1273" t="inlineStr">
        <is>
          <t>6.3/6.5</t>
        </is>
      </c>
      <c r="L1273" t="inlineStr">
        <is>
          <t>VPC</t>
        </is>
      </c>
      <c r="M1273" t="inlineStr">
        <is>
          <t>Dispositivo não executado</t>
        </is>
      </c>
      <c r="N1273" t="inlineStr">
        <is>
          <t>Dispositivos não executados.</t>
        </is>
      </c>
      <c r="O1273" t="inlineStr">
        <is>
          <t>Tipo A</t>
        </is>
      </c>
      <c r="P1273" t="inlineStr">
        <is>
          <t xml:space="preserve">0+150
(Acesso km 26+828)</t>
        </is>
      </c>
      <c r="Q1273" t="inlineStr">
        <is>
          <t xml:space="preserve">0+150
(Acesso km 26+828)</t>
        </is>
      </c>
      <c r="R1273" t="inlineStr">
        <is>
          <t>Aberta</t>
        </is>
      </c>
      <c r="T1273" t="inlineStr">
        <is>
          <t>Aline Batista</t>
        </is>
      </c>
      <c r="U1273" t="inlineStr">
        <is>
          <t>15/05/2026</t>
        </is>
      </c>
      <c r="V1273" t="inlineStr">
        <is>
          <t>22/05/2026</t>
        </is>
      </c>
      <c r="W1273">
        <v>19</v>
      </c>
      <c r="AA1273" t="inlineStr">
        <is>
          <t>Aberta -30 dias</t>
        </is>
      </c>
      <c r="AB1273" t="inlineStr">
        <is>
          <t>EMPA</t>
        </is>
      </c>
      <c r="AC1273" t="inlineStr">
        <is>
          <t>Aline</t>
        </is>
      </c>
      <c r="AD1273" t="inlineStr">
        <is>
          <t>20/07/2026</t>
        </is>
      </c>
      <c r="AE1273" t="inlineStr">
        <is>
          <t>31/07/2026</t>
        </is>
      </c>
      <c r="AF1273" t="inlineStr">
        <is>
          <t>Prazo Premissa VALE</t>
        </is>
      </c>
    </row>
    <row r="1274">
      <c r="A1274">
        <v>1272</v>
      </c>
      <c r="B1274">
        <v>1</v>
      </c>
      <c r="C1274" t="inlineStr">
        <is>
          <t>1.3</t>
        </is>
      </c>
      <c r="D1274" t="inlineStr">
        <is>
          <t>A47</t>
        </is>
      </c>
      <c r="F1274" t="inlineStr">
        <is>
          <t>EMPA</t>
        </is>
      </c>
      <c r="G1274" t="inlineStr">
        <is>
          <t>CLP-017</t>
        </is>
      </c>
      <c r="H1274" t="inlineStr">
        <is>
          <t>Protocolo</t>
        </is>
      </c>
      <c r="I1274">
        <v>6</v>
      </c>
      <c r="J1274" t="inlineStr">
        <is>
          <t>Drenagem Superficial</t>
        </is>
      </c>
      <c r="K1274" t="inlineStr">
        <is>
          <t>6.3/6.5</t>
        </is>
      </c>
      <c r="L1274" t="inlineStr">
        <is>
          <t xml:space="preserve">EDA 01
DRA
DED 01</t>
        </is>
      </c>
      <c r="M1274" t="inlineStr">
        <is>
          <t>Dispositivo não executado</t>
        </is>
      </c>
      <c r="N1274" t="inlineStr">
        <is>
          <t>Dispositivos não executados.</t>
        </is>
      </c>
      <c r="O1274" t="inlineStr">
        <is>
          <t>Tipo A</t>
        </is>
      </c>
      <c r="P1274" t="inlineStr">
        <is>
          <t>27+864</t>
        </is>
      </c>
      <c r="Q1274" t="inlineStr">
        <is>
          <t>27+864</t>
        </is>
      </c>
      <c r="R1274" t="inlineStr">
        <is>
          <t>Aberta</t>
        </is>
      </c>
      <c r="T1274" t="inlineStr">
        <is>
          <t>Aline Batista</t>
        </is>
      </c>
      <c r="U1274" t="inlineStr">
        <is>
          <t>15/05/2026</t>
        </is>
      </c>
      <c r="V1274" t="inlineStr">
        <is>
          <t>22/05/2026</t>
        </is>
      </c>
      <c r="W1274">
        <v>19</v>
      </c>
      <c r="AA1274" t="inlineStr">
        <is>
          <t>Aberta -30 dias</t>
        </is>
      </c>
      <c r="AB1274" t="inlineStr">
        <is>
          <t>EMPA</t>
        </is>
      </c>
      <c r="AC1274" t="inlineStr">
        <is>
          <t>Aline</t>
        </is>
      </c>
      <c r="AD1274" t="inlineStr">
        <is>
          <t>03/08/2026</t>
        </is>
      </c>
      <c r="AE1274" t="inlineStr">
        <is>
          <t>14/08/2026</t>
        </is>
      </c>
      <c r="AF1274" t="inlineStr">
        <is>
          <t>Prazo premissa VALE</t>
        </is>
      </c>
    </row>
    <row r="1275">
      <c r="A1275">
        <v>1273</v>
      </c>
      <c r="B1275">
        <v>1</v>
      </c>
      <c r="C1275" t="inlineStr">
        <is>
          <t>1.3</t>
        </is>
      </c>
      <c r="D1275" t="inlineStr">
        <is>
          <t>A47</t>
        </is>
      </c>
      <c r="F1275" t="inlineStr">
        <is>
          <t>EMPA</t>
        </is>
      </c>
      <c r="G1275" t="inlineStr">
        <is>
          <t>CLP-017</t>
        </is>
      </c>
      <c r="H1275" t="inlineStr">
        <is>
          <t>Protocolo</t>
        </is>
      </c>
      <c r="I1275">
        <v>6</v>
      </c>
      <c r="J1275" t="inlineStr">
        <is>
          <t>Drenagem Superficial</t>
        </is>
      </c>
      <c r="K1275" t="inlineStr">
        <is>
          <t>6.3/6.5</t>
        </is>
      </c>
      <c r="L1275" t="inlineStr">
        <is>
          <t xml:space="preserve">EDA 01
DDA 01
DED 01</t>
        </is>
      </c>
      <c r="M1275" t="inlineStr">
        <is>
          <t>Dispositivo não executado</t>
        </is>
      </c>
      <c r="N1275" t="inlineStr">
        <is>
          <t>Dispositivos não executados.</t>
        </is>
      </c>
      <c r="O1275" t="inlineStr">
        <is>
          <t>Tipo A</t>
        </is>
      </c>
      <c r="P1275" t="inlineStr">
        <is>
          <t>27+862</t>
        </is>
      </c>
      <c r="Q1275" t="inlineStr">
        <is>
          <t>27+862</t>
        </is>
      </c>
      <c r="R1275" t="inlineStr">
        <is>
          <t>Aberta</t>
        </is>
      </c>
      <c r="T1275" t="inlineStr">
        <is>
          <t>Aline Batista</t>
        </is>
      </c>
      <c r="U1275" t="inlineStr">
        <is>
          <t>15/05/2026</t>
        </is>
      </c>
      <c r="V1275" t="inlineStr">
        <is>
          <t>22/05/2026</t>
        </is>
      </c>
      <c r="W1275">
        <v>19</v>
      </c>
      <c r="AA1275" t="inlineStr">
        <is>
          <t>Aberta -30 dias</t>
        </is>
      </c>
      <c r="AB1275" t="inlineStr">
        <is>
          <t>EMPA</t>
        </is>
      </c>
      <c r="AC1275" t="inlineStr">
        <is>
          <t>Aline</t>
        </is>
      </c>
      <c r="AD1275" t="inlineStr">
        <is>
          <t>03/08/2026</t>
        </is>
      </c>
      <c r="AE1275" t="inlineStr">
        <is>
          <t>14/08/2026</t>
        </is>
      </c>
      <c r="AF1275" t="inlineStr">
        <is>
          <t>Prazo premissa VALE</t>
        </is>
      </c>
    </row>
    <row r="1276">
      <c r="A1276">
        <v>1274</v>
      </c>
      <c r="B1276">
        <v>1</v>
      </c>
      <c r="C1276" t="inlineStr">
        <is>
          <t>1.3</t>
        </is>
      </c>
      <c r="D1276" t="inlineStr">
        <is>
          <t>A47</t>
        </is>
      </c>
      <c r="F1276" t="inlineStr">
        <is>
          <t>EMPA</t>
        </is>
      </c>
      <c r="G1276" t="inlineStr">
        <is>
          <t>CLP-017</t>
        </is>
      </c>
      <c r="H1276" t="inlineStr">
        <is>
          <t>Protocolo</t>
        </is>
      </c>
      <c r="I1276">
        <v>6</v>
      </c>
      <c r="J1276" t="inlineStr">
        <is>
          <t>Drenagem Superficial</t>
        </is>
      </c>
      <c r="K1276" t="inlineStr">
        <is>
          <t>6.3/6.5</t>
        </is>
      </c>
      <c r="L1276" t="inlineStr">
        <is>
          <t xml:space="preserve">EDA 01
DDA 01
</t>
        </is>
      </c>
      <c r="M1276" t="inlineStr">
        <is>
          <t>Dispositivo não executado</t>
        </is>
      </c>
      <c r="N1276" t="inlineStr">
        <is>
          <t>Dispositivos não executados.</t>
        </is>
      </c>
      <c r="O1276" t="inlineStr">
        <is>
          <t>Tipo A</t>
        </is>
      </c>
      <c r="P1276" t="inlineStr">
        <is>
          <t xml:space="preserve">0+345
(Acesso km 28+360)</t>
        </is>
      </c>
      <c r="Q1276" t="inlineStr">
        <is>
          <t xml:space="preserve">0+345
(Acesso km 28+360)</t>
        </is>
      </c>
      <c r="R1276" t="inlineStr">
        <is>
          <t>Aberta</t>
        </is>
      </c>
      <c r="T1276" t="inlineStr">
        <is>
          <t>Aline Batista</t>
        </is>
      </c>
      <c r="U1276" t="inlineStr">
        <is>
          <t>15/05/2026</t>
        </is>
      </c>
      <c r="V1276" t="inlineStr">
        <is>
          <t>22/05/2026</t>
        </is>
      </c>
      <c r="W1276">
        <v>19</v>
      </c>
      <c r="AA1276" t="inlineStr">
        <is>
          <t>Aberta -30 dias</t>
        </is>
      </c>
      <c r="AB1276" t="inlineStr">
        <is>
          <t>EMPA</t>
        </is>
      </c>
      <c r="AC1276" t="inlineStr">
        <is>
          <t>Aline</t>
        </is>
      </c>
      <c r="AD1276" t="inlineStr">
        <is>
          <t>03/08/2026</t>
        </is>
      </c>
      <c r="AE1276" t="inlineStr">
        <is>
          <t>14/08/2026</t>
        </is>
      </c>
      <c r="AF1276" t="inlineStr">
        <is>
          <t>Prazo premissa VALE</t>
        </is>
      </c>
    </row>
    <row r="1277">
      <c r="A1277">
        <v>1275</v>
      </c>
      <c r="B1277">
        <v>1</v>
      </c>
      <c r="C1277" t="inlineStr">
        <is>
          <t>1.3</t>
        </is>
      </c>
      <c r="D1277" t="inlineStr">
        <is>
          <t>A47</t>
        </is>
      </c>
      <c r="F1277" t="inlineStr">
        <is>
          <t>EMPA</t>
        </is>
      </c>
      <c r="G1277" t="inlineStr">
        <is>
          <t>CLP-017</t>
        </is>
      </c>
      <c r="H1277" t="inlineStr">
        <is>
          <t>Protocolo</t>
        </is>
      </c>
      <c r="I1277">
        <v>6</v>
      </c>
      <c r="J1277" t="inlineStr">
        <is>
          <t>Drenagem Superficial</t>
        </is>
      </c>
      <c r="K1277" t="inlineStr">
        <is>
          <t>6.3/6.5</t>
        </is>
      </c>
      <c r="L1277" t="inlineStr">
        <is>
          <t xml:space="preserve">EDA 01
DRA
DED 01
</t>
        </is>
      </c>
      <c r="M1277" t="inlineStr">
        <is>
          <t>Dispositivo não executado</t>
        </is>
      </c>
      <c r="N1277" t="inlineStr">
        <is>
          <t>Dispositivos não executados.</t>
        </is>
      </c>
      <c r="O1277" t="inlineStr">
        <is>
          <t>Tipo A</t>
        </is>
      </c>
      <c r="P1277" t="inlineStr">
        <is>
          <t xml:space="preserve">0+120
(Acesso km 28+360)</t>
        </is>
      </c>
      <c r="Q1277" t="inlineStr">
        <is>
          <t xml:space="preserve">0+120
(Acesso km 28+360)</t>
        </is>
      </c>
      <c r="R1277" t="inlineStr">
        <is>
          <t>Aberta</t>
        </is>
      </c>
      <c r="T1277" t="inlineStr">
        <is>
          <t>Aline Batista</t>
        </is>
      </c>
      <c r="U1277" t="inlineStr">
        <is>
          <t>15/05/2026</t>
        </is>
      </c>
      <c r="V1277" t="inlineStr">
        <is>
          <t>22/05/2026</t>
        </is>
      </c>
      <c r="W1277">
        <v>19</v>
      </c>
      <c r="AA1277" t="inlineStr">
        <is>
          <t>Aberta -30 dias</t>
        </is>
      </c>
      <c r="AB1277" t="inlineStr">
        <is>
          <t>EMPA</t>
        </is>
      </c>
      <c r="AC1277" t="inlineStr">
        <is>
          <t>Aline</t>
        </is>
      </c>
      <c r="AD1277" t="inlineStr">
        <is>
          <t>03/08/2026</t>
        </is>
      </c>
      <c r="AE1277" t="inlineStr">
        <is>
          <t>14/08/2026</t>
        </is>
      </c>
      <c r="AF1277" t="inlineStr">
        <is>
          <t>Prazo premissa VALE</t>
        </is>
      </c>
    </row>
    <row r="1278">
      <c r="A1278">
        <v>1276</v>
      </c>
      <c r="B1278">
        <v>1</v>
      </c>
      <c r="C1278" t="inlineStr">
        <is>
          <t>1.3</t>
        </is>
      </c>
      <c r="D1278" t="inlineStr">
        <is>
          <t>A47</t>
        </is>
      </c>
      <c r="F1278" t="inlineStr">
        <is>
          <t>EMPA</t>
        </is>
      </c>
      <c r="G1278" t="inlineStr">
        <is>
          <t>CLP-017</t>
        </is>
      </c>
      <c r="H1278" t="inlineStr">
        <is>
          <t>Protocolo</t>
        </is>
      </c>
      <c r="I1278">
        <v>6</v>
      </c>
      <c r="J1278" t="inlineStr">
        <is>
          <t>Drenagem Superficial</t>
        </is>
      </c>
      <c r="K1278" t="inlineStr">
        <is>
          <t>6.3</t>
        </is>
      </c>
      <c r="L1278" t="inlineStr">
        <is>
          <t xml:space="preserve">EDA 01
DRA
DED 01
</t>
        </is>
      </c>
      <c r="M1278" t="inlineStr">
        <is>
          <t>Dispositivo não executado</t>
        </is>
      </c>
      <c r="N1278" t="inlineStr">
        <is>
          <t>VPC não executada.</t>
        </is>
      </c>
      <c r="O1278" t="inlineStr">
        <is>
          <t>Tipo A</t>
        </is>
      </c>
      <c r="P1278" t="inlineStr">
        <is>
          <t>28+240</t>
        </is>
      </c>
      <c r="Q1278" t="inlineStr">
        <is>
          <t>28+108</t>
        </is>
      </c>
      <c r="R1278" t="inlineStr">
        <is>
          <t>Aberta</t>
        </is>
      </c>
      <c r="T1278" t="inlineStr">
        <is>
          <t>Aline Batista</t>
        </is>
      </c>
      <c r="U1278" t="inlineStr">
        <is>
          <t>15/05/2026</t>
        </is>
      </c>
      <c r="V1278" t="inlineStr">
        <is>
          <t>22/05/2026</t>
        </is>
      </c>
      <c r="W1278">
        <v>19</v>
      </c>
      <c r="AA1278" t="inlineStr">
        <is>
          <t>Aberta -30 dias</t>
        </is>
      </c>
      <c r="AB1278" t="inlineStr">
        <is>
          <t>EMPA</t>
        </is>
      </c>
      <c r="AC1278" t="inlineStr">
        <is>
          <t>Aline</t>
        </is>
      </c>
      <c r="AD1278" t="inlineStr">
        <is>
          <t>03/08/2026</t>
        </is>
      </c>
      <c r="AE1278" t="inlineStr">
        <is>
          <t>14/08/2026</t>
        </is>
      </c>
      <c r="AF1278" t="inlineStr">
        <is>
          <t>Prazo premissa VALE</t>
        </is>
      </c>
    </row>
    <row r="1279">
      <c r="A1279">
        <v>1277</v>
      </c>
      <c r="B1279">
        <v>1</v>
      </c>
      <c r="C1279" t="inlineStr">
        <is>
          <t>1.3</t>
        </is>
      </c>
      <c r="D1279" t="inlineStr">
        <is>
          <t>A47</t>
        </is>
      </c>
      <c r="F1279" t="inlineStr">
        <is>
          <t>EMPA</t>
        </is>
      </c>
      <c r="G1279" t="inlineStr">
        <is>
          <t>CLP-017</t>
        </is>
      </c>
      <c r="H1279" t="inlineStr">
        <is>
          <t>Protocolo</t>
        </is>
      </c>
      <c r="I1279">
        <v>6</v>
      </c>
      <c r="J1279" t="inlineStr">
        <is>
          <t>Drenagem Superficial</t>
        </is>
      </c>
      <c r="K1279" t="inlineStr">
        <is>
          <t>6.3</t>
        </is>
      </c>
      <c r="L1279" t="inlineStr">
        <is>
          <t>VPC 02</t>
        </is>
      </c>
      <c r="M1279" t="inlineStr">
        <is>
          <t>Dispositivo não executado</t>
        </is>
      </c>
      <c r="N1279" t="inlineStr">
        <is>
          <t>VPC não executada.</t>
        </is>
      </c>
      <c r="O1279" t="inlineStr">
        <is>
          <t>Tipo A</t>
        </is>
      </c>
      <c r="P1279" t="inlineStr">
        <is>
          <t>28+108</t>
        </is>
      </c>
      <c r="Q1279" t="inlineStr">
        <is>
          <t>27+950</t>
        </is>
      </c>
      <c r="R1279" t="inlineStr">
        <is>
          <t>Aberta</t>
        </is>
      </c>
      <c r="T1279" t="inlineStr">
        <is>
          <t>Aline Batista</t>
        </is>
      </c>
      <c r="U1279" t="inlineStr">
        <is>
          <t>15/05/2026</t>
        </is>
      </c>
      <c r="V1279" t="inlineStr">
        <is>
          <t>22/05/2026</t>
        </is>
      </c>
      <c r="W1279">
        <v>19</v>
      </c>
      <c r="AA1279" t="inlineStr">
        <is>
          <t>Aberta -30 dias</t>
        </is>
      </c>
      <c r="AB1279" t="inlineStr">
        <is>
          <t>EMPA</t>
        </is>
      </c>
      <c r="AC1279" t="inlineStr">
        <is>
          <t>Aline</t>
        </is>
      </c>
      <c r="AD1279" t="inlineStr">
        <is>
          <t>03/08/2026</t>
        </is>
      </c>
      <c r="AE1279" t="inlineStr">
        <is>
          <t>14/08/2026</t>
        </is>
      </c>
      <c r="AF1279" t="inlineStr">
        <is>
          <t>Prazo premissa VALE</t>
        </is>
      </c>
    </row>
    <row r="1280">
      <c r="A1280">
        <v>1278</v>
      </c>
      <c r="B1280">
        <v>1</v>
      </c>
      <c r="C1280" t="inlineStr">
        <is>
          <t>1.3</t>
        </is>
      </c>
      <c r="D1280" t="inlineStr">
        <is>
          <t>A47</t>
        </is>
      </c>
      <c r="F1280" t="inlineStr">
        <is>
          <t>EMPA</t>
        </is>
      </c>
      <c r="G1280" t="inlineStr">
        <is>
          <t>CLP-017</t>
        </is>
      </c>
      <c r="H1280" t="inlineStr">
        <is>
          <t>Protocolo</t>
        </is>
      </c>
      <c r="I1280">
        <v>6</v>
      </c>
      <c r="J1280" t="inlineStr">
        <is>
          <t>Drenagem Superficial</t>
        </is>
      </c>
      <c r="K1280" t="inlineStr">
        <is>
          <t>6.3</t>
        </is>
      </c>
      <c r="L1280" t="inlineStr">
        <is>
          <t>VPC 02</t>
        </is>
      </c>
      <c r="M1280" t="inlineStr">
        <is>
          <t>Dispositivo não executado</t>
        </is>
      </c>
      <c r="N1280" t="inlineStr">
        <is>
          <t>VPC não executada.</t>
        </is>
      </c>
      <c r="O1280" t="inlineStr">
        <is>
          <t>Tipo A</t>
        </is>
      </c>
      <c r="P1280" t="inlineStr">
        <is>
          <t>27+950</t>
        </is>
      </c>
      <c r="Q1280" t="inlineStr">
        <is>
          <t>27+875</t>
        </is>
      </c>
      <c r="R1280" t="inlineStr">
        <is>
          <t>Aberta</t>
        </is>
      </c>
      <c r="T1280" t="inlineStr">
        <is>
          <t>Aline Batista</t>
        </is>
      </c>
      <c r="U1280" t="inlineStr">
        <is>
          <t>15/05/2026</t>
        </is>
      </c>
      <c r="V1280" t="inlineStr">
        <is>
          <t>22/05/2026</t>
        </is>
      </c>
      <c r="W1280">
        <v>19</v>
      </c>
      <c r="AA1280" t="inlineStr">
        <is>
          <t>Aberta -30 dias</t>
        </is>
      </c>
      <c r="AB1280" t="inlineStr">
        <is>
          <t>EMPA</t>
        </is>
      </c>
      <c r="AC1280" t="inlineStr">
        <is>
          <t>Aline</t>
        </is>
      </c>
      <c r="AD1280" t="inlineStr">
        <is>
          <t>03/08/2026</t>
        </is>
      </c>
      <c r="AE1280" t="inlineStr">
        <is>
          <t>14/08/2026</t>
        </is>
      </c>
      <c r="AF1280" t="inlineStr">
        <is>
          <t>Prazo premissa VALE</t>
        </is>
      </c>
    </row>
    <row r="1281">
      <c r="A1281">
        <v>1279</v>
      </c>
      <c r="B1281">
        <v>1</v>
      </c>
      <c r="C1281" t="inlineStr">
        <is>
          <t>1.3</t>
        </is>
      </c>
      <c r="D1281" t="inlineStr">
        <is>
          <t>A47</t>
        </is>
      </c>
      <c r="F1281" t="inlineStr">
        <is>
          <t>EMPA</t>
        </is>
      </c>
      <c r="G1281" t="inlineStr">
        <is>
          <t>CLP-017</t>
        </is>
      </c>
      <c r="H1281" t="inlineStr">
        <is>
          <t>Protocolo</t>
        </is>
      </c>
      <c r="I1281">
        <v>6</v>
      </c>
      <c r="J1281" t="inlineStr">
        <is>
          <t>Drenagem Superficial</t>
        </is>
      </c>
      <c r="K1281" t="inlineStr">
        <is>
          <t>6.3</t>
        </is>
      </c>
      <c r="L1281" t="inlineStr">
        <is>
          <t>VPC 01</t>
        </is>
      </c>
      <c r="M1281" t="inlineStr">
        <is>
          <t>Dispositivo não executado</t>
        </is>
      </c>
      <c r="N1281" t="inlineStr">
        <is>
          <t>VPC não executada.</t>
        </is>
      </c>
      <c r="O1281" t="inlineStr">
        <is>
          <t>Tipo A</t>
        </is>
      </c>
      <c r="P1281" t="inlineStr">
        <is>
          <t>28+240</t>
        </is>
      </c>
      <c r="Q1281" t="inlineStr">
        <is>
          <t>28+294</t>
        </is>
      </c>
      <c r="R1281" t="inlineStr">
        <is>
          <t>Aberta</t>
        </is>
      </c>
      <c r="T1281" t="inlineStr">
        <is>
          <t>Aline Batista</t>
        </is>
      </c>
      <c r="U1281" t="inlineStr">
        <is>
          <t>15/05/2026</t>
        </is>
      </c>
      <c r="V1281" t="inlineStr">
        <is>
          <t>22/05/2026</t>
        </is>
      </c>
      <c r="W1281">
        <v>19</v>
      </c>
      <c r="AA1281" t="inlineStr">
        <is>
          <t>Aberta -30 dias</t>
        </is>
      </c>
      <c r="AB1281" t="inlineStr">
        <is>
          <t>EMPA</t>
        </is>
      </c>
      <c r="AC1281" t="inlineStr">
        <is>
          <t>Aline</t>
        </is>
      </c>
      <c r="AD1281" t="inlineStr">
        <is>
          <t>03/08/2026</t>
        </is>
      </c>
      <c r="AE1281" t="inlineStr">
        <is>
          <t>14/08/2026</t>
        </is>
      </c>
      <c r="AF1281" t="inlineStr">
        <is>
          <t>Prazo premissa VALE</t>
        </is>
      </c>
    </row>
    <row r="1282">
      <c r="A1282">
        <v>1280</v>
      </c>
      <c r="B1282">
        <v>1</v>
      </c>
      <c r="C1282" t="inlineStr">
        <is>
          <t>1.3</t>
        </is>
      </c>
      <c r="D1282" t="inlineStr">
        <is>
          <t>A47</t>
        </is>
      </c>
      <c r="F1282" t="inlineStr">
        <is>
          <t>EMPA</t>
        </is>
      </c>
      <c r="G1282" t="inlineStr">
        <is>
          <t>CLP-017</t>
        </is>
      </c>
      <c r="H1282" t="inlineStr">
        <is>
          <t>Protocolo</t>
        </is>
      </c>
      <c r="I1282">
        <v>6</v>
      </c>
      <c r="J1282" t="inlineStr">
        <is>
          <t>Drenagem Superficial</t>
        </is>
      </c>
      <c r="K1282" t="inlineStr">
        <is>
          <t>6.3</t>
        </is>
      </c>
      <c r="L1282" t="inlineStr">
        <is>
          <t>VPC 01</t>
        </is>
      </c>
      <c r="M1282" t="inlineStr">
        <is>
          <t>Dispositivo não executado</t>
        </is>
      </c>
      <c r="N1282" t="inlineStr">
        <is>
          <t>VPC não executada.</t>
        </is>
      </c>
      <c r="O1282" t="inlineStr">
        <is>
          <t>Tipo A</t>
        </is>
      </c>
      <c r="P1282" t="inlineStr">
        <is>
          <t>28+345</t>
        </is>
      </c>
      <c r="Q1282" t="inlineStr">
        <is>
          <t>28+297</t>
        </is>
      </c>
      <c r="R1282" t="inlineStr">
        <is>
          <t>Aberta</t>
        </is>
      </c>
      <c r="T1282" t="inlineStr">
        <is>
          <t>Aline Batista</t>
        </is>
      </c>
      <c r="U1282" t="inlineStr">
        <is>
          <t>15/05/2026</t>
        </is>
      </c>
      <c r="V1282" t="inlineStr">
        <is>
          <t>22/05/2026</t>
        </is>
      </c>
      <c r="W1282">
        <v>19</v>
      </c>
      <c r="AA1282" t="inlineStr">
        <is>
          <t>Aberta -30 dias</t>
        </is>
      </c>
      <c r="AB1282" t="inlineStr">
        <is>
          <t>EMPA</t>
        </is>
      </c>
      <c r="AC1282" t="inlineStr">
        <is>
          <t>Aline</t>
        </is>
      </c>
      <c r="AD1282" t="inlineStr">
        <is>
          <t>03/08/2026</t>
        </is>
      </c>
      <c r="AE1282" t="inlineStr">
        <is>
          <t>14/08/2026</t>
        </is>
      </c>
      <c r="AF1282" t="inlineStr">
        <is>
          <t>Prazo premissa VALE</t>
        </is>
      </c>
    </row>
    <row r="1283">
      <c r="A1283">
        <v>1281</v>
      </c>
      <c r="B1283">
        <v>1</v>
      </c>
      <c r="C1283" t="inlineStr">
        <is>
          <t>1.3</t>
        </is>
      </c>
      <c r="D1283" t="inlineStr">
        <is>
          <t>A47</t>
        </is>
      </c>
      <c r="F1283" t="inlineStr">
        <is>
          <t>EMPA</t>
        </is>
      </c>
      <c r="G1283" t="inlineStr">
        <is>
          <t>CLP-017</t>
        </is>
      </c>
      <c r="H1283" t="inlineStr">
        <is>
          <t>Protocolo</t>
        </is>
      </c>
      <c r="I1283">
        <v>6</v>
      </c>
      <c r="J1283" t="inlineStr">
        <is>
          <t>Drenagem Superficial</t>
        </is>
      </c>
      <c r="K1283" t="inlineStr">
        <is>
          <t>6.3</t>
        </is>
      </c>
      <c r="L1283" t="inlineStr">
        <is>
          <t>VPC 01</t>
        </is>
      </c>
      <c r="M1283" t="inlineStr">
        <is>
          <t>Dispositivo não executado</t>
        </is>
      </c>
      <c r="N1283" t="inlineStr">
        <is>
          <t>VPC não executada.</t>
        </is>
      </c>
      <c r="O1283" t="inlineStr">
        <is>
          <t>Tipo A</t>
        </is>
      </c>
      <c r="P1283" t="inlineStr">
        <is>
          <t>28+250</t>
        </is>
      </c>
      <c r="Q1283" t="inlineStr">
        <is>
          <t>28+284</t>
        </is>
      </c>
      <c r="R1283" t="inlineStr">
        <is>
          <t>Aberta</t>
        </is>
      </c>
      <c r="T1283" t="inlineStr">
        <is>
          <t>Aline Batista</t>
        </is>
      </c>
      <c r="U1283" t="inlineStr">
        <is>
          <t>15/05/2026</t>
        </is>
      </c>
      <c r="V1283" t="inlineStr">
        <is>
          <t>22/05/2026</t>
        </is>
      </c>
      <c r="W1283">
        <v>19</v>
      </c>
      <c r="AA1283" t="inlineStr">
        <is>
          <t>Aberta -30 dias</t>
        </is>
      </c>
      <c r="AB1283" t="inlineStr">
        <is>
          <t>EMPA</t>
        </is>
      </c>
      <c r="AC1283" t="inlineStr">
        <is>
          <t>Aline</t>
        </is>
      </c>
      <c r="AD1283" t="inlineStr">
        <is>
          <t>03/08/2026</t>
        </is>
      </c>
      <c r="AE1283" t="inlineStr">
        <is>
          <t>14/08/2026</t>
        </is>
      </c>
      <c r="AF1283" t="inlineStr">
        <is>
          <t>Prazo premissa VALE</t>
        </is>
      </c>
    </row>
    <row r="1284">
      <c r="A1284">
        <v>1282</v>
      </c>
      <c r="B1284">
        <v>1</v>
      </c>
      <c r="C1284" t="inlineStr">
        <is>
          <t>1.3</t>
        </is>
      </c>
      <c r="D1284" t="inlineStr">
        <is>
          <t>A47</t>
        </is>
      </c>
      <c r="F1284" t="inlineStr">
        <is>
          <t>EMPA</t>
        </is>
      </c>
      <c r="G1284" t="inlineStr">
        <is>
          <t>CLP-017</t>
        </is>
      </c>
      <c r="H1284" t="inlineStr">
        <is>
          <t>Protocolo</t>
        </is>
      </c>
      <c r="I1284">
        <v>6</v>
      </c>
      <c r="J1284" t="inlineStr">
        <is>
          <t>Drenagem Superficial</t>
        </is>
      </c>
      <c r="K1284" t="inlineStr">
        <is>
          <t>6.3</t>
        </is>
      </c>
      <c r="L1284" t="inlineStr">
        <is>
          <t>VPC 01</t>
        </is>
      </c>
      <c r="M1284" t="inlineStr">
        <is>
          <t>Dispositivo não executado</t>
        </is>
      </c>
      <c r="N1284" t="inlineStr">
        <is>
          <t>VPC não executada.</t>
        </is>
      </c>
      <c r="O1284" t="inlineStr">
        <is>
          <t>Tipo A</t>
        </is>
      </c>
      <c r="P1284" t="inlineStr">
        <is>
          <t>28+340</t>
        </is>
      </c>
      <c r="Q1284" t="inlineStr">
        <is>
          <t>28+288</t>
        </is>
      </c>
      <c r="R1284" t="inlineStr">
        <is>
          <t>Aberta</t>
        </is>
      </c>
      <c r="T1284" t="inlineStr">
        <is>
          <t>Aline Batista</t>
        </is>
      </c>
      <c r="U1284" t="inlineStr">
        <is>
          <t>15/05/2026</t>
        </is>
      </c>
      <c r="V1284" t="inlineStr">
        <is>
          <t>22/05/2026</t>
        </is>
      </c>
      <c r="W1284">
        <v>19</v>
      </c>
      <c r="AA1284" t="inlineStr">
        <is>
          <t>Aberta -30 dias</t>
        </is>
      </c>
      <c r="AB1284" t="inlineStr">
        <is>
          <t>EMPA</t>
        </is>
      </c>
      <c r="AC1284" t="inlineStr">
        <is>
          <t>Aline</t>
        </is>
      </c>
      <c r="AD1284" t="inlineStr">
        <is>
          <t>03/08/2026</t>
        </is>
      </c>
      <c r="AE1284" t="inlineStr">
        <is>
          <t>14/08/2026</t>
        </is>
      </c>
      <c r="AF1284" t="inlineStr">
        <is>
          <t>Prazo premissa VALE</t>
        </is>
      </c>
    </row>
    <row r="1285">
      <c r="A1285">
        <v>1283</v>
      </c>
      <c r="B1285">
        <v>1</v>
      </c>
      <c r="C1285" t="inlineStr">
        <is>
          <t>1.3</t>
        </is>
      </c>
      <c r="D1285" t="inlineStr">
        <is>
          <t>A47</t>
        </is>
      </c>
      <c r="F1285" t="inlineStr">
        <is>
          <t>EMPA</t>
        </is>
      </c>
      <c r="G1285" t="inlineStr">
        <is>
          <t>CLP-017</t>
        </is>
      </c>
      <c r="H1285" t="inlineStr">
        <is>
          <t>Protocolo</t>
        </is>
      </c>
      <c r="I1285">
        <v>6</v>
      </c>
      <c r="J1285" t="inlineStr">
        <is>
          <t>Drenagem Superficial</t>
        </is>
      </c>
      <c r="K1285" t="inlineStr">
        <is>
          <t>6.3</t>
        </is>
      </c>
      <c r="L1285" t="inlineStr">
        <is>
          <t>VPC 01</t>
        </is>
      </c>
      <c r="M1285" t="inlineStr">
        <is>
          <t>Dispositivo não executado</t>
        </is>
      </c>
      <c r="N1285" t="inlineStr">
        <is>
          <t>TSS não executado.</t>
        </is>
      </c>
      <c r="O1285" t="inlineStr">
        <is>
          <t>Tipo A</t>
        </is>
      </c>
      <c r="P1285" t="inlineStr">
        <is>
          <t>28+208</t>
        </is>
      </c>
      <c r="Q1285" t="inlineStr">
        <is>
          <t>28+214</t>
        </is>
      </c>
      <c r="R1285" t="inlineStr">
        <is>
          <t>Aberta</t>
        </is>
      </c>
      <c r="T1285" t="inlineStr">
        <is>
          <t>Aline Batista</t>
        </is>
      </c>
      <c r="U1285" t="inlineStr">
        <is>
          <t>15/05/2026</t>
        </is>
      </c>
      <c r="V1285" t="inlineStr">
        <is>
          <t>22/05/2026</t>
        </is>
      </c>
      <c r="W1285">
        <v>19</v>
      </c>
      <c r="AA1285" t="inlineStr">
        <is>
          <t>Aberta -30 dias</t>
        </is>
      </c>
      <c r="AB1285" t="inlineStr">
        <is>
          <t>EMPA</t>
        </is>
      </c>
      <c r="AC1285" t="inlineStr">
        <is>
          <t>Aline</t>
        </is>
      </c>
      <c r="AD1285" t="inlineStr">
        <is>
          <t>03/08/2026</t>
        </is>
      </c>
      <c r="AE1285" t="inlineStr">
        <is>
          <t>14/08/2026</t>
        </is>
      </c>
      <c r="AF1285" t="inlineStr">
        <is>
          <t>Prazo premissa VALE</t>
        </is>
      </c>
    </row>
    <row r="1286">
      <c r="A1286">
        <v>1284</v>
      </c>
      <c r="B1286">
        <v>1</v>
      </c>
      <c r="C1286" t="inlineStr">
        <is>
          <t>1.3</t>
        </is>
      </c>
      <c r="D1286" t="inlineStr">
        <is>
          <t>A47</t>
        </is>
      </c>
      <c r="F1286" t="inlineStr">
        <is>
          <t>EMPA</t>
        </is>
      </c>
      <c r="G1286" t="inlineStr">
        <is>
          <t>CLP-017</t>
        </is>
      </c>
      <c r="H1286" t="inlineStr">
        <is>
          <t>Protocolo</t>
        </is>
      </c>
      <c r="I1286">
        <v>6</v>
      </c>
      <c r="J1286" t="inlineStr">
        <is>
          <t>Drenagem Superficial</t>
        </is>
      </c>
      <c r="K1286" t="inlineStr">
        <is>
          <t>6.4</t>
        </is>
      </c>
      <c r="L1286" t="inlineStr">
        <is>
          <t>TSS 03</t>
        </is>
      </c>
      <c r="M1286" t="inlineStr">
        <is>
          <t>Dispositivo não executado</t>
        </is>
      </c>
      <c r="N1286" t="inlineStr">
        <is>
          <t>STA não executada.</t>
        </is>
      </c>
      <c r="O1286" t="inlineStr">
        <is>
          <t>Tipo A</t>
        </is>
      </c>
      <c r="P1286" t="inlineStr">
        <is>
          <t xml:space="preserve">0+230
(Acesso km 28+360)</t>
        </is>
      </c>
      <c r="Q1286" t="inlineStr">
        <is>
          <t xml:space="preserve">0+345
(Acesso km 28+360)</t>
        </is>
      </c>
      <c r="R1286" t="inlineStr">
        <is>
          <t>Aberta</t>
        </is>
      </c>
      <c r="T1286" t="inlineStr">
        <is>
          <t>Aline Batista</t>
        </is>
      </c>
      <c r="U1286" t="inlineStr">
        <is>
          <t>15/05/2026</t>
        </is>
      </c>
      <c r="V1286" t="inlineStr">
        <is>
          <t>22/05/2026</t>
        </is>
      </c>
      <c r="W1286">
        <v>19</v>
      </c>
      <c r="AA1286" t="inlineStr">
        <is>
          <t>Aberta -30 dias</t>
        </is>
      </c>
      <c r="AB1286" t="inlineStr">
        <is>
          <t>EMPA</t>
        </is>
      </c>
      <c r="AC1286" t="inlineStr">
        <is>
          <t>Aline</t>
        </is>
      </c>
      <c r="AD1286" t="inlineStr">
        <is>
          <t>03/08/2026</t>
        </is>
      </c>
      <c r="AE1286" t="inlineStr">
        <is>
          <t>14/08/2026</t>
        </is>
      </c>
      <c r="AF1286" t="inlineStr">
        <is>
          <t>Prazo premissa VALE</t>
        </is>
      </c>
    </row>
    <row r="1287">
      <c r="A1287">
        <v>1285</v>
      </c>
      <c r="B1287">
        <v>1</v>
      </c>
      <c r="C1287" t="inlineStr">
        <is>
          <t>1.3</t>
        </is>
      </c>
      <c r="D1287" t="inlineStr">
        <is>
          <t>A47</t>
        </is>
      </c>
      <c r="F1287" t="inlineStr">
        <is>
          <t>EMPA</t>
        </is>
      </c>
      <c r="G1287" t="inlineStr">
        <is>
          <t>CLP-017</t>
        </is>
      </c>
      <c r="H1287" t="inlineStr">
        <is>
          <t>Protocolo</t>
        </is>
      </c>
      <c r="I1287">
        <v>6</v>
      </c>
      <c r="J1287" t="inlineStr">
        <is>
          <t>Drenagem Superficial</t>
        </is>
      </c>
      <c r="K1287" t="inlineStr">
        <is>
          <t>6.4</t>
        </is>
      </c>
      <c r="L1287" t="inlineStr">
        <is>
          <t>STA 01</t>
        </is>
      </c>
      <c r="M1287" t="inlineStr">
        <is>
          <t>Dispositivo não executado</t>
        </is>
      </c>
      <c r="N1287" t="inlineStr">
        <is>
          <t>STA não executada.</t>
        </is>
      </c>
      <c r="O1287" t="inlineStr">
        <is>
          <t>Tipo A</t>
        </is>
      </c>
      <c r="P1287" t="inlineStr">
        <is>
          <t xml:space="preserve">0+215
(Acesso km 28+360)</t>
        </is>
      </c>
      <c r="Q1287" t="inlineStr">
        <is>
          <t xml:space="preserve">0+120
(Acesso km 28+360)</t>
        </is>
      </c>
      <c r="R1287" t="inlineStr">
        <is>
          <t>Aberta</t>
        </is>
      </c>
      <c r="T1287" t="inlineStr">
        <is>
          <t>Aline Batista</t>
        </is>
      </c>
      <c r="U1287" t="inlineStr">
        <is>
          <t>15/05/2026</t>
        </is>
      </c>
      <c r="V1287" t="inlineStr">
        <is>
          <t>22/05/2026</t>
        </is>
      </c>
      <c r="W1287">
        <v>19</v>
      </c>
      <c r="AA1287" t="inlineStr">
        <is>
          <t>Aberta -30 dias</t>
        </is>
      </c>
      <c r="AB1287" t="inlineStr">
        <is>
          <t>EMPA</t>
        </is>
      </c>
      <c r="AC1287" t="inlineStr">
        <is>
          <t>Aline</t>
        </is>
      </c>
      <c r="AD1287" t="inlineStr">
        <is>
          <t>03/08/2026</t>
        </is>
      </c>
      <c r="AE1287" t="inlineStr">
        <is>
          <t>14/08/2026</t>
        </is>
      </c>
      <c r="AF1287" t="inlineStr">
        <is>
          <t>Prazo premissa VALE</t>
        </is>
      </c>
    </row>
    <row r="1288">
      <c r="A1288">
        <v>1286</v>
      </c>
      <c r="B1288">
        <v>1</v>
      </c>
      <c r="C1288" t="inlineStr">
        <is>
          <t>1.3</t>
        </is>
      </c>
      <c r="D1288" t="inlineStr">
        <is>
          <t>A47</t>
        </is>
      </c>
      <c r="F1288" t="inlineStr">
        <is>
          <t>EMPA</t>
        </is>
      </c>
      <c r="G1288" t="inlineStr">
        <is>
          <t>CLP-017</t>
        </is>
      </c>
      <c r="H1288" t="inlineStr">
        <is>
          <t>Protocolo</t>
        </is>
      </c>
      <c r="I1288">
        <v>6</v>
      </c>
      <c r="J1288" t="inlineStr">
        <is>
          <t>Drenagem Superficial</t>
        </is>
      </c>
      <c r="K1288" t="inlineStr">
        <is>
          <t>6.4</t>
        </is>
      </c>
      <c r="L1288" t="inlineStr">
        <is>
          <t>STA 01</t>
        </is>
      </c>
      <c r="M1288" t="inlineStr">
        <is>
          <t>Dispositivo não executado</t>
        </is>
      </c>
      <c r="N1288" t="inlineStr">
        <is>
          <t>VPC não executada.</t>
        </is>
      </c>
      <c r="O1288" t="inlineStr">
        <is>
          <t>Tipo A</t>
        </is>
      </c>
      <c r="P1288" t="inlineStr">
        <is>
          <t xml:space="preserve">0+110
(Acesso km 28+360)</t>
        </is>
      </c>
      <c r="Q1288" t="inlineStr">
        <is>
          <t xml:space="preserve">0+137
(Acesso km 28+360)</t>
        </is>
      </c>
      <c r="R1288" t="inlineStr">
        <is>
          <t>Aberta</t>
        </is>
      </c>
      <c r="T1288" t="inlineStr">
        <is>
          <t>Aline Batista</t>
        </is>
      </c>
      <c r="U1288" t="inlineStr">
        <is>
          <t>15/05/2026</t>
        </is>
      </c>
      <c r="V1288" t="inlineStr">
        <is>
          <t>22/05/2026</t>
        </is>
      </c>
      <c r="W1288">
        <v>19</v>
      </c>
      <c r="AA1288" t="inlineStr">
        <is>
          <t>Aberta -30 dias</t>
        </is>
      </c>
      <c r="AB1288" t="inlineStr">
        <is>
          <t>EMPA</t>
        </is>
      </c>
      <c r="AC1288" t="inlineStr">
        <is>
          <t>Aline</t>
        </is>
      </c>
      <c r="AD1288" t="inlineStr">
        <is>
          <t>03/08/2026</t>
        </is>
      </c>
      <c r="AE1288" t="inlineStr">
        <is>
          <t>14/08/2026</t>
        </is>
      </c>
      <c r="AF1288" t="inlineStr">
        <is>
          <t>Prazo premissa VALE</t>
        </is>
      </c>
    </row>
    <row r="1289">
      <c r="A1289">
        <v>1287</v>
      </c>
      <c r="B1289">
        <v>1</v>
      </c>
      <c r="C1289" t="inlineStr">
        <is>
          <t>1.3</t>
        </is>
      </c>
      <c r="D1289" t="inlineStr">
        <is>
          <t>A47</t>
        </is>
      </c>
      <c r="F1289" t="inlineStr">
        <is>
          <t>EMPA</t>
        </is>
      </c>
      <c r="G1289" t="inlineStr">
        <is>
          <t>CLP-017</t>
        </is>
      </c>
      <c r="H1289" t="inlineStr">
        <is>
          <t>Protocolo</t>
        </is>
      </c>
      <c r="I1289">
        <v>6</v>
      </c>
      <c r="J1289" t="inlineStr">
        <is>
          <t>Drenagem Superficial</t>
        </is>
      </c>
      <c r="K1289" t="inlineStr">
        <is>
          <t>6.4</t>
        </is>
      </c>
      <c r="L1289" t="inlineStr">
        <is>
          <t>VPC 01</t>
        </is>
      </c>
      <c r="M1289" t="inlineStr">
        <is>
          <t>Dispositivo não executado</t>
        </is>
      </c>
      <c r="N1289" t="inlineStr">
        <is>
          <t>VPC não executada.</t>
        </is>
      </c>
      <c r="O1289" t="inlineStr">
        <is>
          <t>Tipo A</t>
        </is>
      </c>
      <c r="P1289" t="inlineStr">
        <is>
          <t xml:space="preserve">0+190
(Acesso km 28+360)</t>
        </is>
      </c>
      <c r="Q1289" t="inlineStr">
        <is>
          <t xml:space="preserve">0+141
(Acesso km 28+360)</t>
        </is>
      </c>
      <c r="R1289" t="inlineStr">
        <is>
          <t>Aberta</t>
        </is>
      </c>
      <c r="T1289" t="inlineStr">
        <is>
          <t>Aline Batista</t>
        </is>
      </c>
      <c r="U1289" t="inlineStr">
        <is>
          <t>15/05/2026</t>
        </is>
      </c>
      <c r="V1289" t="inlineStr">
        <is>
          <t>22/05/2026</t>
        </is>
      </c>
      <c r="W1289">
        <v>19</v>
      </c>
      <c r="AA1289" t="inlineStr">
        <is>
          <t>Aberta -30 dias</t>
        </is>
      </c>
      <c r="AB1289" t="inlineStr">
        <is>
          <t>EMPA</t>
        </is>
      </c>
      <c r="AC1289" t="inlineStr">
        <is>
          <t>Aline</t>
        </is>
      </c>
      <c r="AD1289" t="inlineStr">
        <is>
          <t>03/08/2026</t>
        </is>
      </c>
      <c r="AE1289" t="inlineStr">
        <is>
          <t>14/08/2026</t>
        </is>
      </c>
      <c r="AF1289" t="inlineStr">
        <is>
          <t>Prazo premissa VALE</t>
        </is>
      </c>
    </row>
    <row r="1290">
      <c r="A1290">
        <v>1288</v>
      </c>
      <c r="B1290">
        <v>1</v>
      </c>
      <c r="C1290" t="inlineStr">
        <is>
          <t>1.3</t>
        </is>
      </c>
      <c r="D1290" t="inlineStr">
        <is>
          <t>A47</t>
        </is>
      </c>
      <c r="F1290" t="inlineStr">
        <is>
          <t>EMPA</t>
        </is>
      </c>
      <c r="G1290" t="inlineStr">
        <is>
          <t>CLP-017</t>
        </is>
      </c>
      <c r="H1290" t="inlineStr">
        <is>
          <t>Protocolo</t>
        </is>
      </c>
      <c r="I1290">
        <v>6</v>
      </c>
      <c r="J1290" t="inlineStr">
        <is>
          <t>Drenagem Superficial</t>
        </is>
      </c>
      <c r="K1290" t="inlineStr">
        <is>
          <t>6.4</t>
        </is>
      </c>
      <c r="L1290" t="inlineStr">
        <is>
          <t>VPC 01</t>
        </is>
      </c>
      <c r="M1290" t="inlineStr">
        <is>
          <t>Dispositivo não executado</t>
        </is>
      </c>
      <c r="N1290" t="inlineStr">
        <is>
          <t>VPC não executada.</t>
        </is>
      </c>
      <c r="O1290" t="inlineStr">
        <is>
          <t>Tipo A</t>
        </is>
      </c>
      <c r="P1290" t="inlineStr">
        <is>
          <t xml:space="preserve">0+190
(Acesso km 28+360)</t>
        </is>
      </c>
      <c r="Q1290" t="inlineStr">
        <is>
          <t xml:space="preserve">0+210
(Acesso km 28+360)</t>
        </is>
      </c>
      <c r="R1290" t="inlineStr">
        <is>
          <t>Aberta</t>
        </is>
      </c>
      <c r="T1290" t="inlineStr">
        <is>
          <t>Aline Batista</t>
        </is>
      </c>
      <c r="U1290" t="inlineStr">
        <is>
          <t>15/05/2026</t>
        </is>
      </c>
      <c r="V1290" t="inlineStr">
        <is>
          <t>22/05/2026</t>
        </is>
      </c>
      <c r="W1290">
        <v>19</v>
      </c>
      <c r="AA1290" t="inlineStr">
        <is>
          <t>Aberta -30 dias</t>
        </is>
      </c>
      <c r="AB1290" t="inlineStr">
        <is>
          <t>EMPA</t>
        </is>
      </c>
      <c r="AC1290" t="inlineStr">
        <is>
          <t>Aline</t>
        </is>
      </c>
      <c r="AD1290" t="inlineStr">
        <is>
          <t>03/08/2026</t>
        </is>
      </c>
      <c r="AE1290" t="inlineStr">
        <is>
          <t>14/08/2026</t>
        </is>
      </c>
      <c r="AF1290" t="inlineStr">
        <is>
          <t>Prazo premissa VALE</t>
        </is>
      </c>
    </row>
    <row r="1291">
      <c r="A1291">
        <v>1289</v>
      </c>
      <c r="B1291">
        <v>1</v>
      </c>
      <c r="C1291" t="inlineStr">
        <is>
          <t>1.3</t>
        </is>
      </c>
      <c r="D1291" t="inlineStr">
        <is>
          <t>A47</t>
        </is>
      </c>
      <c r="F1291" t="inlineStr">
        <is>
          <t>EMPA</t>
        </is>
      </c>
      <c r="G1291" t="inlineStr">
        <is>
          <t>CLP-017</t>
        </is>
      </c>
      <c r="H1291" t="inlineStr">
        <is>
          <t>Protocolo</t>
        </is>
      </c>
      <c r="I1291">
        <v>6</v>
      </c>
      <c r="J1291" t="inlineStr">
        <is>
          <t>Drenagem Superficial</t>
        </is>
      </c>
      <c r="K1291" t="inlineStr">
        <is>
          <t>6.4</t>
        </is>
      </c>
      <c r="L1291" t="inlineStr">
        <is>
          <t>VPC 01</t>
        </is>
      </c>
      <c r="M1291" t="inlineStr">
        <is>
          <t>Dispositivo não executado</t>
        </is>
      </c>
      <c r="N1291" t="inlineStr">
        <is>
          <t>VPC não executada.</t>
        </is>
      </c>
      <c r="O1291" t="inlineStr">
        <is>
          <t>Tipo A</t>
        </is>
      </c>
      <c r="P1291" t="inlineStr">
        <is>
          <t>28+375</t>
        </is>
      </c>
      <c r="Q1291" t="inlineStr">
        <is>
          <t>28+405</t>
        </is>
      </c>
      <c r="R1291" t="inlineStr">
        <is>
          <t>Aberta</t>
        </is>
      </c>
      <c r="T1291" t="inlineStr">
        <is>
          <t>Aline Batista</t>
        </is>
      </c>
      <c r="U1291" t="inlineStr">
        <is>
          <t>15/05/2026</t>
        </is>
      </c>
      <c r="V1291" t="inlineStr">
        <is>
          <t>22/05/2026</t>
        </is>
      </c>
      <c r="W1291">
        <v>19</v>
      </c>
      <c r="AA1291" t="inlineStr">
        <is>
          <t>Aberta -30 dias</t>
        </is>
      </c>
      <c r="AB1291" t="inlineStr">
        <is>
          <t>EMPA</t>
        </is>
      </c>
      <c r="AC1291" t="inlineStr">
        <is>
          <t>Aline</t>
        </is>
      </c>
      <c r="AD1291" t="inlineStr">
        <is>
          <t>03/08/2026</t>
        </is>
      </c>
      <c r="AE1291" t="inlineStr">
        <is>
          <t>14/08/2026</t>
        </is>
      </c>
      <c r="AF1291" t="inlineStr">
        <is>
          <t>Prazo premissa VALE</t>
        </is>
      </c>
    </row>
    <row r="1292">
      <c r="A1292">
        <v>1290</v>
      </c>
      <c r="B1292">
        <v>1</v>
      </c>
      <c r="C1292" t="inlineStr">
        <is>
          <t>1.3</t>
        </is>
      </c>
      <c r="D1292" t="inlineStr">
        <is>
          <t>A47</t>
        </is>
      </c>
      <c r="F1292" t="inlineStr">
        <is>
          <t>EMPA</t>
        </is>
      </c>
      <c r="G1292" t="inlineStr">
        <is>
          <t>CLP-017</t>
        </is>
      </c>
      <c r="H1292" t="inlineStr">
        <is>
          <t>Protocolo</t>
        </is>
      </c>
      <c r="I1292">
        <v>6</v>
      </c>
      <c r="J1292" t="inlineStr">
        <is>
          <t>Drenagem Superficial</t>
        </is>
      </c>
      <c r="K1292" t="inlineStr">
        <is>
          <t>6.4</t>
        </is>
      </c>
      <c r="L1292" t="inlineStr">
        <is>
          <t>VPC 01</t>
        </is>
      </c>
      <c r="M1292" t="inlineStr">
        <is>
          <t>Dispositivo não executado</t>
        </is>
      </c>
      <c r="N1292" t="inlineStr">
        <is>
          <t>VPC não executada.</t>
        </is>
      </c>
      <c r="O1292" t="inlineStr">
        <is>
          <t>Tipo A</t>
        </is>
      </c>
      <c r="P1292" t="inlineStr">
        <is>
          <t>28+405</t>
        </is>
      </c>
      <c r="Q1292" t="inlineStr">
        <is>
          <t>28+470</t>
        </is>
      </c>
      <c r="R1292" t="inlineStr">
        <is>
          <t>Aberta</t>
        </is>
      </c>
      <c r="T1292" t="inlineStr">
        <is>
          <t>Aline Batista</t>
        </is>
      </c>
      <c r="U1292" t="inlineStr">
        <is>
          <t>15/05/2026</t>
        </is>
      </c>
      <c r="V1292" t="inlineStr">
        <is>
          <t>22/05/2026</t>
        </is>
      </c>
      <c r="W1292">
        <v>19</v>
      </c>
      <c r="AA1292" t="inlineStr">
        <is>
          <t>Aberta -30 dias</t>
        </is>
      </c>
      <c r="AB1292" t="inlineStr">
        <is>
          <t>EMPA</t>
        </is>
      </c>
      <c r="AC1292" t="inlineStr">
        <is>
          <t>Aline</t>
        </is>
      </c>
      <c r="AD1292" t="inlineStr">
        <is>
          <t>03/08/2026</t>
        </is>
      </c>
      <c r="AE1292" t="inlineStr">
        <is>
          <t>14/08/2026</t>
        </is>
      </c>
      <c r="AF1292" t="inlineStr">
        <is>
          <t>Prazo premissa VALE</t>
        </is>
      </c>
    </row>
    <row r="1293">
      <c r="A1293">
        <v>1291</v>
      </c>
      <c r="B1293">
        <v>1</v>
      </c>
      <c r="C1293" t="inlineStr">
        <is>
          <t>1.3</t>
        </is>
      </c>
      <c r="D1293" t="inlineStr">
        <is>
          <t>A47</t>
        </is>
      </c>
      <c r="F1293" t="inlineStr">
        <is>
          <t>EMPA</t>
        </is>
      </c>
      <c r="G1293" t="inlineStr">
        <is>
          <t>CLP-017</t>
        </is>
      </c>
      <c r="H1293" t="inlineStr">
        <is>
          <t>Protocolo</t>
        </is>
      </c>
      <c r="I1293">
        <v>6</v>
      </c>
      <c r="J1293" t="inlineStr">
        <is>
          <t>Drenagem Superficial</t>
        </is>
      </c>
      <c r="K1293" t="inlineStr">
        <is>
          <t>6.4</t>
        </is>
      </c>
      <c r="L1293" t="inlineStr">
        <is>
          <t>VPC 02</t>
        </is>
      </c>
      <c r="M1293" t="inlineStr">
        <is>
          <t>Dispositivo não executado</t>
        </is>
      </c>
      <c r="N1293" t="inlineStr">
        <is>
          <t>VPC não executada.</t>
        </is>
      </c>
      <c r="O1293" t="inlineStr">
        <is>
          <t>Tipo A</t>
        </is>
      </c>
      <c r="P1293" t="inlineStr">
        <is>
          <t>28+470</t>
        </is>
      </c>
      <c r="Q1293" t="inlineStr">
        <is>
          <t>28+543</t>
        </is>
      </c>
      <c r="R1293" t="inlineStr">
        <is>
          <t>Aberta</t>
        </is>
      </c>
      <c r="T1293" t="inlineStr">
        <is>
          <t>Aline Batista</t>
        </is>
      </c>
      <c r="U1293" t="inlineStr">
        <is>
          <t>15/05/2026</t>
        </is>
      </c>
      <c r="V1293" t="inlineStr">
        <is>
          <t>22/05/2026</t>
        </is>
      </c>
      <c r="W1293">
        <v>19</v>
      </c>
      <c r="AA1293" t="inlineStr">
        <is>
          <t>Aberta -30 dias</t>
        </is>
      </c>
      <c r="AB1293" t="inlineStr">
        <is>
          <t>EMPA</t>
        </is>
      </c>
      <c r="AC1293" t="inlineStr">
        <is>
          <t>Aline</t>
        </is>
      </c>
      <c r="AD1293" t="inlineStr">
        <is>
          <t>03/08/2026</t>
        </is>
      </c>
      <c r="AE1293" t="inlineStr">
        <is>
          <t>14/08/2026</t>
        </is>
      </c>
      <c r="AF1293" t="inlineStr">
        <is>
          <t>Prazo premissa VALE</t>
        </is>
      </c>
    </row>
    <row r="1294">
      <c r="A1294">
        <v>1292</v>
      </c>
      <c r="B1294">
        <v>1</v>
      </c>
      <c r="C1294" t="inlineStr">
        <is>
          <t>1.3</t>
        </is>
      </c>
      <c r="D1294" t="inlineStr">
        <is>
          <t>A47</t>
        </is>
      </c>
      <c r="F1294" t="inlineStr">
        <is>
          <t>EMPA</t>
        </is>
      </c>
      <c r="G1294" t="inlineStr">
        <is>
          <t>CLP-017</t>
        </is>
      </c>
      <c r="H1294" t="inlineStr">
        <is>
          <t>Protocolo</t>
        </is>
      </c>
      <c r="I1294">
        <v>6</v>
      </c>
      <c r="J1294" t="inlineStr">
        <is>
          <t>Drenagem Superficial</t>
        </is>
      </c>
      <c r="K1294" t="inlineStr">
        <is>
          <t>6.4</t>
        </is>
      </c>
      <c r="L1294" t="inlineStr">
        <is>
          <t>VPC 02</t>
        </is>
      </c>
      <c r="M1294" t="inlineStr">
        <is>
          <t>Dispositivo não executado</t>
        </is>
      </c>
      <c r="N1294" t="inlineStr">
        <is>
          <t>Dissipador de energia não executado.</t>
        </is>
      </c>
      <c r="O1294" t="inlineStr">
        <is>
          <t>Tipo A</t>
        </is>
      </c>
      <c r="P1294" t="inlineStr">
        <is>
          <t>27+612</t>
        </is>
      </c>
      <c r="Q1294" t="inlineStr">
        <is>
          <t>27+612</t>
        </is>
      </c>
      <c r="R1294" t="inlineStr">
        <is>
          <t>Aberta</t>
        </is>
      </c>
      <c r="T1294" t="inlineStr">
        <is>
          <t>Aline Batista</t>
        </is>
      </c>
      <c r="U1294" t="inlineStr">
        <is>
          <t>15/05/2026</t>
        </is>
      </c>
      <c r="V1294" t="inlineStr">
        <is>
          <t>22/05/2026</t>
        </is>
      </c>
      <c r="W1294">
        <v>19</v>
      </c>
      <c r="AA1294" t="inlineStr">
        <is>
          <t>Aberta -30 dias</t>
        </is>
      </c>
      <c r="AB1294" t="inlineStr">
        <is>
          <t>EMPA</t>
        </is>
      </c>
      <c r="AC1294" t="inlineStr">
        <is>
          <t>Aline</t>
        </is>
      </c>
      <c r="AD1294" t="inlineStr">
        <is>
          <t>03/08/2026</t>
        </is>
      </c>
      <c r="AE1294" t="inlineStr">
        <is>
          <t>14/08/2026</t>
        </is>
      </c>
      <c r="AF1294" t="inlineStr">
        <is>
          <t>Prazo premissa VALE</t>
        </is>
      </c>
    </row>
    <row r="1295">
      <c r="A1295">
        <v>1293</v>
      </c>
      <c r="B1295">
        <v>1</v>
      </c>
      <c r="C1295" t="inlineStr">
        <is>
          <t>1.3</t>
        </is>
      </c>
      <c r="D1295" t="inlineStr">
        <is>
          <t>C44</t>
        </is>
      </c>
      <c r="E1295" t="inlineStr">
        <is>
          <t>LD</t>
        </is>
      </c>
      <c r="F1295" t="inlineStr">
        <is>
          <t>EMPA</t>
        </is>
      </c>
      <c r="G1295" t="inlineStr">
        <is>
          <t>CLP-017</t>
        </is>
      </c>
      <c r="H1295" t="inlineStr">
        <is>
          <t>Protocolo</t>
        </is>
      </c>
      <c r="I1295">
        <v>6</v>
      </c>
      <c r="J1295" t="inlineStr">
        <is>
          <t>Drenagem Superficial</t>
        </is>
      </c>
      <c r="K1295" t="inlineStr">
        <is>
          <t>6.5</t>
        </is>
      </c>
      <c r="L1295" t="inlineStr">
        <is>
          <t>DVS 01</t>
        </is>
      </c>
      <c r="M1295" t="inlineStr">
        <is>
          <t>Dispositivo não executado</t>
        </is>
      </c>
      <c r="N1295" t="inlineStr">
        <is>
          <t>Pendente execução de de dissipador</t>
        </is>
      </c>
      <c r="O1295" t="inlineStr">
        <is>
          <t>Tipo A</t>
        </is>
      </c>
      <c r="P1295" t="inlineStr">
        <is>
          <t>29+980</t>
        </is>
      </c>
      <c r="Q1295">
        <v>29980</v>
      </c>
      <c r="R1295" t="inlineStr">
        <is>
          <t>Aberta</t>
        </is>
      </c>
      <c r="T1295" t="inlineStr">
        <is>
          <t>Aline Batista</t>
        </is>
      </c>
      <c r="U1295" t="inlineStr">
        <is>
          <t>15/05/2026</t>
        </is>
      </c>
      <c r="V1295" t="inlineStr">
        <is>
          <t>22/05/2026</t>
        </is>
      </c>
      <c r="W1295">
        <v>19</v>
      </c>
      <c r="AA1295" t="inlineStr">
        <is>
          <t>Aberta -30 dias</t>
        </is>
      </c>
      <c r="AB1295" t="inlineStr">
        <is>
          <t>EMPA</t>
        </is>
      </c>
      <c r="AC1295" t="inlineStr">
        <is>
          <t>Aline</t>
        </is>
      </c>
      <c r="AD1295" t="inlineStr">
        <is>
          <t>03/08/2026</t>
        </is>
      </c>
      <c r="AE1295" t="inlineStr">
        <is>
          <t>10/08/2026</t>
        </is>
      </c>
      <c r="AF1295" t="inlineStr">
        <is>
          <t>Prazo Premissa VALE</t>
        </is>
      </c>
    </row>
    <row r="1296">
      <c r="A1296">
        <v>1294</v>
      </c>
      <c r="B1296">
        <v>1</v>
      </c>
      <c r="C1296" t="inlineStr">
        <is>
          <t>1.3</t>
        </is>
      </c>
      <c r="D1296" t="inlineStr">
        <is>
          <t>A47</t>
        </is>
      </c>
      <c r="F1296" t="inlineStr">
        <is>
          <t>EMPA</t>
        </is>
      </c>
      <c r="G1296" t="inlineStr">
        <is>
          <t>CLP-017</t>
        </is>
      </c>
      <c r="H1296" t="inlineStr">
        <is>
          <t>Protocolo</t>
        </is>
      </c>
      <c r="I1296">
        <v>6</v>
      </c>
      <c r="J1296" t="inlineStr">
        <is>
          <t>Drenagem Superficial</t>
        </is>
      </c>
      <c r="K1296" t="inlineStr">
        <is>
          <t>6.5</t>
        </is>
      </c>
      <c r="L1296" t="inlineStr">
        <is>
          <t>DED</t>
        </is>
      </c>
      <c r="M1296" t="inlineStr">
        <is>
          <t>Dispositivo não executado</t>
        </is>
      </c>
      <c r="N1296" t="inlineStr">
        <is>
          <t>Dissipador de energia não executado.</t>
        </is>
      </c>
      <c r="O1296" t="inlineStr">
        <is>
          <t>Tipo A</t>
        </is>
      </c>
      <c r="P1296" t="inlineStr">
        <is>
          <t>27+135</t>
        </is>
      </c>
      <c r="Q1296" t="inlineStr">
        <is>
          <t>27+135</t>
        </is>
      </c>
      <c r="R1296" t="inlineStr">
        <is>
          <t>Aberta</t>
        </is>
      </c>
      <c r="T1296" t="inlineStr">
        <is>
          <t>Aline Batista</t>
        </is>
      </c>
      <c r="U1296" t="inlineStr">
        <is>
          <t>15/05/2026</t>
        </is>
      </c>
      <c r="V1296" t="inlineStr">
        <is>
          <t>22/05/2026</t>
        </is>
      </c>
      <c r="W1296">
        <v>19</v>
      </c>
      <c r="AA1296" t="inlineStr">
        <is>
          <t>Aberta -30 dias</t>
        </is>
      </c>
      <c r="AB1296" t="inlineStr">
        <is>
          <t>EMPA</t>
        </is>
      </c>
      <c r="AC1296" t="inlineStr">
        <is>
          <t>Aline</t>
        </is>
      </c>
      <c r="AD1296" t="inlineStr">
        <is>
          <t>03/08/2026</t>
        </is>
      </c>
      <c r="AE1296" t="inlineStr">
        <is>
          <t>14/08/2026</t>
        </is>
      </c>
      <c r="AF1296" t="inlineStr">
        <is>
          <t>Prazo premissa VALE</t>
        </is>
      </c>
    </row>
    <row r="1297">
      <c r="A1297">
        <v>1295</v>
      </c>
      <c r="B1297">
        <v>1</v>
      </c>
      <c r="C1297" t="inlineStr">
        <is>
          <t>1.3</t>
        </is>
      </c>
      <c r="D1297" t="inlineStr">
        <is>
          <t>A47</t>
        </is>
      </c>
      <c r="F1297" t="inlineStr">
        <is>
          <t>EMPA</t>
        </is>
      </c>
      <c r="G1297" t="inlineStr">
        <is>
          <t>CLP-017</t>
        </is>
      </c>
      <c r="H1297" t="inlineStr">
        <is>
          <t>Protocolo</t>
        </is>
      </c>
      <c r="I1297">
        <v>6</v>
      </c>
      <c r="J1297" t="inlineStr">
        <is>
          <t>Drenagem Superficial</t>
        </is>
      </c>
      <c r="K1297" t="inlineStr">
        <is>
          <t>6.5</t>
        </is>
      </c>
      <c r="L1297" t="inlineStr">
        <is>
          <t>DVS 02</t>
        </is>
      </c>
      <c r="M1297" t="inlineStr">
        <is>
          <t>Dispositivo não executado</t>
        </is>
      </c>
      <c r="N1297" t="inlineStr">
        <is>
          <t>Dissipador de energia não executado.</t>
        </is>
      </c>
      <c r="O1297" t="inlineStr">
        <is>
          <t>Tipo A</t>
        </is>
      </c>
      <c r="P1297" t="inlineStr">
        <is>
          <t>27+891</t>
        </is>
      </c>
      <c r="Q1297" t="inlineStr">
        <is>
          <t>27+891</t>
        </is>
      </c>
      <c r="R1297" t="inlineStr">
        <is>
          <t>Aberta</t>
        </is>
      </c>
      <c r="T1297" t="inlineStr">
        <is>
          <t>Aline Batista</t>
        </is>
      </c>
      <c r="U1297" t="inlineStr">
        <is>
          <t>15/05/2026</t>
        </is>
      </c>
      <c r="V1297" t="inlineStr">
        <is>
          <t>22/05/2026</t>
        </is>
      </c>
      <c r="W1297">
        <v>19</v>
      </c>
      <c r="AA1297" t="inlineStr">
        <is>
          <t>Aberta -30 dias</t>
        </is>
      </c>
      <c r="AB1297" t="inlineStr">
        <is>
          <t>EMPA</t>
        </is>
      </c>
      <c r="AC1297" t="inlineStr">
        <is>
          <t>Aline</t>
        </is>
      </c>
      <c r="AD1297" t="inlineStr">
        <is>
          <t>03/08/2026</t>
        </is>
      </c>
      <c r="AE1297" t="inlineStr">
        <is>
          <t>14/08/2026</t>
        </is>
      </c>
      <c r="AF1297" t="inlineStr">
        <is>
          <t>Prazo premissa VALE</t>
        </is>
      </c>
    </row>
    <row r="1298">
      <c r="A1298">
        <v>1296</v>
      </c>
      <c r="B1298">
        <v>1</v>
      </c>
      <c r="C1298" t="inlineStr">
        <is>
          <t>1.3</t>
        </is>
      </c>
      <c r="D1298" t="inlineStr">
        <is>
          <t>A47</t>
        </is>
      </c>
      <c r="F1298" t="inlineStr">
        <is>
          <t>EMPA</t>
        </is>
      </c>
      <c r="G1298" t="inlineStr">
        <is>
          <t>CLP-017</t>
        </is>
      </c>
      <c r="H1298" t="inlineStr">
        <is>
          <t>Protocolo</t>
        </is>
      </c>
      <c r="I1298">
        <v>6</v>
      </c>
      <c r="J1298" t="inlineStr">
        <is>
          <t>Drenagem Superficial</t>
        </is>
      </c>
      <c r="K1298" t="inlineStr">
        <is>
          <t>6.5</t>
        </is>
      </c>
      <c r="L1298" t="inlineStr">
        <is>
          <t>DVS 01</t>
        </is>
      </c>
      <c r="M1298" t="inlineStr">
        <is>
          <t>Dispositivo não executado</t>
        </is>
      </c>
      <c r="N1298" t="inlineStr">
        <is>
          <t>CZB não executada.</t>
        </is>
      </c>
      <c r="O1298" t="inlineStr">
        <is>
          <t>Tipo A</t>
        </is>
      </c>
      <c r="P1298" t="inlineStr">
        <is>
          <t>28+430</t>
        </is>
      </c>
      <c r="Q1298" t="inlineStr">
        <is>
          <t>28+500</t>
        </is>
      </c>
      <c r="R1298" t="inlineStr">
        <is>
          <t>Aberta</t>
        </is>
      </c>
      <c r="T1298" t="inlineStr">
        <is>
          <t>Aline Batista</t>
        </is>
      </c>
      <c r="U1298" t="inlineStr">
        <is>
          <t>15/05/2026</t>
        </is>
      </c>
      <c r="V1298" t="inlineStr">
        <is>
          <t>22/05/2026</t>
        </is>
      </c>
      <c r="W1298">
        <v>19</v>
      </c>
      <c r="AA1298" t="inlineStr">
        <is>
          <t>Aberta -30 dias</t>
        </is>
      </c>
      <c r="AB1298" t="inlineStr">
        <is>
          <t>EMPA</t>
        </is>
      </c>
      <c r="AC1298" t="inlineStr">
        <is>
          <t>Aline</t>
        </is>
      </c>
      <c r="AD1298" t="inlineStr">
        <is>
          <t>03/08/2026</t>
        </is>
      </c>
      <c r="AE1298" t="inlineStr">
        <is>
          <t>14/08/2026</t>
        </is>
      </c>
      <c r="AF1298" t="inlineStr">
        <is>
          <t>Prazo premissa VALE</t>
        </is>
      </c>
    </row>
    <row r="1299">
      <c r="A1299">
        <v>1297</v>
      </c>
      <c r="B1299">
        <v>1</v>
      </c>
      <c r="C1299" t="inlineStr">
        <is>
          <t>1.3</t>
        </is>
      </c>
      <c r="D1299" t="inlineStr">
        <is>
          <t>A47</t>
        </is>
      </c>
      <c r="F1299" t="inlineStr">
        <is>
          <t>EMPA</t>
        </is>
      </c>
      <c r="G1299" t="inlineStr">
        <is>
          <t>CLP-017</t>
        </is>
      </c>
      <c r="H1299" t="inlineStr">
        <is>
          <t>Protocolo</t>
        </is>
      </c>
      <c r="I1299">
        <v>6</v>
      </c>
      <c r="J1299" t="inlineStr">
        <is>
          <t>Drenagem Superficial</t>
        </is>
      </c>
      <c r="K1299" t="inlineStr">
        <is>
          <t>6.5</t>
        </is>
      </c>
      <c r="L1299" t="inlineStr">
        <is>
          <t>CZB 01</t>
        </is>
      </c>
      <c r="M1299" t="inlineStr">
        <is>
          <t>Dispositivo não executado</t>
        </is>
      </c>
      <c r="N1299" t="inlineStr">
        <is>
          <t>CZB não executada.</t>
        </is>
      </c>
      <c r="O1299" t="inlineStr">
        <is>
          <t>Tipo A</t>
        </is>
      </c>
      <c r="P1299" t="inlineStr">
        <is>
          <t>28+500</t>
        </is>
      </c>
      <c r="Q1299" t="inlineStr">
        <is>
          <t>28+615</t>
        </is>
      </c>
      <c r="R1299" t="inlineStr">
        <is>
          <t>Aberta</t>
        </is>
      </c>
      <c r="T1299" t="inlineStr">
        <is>
          <t>Aline Batista</t>
        </is>
      </c>
      <c r="U1299" t="inlineStr">
        <is>
          <t>15/05/2026</t>
        </is>
      </c>
      <c r="V1299" t="inlineStr">
        <is>
          <t>22/05/2026</t>
        </is>
      </c>
      <c r="W1299">
        <v>19</v>
      </c>
      <c r="AA1299" t="inlineStr">
        <is>
          <t>Aberta -30 dias</t>
        </is>
      </c>
      <c r="AB1299" t="inlineStr">
        <is>
          <t>EMPA</t>
        </is>
      </c>
      <c r="AC1299" t="inlineStr">
        <is>
          <t>Aline</t>
        </is>
      </c>
      <c r="AD1299" t="inlineStr">
        <is>
          <t>03/08/2026</t>
        </is>
      </c>
      <c r="AE1299" t="inlineStr">
        <is>
          <t>14/08/2026</t>
        </is>
      </c>
      <c r="AF1299" t="inlineStr">
        <is>
          <t>Prazo premissa VALE</t>
        </is>
      </c>
    </row>
    <row r="1300">
      <c r="A1300">
        <v>1298</v>
      </c>
      <c r="B1300">
        <v>1</v>
      </c>
      <c r="C1300" t="inlineStr">
        <is>
          <t>1.3</t>
        </is>
      </c>
      <c r="D1300" t="inlineStr">
        <is>
          <t>A47</t>
        </is>
      </c>
      <c r="F1300" t="inlineStr">
        <is>
          <t>EMPA</t>
        </is>
      </c>
      <c r="G1300" t="inlineStr">
        <is>
          <t>CLP-017</t>
        </is>
      </c>
      <c r="H1300" t="inlineStr">
        <is>
          <t>Protocolo</t>
        </is>
      </c>
      <c r="I1300">
        <v>6</v>
      </c>
      <c r="J1300" t="inlineStr">
        <is>
          <t>Drenagem Superficial</t>
        </is>
      </c>
      <c r="K1300" t="inlineStr">
        <is>
          <t>6.5</t>
        </is>
      </c>
      <c r="L1300" t="inlineStr">
        <is>
          <t>CZB 01</t>
        </is>
      </c>
      <c r="M1300" t="inlineStr">
        <is>
          <t>Dispositivo não executado</t>
        </is>
      </c>
      <c r="N1300" t="inlineStr">
        <is>
          <t>CZB não executada.</t>
        </is>
      </c>
      <c r="O1300" t="inlineStr">
        <is>
          <t>Tipo A</t>
        </is>
      </c>
      <c r="P1300" t="inlineStr">
        <is>
          <t>28+490</t>
        </is>
      </c>
      <c r="Q1300" t="inlineStr">
        <is>
          <t>28+603</t>
        </is>
      </c>
      <c r="R1300" t="inlineStr">
        <is>
          <t>Aberta</t>
        </is>
      </c>
      <c r="T1300" t="inlineStr">
        <is>
          <t>Aline Batista</t>
        </is>
      </c>
      <c r="U1300" t="inlineStr">
        <is>
          <t>15/05/2026</t>
        </is>
      </c>
      <c r="V1300" t="inlineStr">
        <is>
          <t>22/05/2026</t>
        </is>
      </c>
      <c r="W1300">
        <v>19</v>
      </c>
      <c r="AA1300" t="inlineStr">
        <is>
          <t>Aberta -30 dias</t>
        </is>
      </c>
      <c r="AB1300" t="inlineStr">
        <is>
          <t>EMPA</t>
        </is>
      </c>
      <c r="AC1300" t="inlineStr">
        <is>
          <t>Aline</t>
        </is>
      </c>
      <c r="AD1300" t="inlineStr">
        <is>
          <t>03/08/2026</t>
        </is>
      </c>
      <c r="AE1300" t="inlineStr">
        <is>
          <t>14/08/2026</t>
        </is>
      </c>
      <c r="AF1300" t="inlineStr">
        <is>
          <t>Prazo premissa VALE</t>
        </is>
      </c>
    </row>
    <row r="1301">
      <c r="A1301">
        <v>1299</v>
      </c>
      <c r="B1301">
        <v>1</v>
      </c>
      <c r="C1301" t="inlineStr">
        <is>
          <t>1.3</t>
        </is>
      </c>
      <c r="D1301" t="inlineStr">
        <is>
          <t>A47</t>
        </is>
      </c>
      <c r="F1301" t="inlineStr">
        <is>
          <t>EMPA</t>
        </is>
      </c>
      <c r="G1301" t="inlineStr">
        <is>
          <t>CLP-017</t>
        </is>
      </c>
      <c r="H1301" t="inlineStr">
        <is>
          <t>Protocolo</t>
        </is>
      </c>
      <c r="I1301">
        <v>6</v>
      </c>
      <c r="J1301" t="inlineStr">
        <is>
          <t>Drenagem Superficial</t>
        </is>
      </c>
      <c r="K1301" t="inlineStr">
        <is>
          <t>6.5</t>
        </is>
      </c>
      <c r="L1301" t="inlineStr">
        <is>
          <t>CZB 01</t>
        </is>
      </c>
      <c r="M1301" t="inlineStr">
        <is>
          <t>Dispositivo não executado</t>
        </is>
      </c>
      <c r="N1301" t="inlineStr">
        <is>
          <t>VPC não executada.</t>
        </is>
      </c>
      <c r="O1301" t="inlineStr">
        <is>
          <t>Tipo A</t>
        </is>
      </c>
      <c r="P1301" t="inlineStr">
        <is>
          <t>28+770</t>
        </is>
      </c>
      <c r="Q1301" t="inlineStr">
        <is>
          <t>28+601</t>
        </is>
      </c>
      <c r="R1301" t="inlineStr">
        <is>
          <t>Aberta</t>
        </is>
      </c>
      <c r="T1301" t="inlineStr">
        <is>
          <t>Aline Batista</t>
        </is>
      </c>
      <c r="U1301" t="inlineStr">
        <is>
          <t>15/05/2026</t>
        </is>
      </c>
      <c r="V1301" t="inlineStr">
        <is>
          <t>22/05/2026</t>
        </is>
      </c>
      <c r="W1301">
        <v>19</v>
      </c>
      <c r="AA1301" t="inlineStr">
        <is>
          <t>Aberta -30 dias</t>
        </is>
      </c>
      <c r="AB1301" t="inlineStr">
        <is>
          <t>EMPA</t>
        </is>
      </c>
      <c r="AC1301" t="inlineStr">
        <is>
          <t>Aline</t>
        </is>
      </c>
      <c r="AD1301" t="inlineStr">
        <is>
          <t>03/08/2026</t>
        </is>
      </c>
      <c r="AE1301" t="inlineStr">
        <is>
          <t>14/08/2026</t>
        </is>
      </c>
      <c r="AF1301" t="inlineStr">
        <is>
          <t>Prazo premissa VALE</t>
        </is>
      </c>
    </row>
    <row r="1302">
      <c r="A1302">
        <v>1300</v>
      </c>
      <c r="B1302">
        <v>1</v>
      </c>
      <c r="C1302" t="inlineStr">
        <is>
          <t>1.3</t>
        </is>
      </c>
      <c r="D1302" t="inlineStr">
        <is>
          <t>A47</t>
        </is>
      </c>
      <c r="F1302" t="inlineStr">
        <is>
          <t>EMPA</t>
        </is>
      </c>
      <c r="G1302" t="inlineStr">
        <is>
          <t>CLP-017</t>
        </is>
      </c>
      <c r="H1302" t="inlineStr">
        <is>
          <t>Protocolo</t>
        </is>
      </c>
      <c r="I1302">
        <v>6</v>
      </c>
      <c r="J1302" t="inlineStr">
        <is>
          <t>Drenagem Superficial</t>
        </is>
      </c>
      <c r="K1302" t="inlineStr">
        <is>
          <t>6.5</t>
        </is>
      </c>
      <c r="L1302" t="inlineStr">
        <is>
          <t>VPC 01</t>
        </is>
      </c>
      <c r="M1302" t="inlineStr">
        <is>
          <t>Dispositivo não executado</t>
        </is>
      </c>
      <c r="N1302" t="inlineStr">
        <is>
          <t>VPC não executada.</t>
        </is>
      </c>
      <c r="O1302" t="inlineStr">
        <is>
          <t>Tipo A</t>
        </is>
      </c>
      <c r="P1302" t="inlineStr">
        <is>
          <t>28+604</t>
        </is>
      </c>
      <c r="Q1302" t="inlineStr">
        <is>
          <t>28+548</t>
        </is>
      </c>
      <c r="R1302" t="inlineStr">
        <is>
          <t>Aberta</t>
        </is>
      </c>
      <c r="T1302" t="inlineStr">
        <is>
          <t>Aline Batista</t>
        </is>
      </c>
      <c r="U1302" t="inlineStr">
        <is>
          <t>15/05/2026</t>
        </is>
      </c>
      <c r="V1302" t="inlineStr">
        <is>
          <t>22/05/2026</t>
        </is>
      </c>
      <c r="W1302">
        <v>19</v>
      </c>
      <c r="AA1302" t="inlineStr">
        <is>
          <t>Aberta -30 dias</t>
        </is>
      </c>
      <c r="AB1302" t="inlineStr">
        <is>
          <t>EMPA</t>
        </is>
      </c>
      <c r="AC1302" t="inlineStr">
        <is>
          <t>Aline</t>
        </is>
      </c>
      <c r="AD1302" t="inlineStr">
        <is>
          <t>03/08/2026</t>
        </is>
      </c>
      <c r="AE1302" t="inlineStr">
        <is>
          <t>14/08/2026</t>
        </is>
      </c>
      <c r="AF1302" t="inlineStr">
        <is>
          <t>Prazo premissa VALE</t>
        </is>
      </c>
    </row>
    <row r="1303">
      <c r="A1303">
        <v>1301</v>
      </c>
      <c r="B1303">
        <v>1</v>
      </c>
      <c r="C1303" t="inlineStr">
        <is>
          <t>1.3</t>
        </is>
      </c>
      <c r="D1303" t="inlineStr">
        <is>
          <t>A47</t>
        </is>
      </c>
      <c r="F1303" t="inlineStr">
        <is>
          <t>EMPA</t>
        </is>
      </c>
      <c r="G1303" t="inlineStr">
        <is>
          <t>CLP-017</t>
        </is>
      </c>
      <c r="H1303" t="inlineStr">
        <is>
          <t>Protocolo</t>
        </is>
      </c>
      <c r="I1303">
        <v>6</v>
      </c>
      <c r="J1303" t="inlineStr">
        <is>
          <t>Drenagem Superficial</t>
        </is>
      </c>
      <c r="K1303" t="inlineStr">
        <is>
          <t>6.5</t>
        </is>
      </c>
      <c r="L1303" t="inlineStr">
        <is>
          <t>VPC 01</t>
        </is>
      </c>
      <c r="M1303" t="inlineStr">
        <is>
          <t>Dispositivo não executado</t>
        </is>
      </c>
      <c r="N1303" t="inlineStr">
        <is>
          <t>TSS não executado.</t>
        </is>
      </c>
      <c r="O1303" t="inlineStr">
        <is>
          <t>Tipo A</t>
        </is>
      </c>
      <c r="P1303" t="inlineStr">
        <is>
          <t>28+630</t>
        </is>
      </c>
      <c r="Q1303" t="inlineStr">
        <is>
          <t>28+647</t>
        </is>
      </c>
      <c r="R1303" t="inlineStr">
        <is>
          <t>Aberta</t>
        </is>
      </c>
      <c r="T1303" t="inlineStr">
        <is>
          <t>Aline Batista</t>
        </is>
      </c>
      <c r="U1303" t="inlineStr">
        <is>
          <t>15/05/2026</t>
        </is>
      </c>
      <c r="V1303" t="inlineStr">
        <is>
          <t>22/05/2026</t>
        </is>
      </c>
      <c r="W1303">
        <v>19</v>
      </c>
      <c r="AA1303" t="inlineStr">
        <is>
          <t>Aberta -30 dias</t>
        </is>
      </c>
      <c r="AB1303" t="inlineStr">
        <is>
          <t>EMPA</t>
        </is>
      </c>
      <c r="AC1303" t="inlineStr">
        <is>
          <t>Aline</t>
        </is>
      </c>
      <c r="AD1303" t="inlineStr">
        <is>
          <t>03/08/2026</t>
        </is>
      </c>
      <c r="AE1303" t="inlineStr">
        <is>
          <t>14/08/2026</t>
        </is>
      </c>
      <c r="AF1303" t="inlineStr">
        <is>
          <t>Prazo premissa VALE</t>
        </is>
      </c>
    </row>
    <row r="1304">
      <c r="A1304">
        <v>1302</v>
      </c>
      <c r="B1304">
        <v>1</v>
      </c>
      <c r="C1304" t="inlineStr">
        <is>
          <t>1.3</t>
        </is>
      </c>
      <c r="D1304" t="inlineStr">
        <is>
          <t>A48</t>
        </is>
      </c>
      <c r="F1304" t="inlineStr">
        <is>
          <t>EMPA</t>
        </is>
      </c>
      <c r="G1304" t="inlineStr">
        <is>
          <t>CLP-017</t>
        </is>
      </c>
      <c r="H1304" t="inlineStr">
        <is>
          <t>Protocolo</t>
        </is>
      </c>
      <c r="I1304">
        <v>6</v>
      </c>
      <c r="J1304" t="inlineStr">
        <is>
          <t>Drenagem Superficial</t>
        </is>
      </c>
      <c r="K1304" t="inlineStr">
        <is>
          <t>6.6</t>
        </is>
      </c>
      <c r="L1304" t="inlineStr">
        <is>
          <t>TSS 03</t>
        </is>
      </c>
      <c r="M1304" t="inlineStr">
        <is>
          <t>Dispositivo não executado</t>
        </is>
      </c>
      <c r="N1304" t="inlineStr">
        <is>
          <t>VPC não executada.</t>
        </is>
      </c>
      <c r="O1304" t="inlineStr">
        <is>
          <t>Tipo A</t>
        </is>
      </c>
      <c r="P1304" t="inlineStr">
        <is>
          <t>30+280</t>
        </is>
      </c>
      <c r="Q1304" t="inlineStr">
        <is>
          <t>30+202</t>
        </is>
      </c>
      <c r="R1304" t="inlineStr">
        <is>
          <t>Aberta</t>
        </is>
      </c>
      <c r="T1304" t="inlineStr">
        <is>
          <t>Aline Batista</t>
        </is>
      </c>
      <c r="U1304" t="inlineStr">
        <is>
          <t>15/05/2026</t>
        </is>
      </c>
      <c r="V1304" t="inlineStr">
        <is>
          <t>22/05/2026</t>
        </is>
      </c>
      <c r="W1304">
        <v>19</v>
      </c>
      <c r="AA1304" t="inlineStr">
        <is>
          <t>Aberta -30 dias</t>
        </is>
      </c>
      <c r="AB1304" t="inlineStr">
        <is>
          <t>EMPA</t>
        </is>
      </c>
      <c r="AC1304" t="inlineStr">
        <is>
          <t>Aline</t>
        </is>
      </c>
      <c r="AD1304" t="inlineStr">
        <is>
          <t>17/08/2026</t>
        </is>
      </c>
      <c r="AE1304" t="inlineStr">
        <is>
          <t>28/08/2026</t>
        </is>
      </c>
      <c r="AF1304" t="inlineStr">
        <is>
          <t>Prazo Premissa VALE</t>
        </is>
      </c>
    </row>
    <row r="1305">
      <c r="A1305">
        <v>1303</v>
      </c>
      <c r="B1305">
        <v>1</v>
      </c>
      <c r="C1305" t="inlineStr">
        <is>
          <t>1.3</t>
        </is>
      </c>
      <c r="D1305" t="inlineStr">
        <is>
          <t>A48</t>
        </is>
      </c>
      <c r="F1305" t="inlineStr">
        <is>
          <t>EMPA</t>
        </is>
      </c>
      <c r="G1305" t="inlineStr">
        <is>
          <t>CLP-017</t>
        </is>
      </c>
      <c r="H1305" t="inlineStr">
        <is>
          <t>Protocolo</t>
        </is>
      </c>
      <c r="I1305">
        <v>6</v>
      </c>
      <c r="J1305" t="inlineStr">
        <is>
          <t>Drenagem Superficial</t>
        </is>
      </c>
      <c r="K1305" t="inlineStr">
        <is>
          <t>6.6</t>
        </is>
      </c>
      <c r="L1305" t="inlineStr">
        <is>
          <t>VPC 01</t>
        </is>
      </c>
      <c r="M1305" t="inlineStr">
        <is>
          <t>Dispositivo não executado</t>
        </is>
      </c>
      <c r="N1305" t="inlineStr">
        <is>
          <t>VPC não executada.</t>
        </is>
      </c>
      <c r="O1305" t="inlineStr">
        <is>
          <t>Tipo A</t>
        </is>
      </c>
      <c r="P1305" t="inlineStr">
        <is>
          <t>30+322</t>
        </is>
      </c>
      <c r="Q1305" t="inlineStr">
        <is>
          <t>30+280</t>
        </is>
      </c>
      <c r="R1305" t="inlineStr">
        <is>
          <t>Aberta</t>
        </is>
      </c>
      <c r="T1305" t="inlineStr">
        <is>
          <t>Aline Batista</t>
        </is>
      </c>
      <c r="U1305" t="inlineStr">
        <is>
          <t>15/05/2026</t>
        </is>
      </c>
      <c r="V1305" t="inlineStr">
        <is>
          <t>22/05/2026</t>
        </is>
      </c>
      <c r="W1305">
        <v>19</v>
      </c>
      <c r="AA1305" t="inlineStr">
        <is>
          <t>Aberta -30 dias</t>
        </is>
      </c>
      <c r="AB1305" t="inlineStr">
        <is>
          <t>EMPA</t>
        </is>
      </c>
      <c r="AC1305" t="inlineStr">
        <is>
          <t>Aline</t>
        </is>
      </c>
      <c r="AD1305" t="inlineStr">
        <is>
          <t>17/08/2026</t>
        </is>
      </c>
      <c r="AE1305" t="inlineStr">
        <is>
          <t>28/08/2026</t>
        </is>
      </c>
      <c r="AF1305" t="inlineStr">
        <is>
          <t>Prazo Premissa VALE</t>
        </is>
      </c>
    </row>
    <row r="1306">
      <c r="A1306">
        <v>1304</v>
      </c>
      <c r="B1306">
        <v>1</v>
      </c>
      <c r="C1306" t="inlineStr">
        <is>
          <t>1.3</t>
        </is>
      </c>
      <c r="D1306" t="inlineStr">
        <is>
          <t>A48</t>
        </is>
      </c>
      <c r="F1306" t="inlineStr">
        <is>
          <t>EMPA</t>
        </is>
      </c>
      <c r="G1306" t="inlineStr">
        <is>
          <t>CLP-017</t>
        </is>
      </c>
      <c r="H1306" t="inlineStr">
        <is>
          <t>Protocolo</t>
        </is>
      </c>
      <c r="I1306">
        <v>6</v>
      </c>
      <c r="J1306" t="inlineStr">
        <is>
          <t>Drenagem Superficial</t>
        </is>
      </c>
      <c r="K1306" t="inlineStr">
        <is>
          <t>6.6</t>
        </is>
      </c>
      <c r="L1306" t="inlineStr">
        <is>
          <t>VPC 01</t>
        </is>
      </c>
      <c r="M1306" t="inlineStr">
        <is>
          <t>Dispositivo não executado</t>
        </is>
      </c>
      <c r="N1306" t="inlineStr">
        <is>
          <t>VPC não executada.</t>
        </is>
      </c>
      <c r="O1306" t="inlineStr">
        <is>
          <t>Tipo A</t>
        </is>
      </c>
      <c r="P1306" t="inlineStr">
        <is>
          <t>30+322</t>
        </is>
      </c>
      <c r="Q1306" t="inlineStr">
        <is>
          <t>30+520</t>
        </is>
      </c>
      <c r="R1306" t="inlineStr">
        <is>
          <t>Aberta</t>
        </is>
      </c>
      <c r="T1306" t="inlineStr">
        <is>
          <t>Aline Batista</t>
        </is>
      </c>
      <c r="U1306" t="inlineStr">
        <is>
          <t>15/05/2026</t>
        </is>
      </c>
      <c r="V1306" t="inlineStr">
        <is>
          <t>22/05/2026</t>
        </is>
      </c>
      <c r="W1306">
        <v>19</v>
      </c>
      <c r="AA1306" t="inlineStr">
        <is>
          <t>Aberta -30 dias</t>
        </is>
      </c>
      <c r="AB1306" t="inlineStr">
        <is>
          <t>EMPA</t>
        </is>
      </c>
      <c r="AC1306" t="inlineStr">
        <is>
          <t>Aline</t>
        </is>
      </c>
      <c r="AD1306" t="inlineStr">
        <is>
          <t>17/08/2026</t>
        </is>
      </c>
      <c r="AE1306" t="inlineStr">
        <is>
          <t>28/08/2026</t>
        </is>
      </c>
      <c r="AF1306" t="inlineStr">
        <is>
          <t>Prazo Premissa VALE</t>
        </is>
      </c>
    </row>
    <row r="1307">
      <c r="A1307">
        <v>1305</v>
      </c>
      <c r="B1307">
        <v>1</v>
      </c>
      <c r="C1307" t="inlineStr">
        <is>
          <t>1.3</t>
        </is>
      </c>
      <c r="D1307" t="inlineStr">
        <is>
          <t>A48</t>
        </is>
      </c>
      <c r="F1307" t="inlineStr">
        <is>
          <t>EMPA</t>
        </is>
      </c>
      <c r="G1307" t="inlineStr">
        <is>
          <t>CLP-017</t>
        </is>
      </c>
      <c r="H1307" t="inlineStr">
        <is>
          <t>Protocolo</t>
        </is>
      </c>
      <c r="I1307">
        <v>6</v>
      </c>
      <c r="J1307" t="inlineStr">
        <is>
          <t>Drenagem Superficial</t>
        </is>
      </c>
      <c r="K1307" t="inlineStr">
        <is>
          <t>6.6</t>
        </is>
      </c>
      <c r="L1307" t="inlineStr">
        <is>
          <t>VPC 01</t>
        </is>
      </c>
      <c r="M1307" t="inlineStr">
        <is>
          <t>Dispositivo não executado</t>
        </is>
      </c>
      <c r="N1307" t="inlineStr">
        <is>
          <t>VPC não executada.</t>
        </is>
      </c>
      <c r="O1307" t="inlineStr">
        <is>
          <t>Tipo A</t>
        </is>
      </c>
      <c r="P1307" t="inlineStr">
        <is>
          <t>30+520</t>
        </is>
      </c>
      <c r="Q1307" t="inlineStr">
        <is>
          <t>30+604</t>
        </is>
      </c>
      <c r="R1307" t="inlineStr">
        <is>
          <t>Aberta</t>
        </is>
      </c>
      <c r="T1307" t="inlineStr">
        <is>
          <t>Aline Batista</t>
        </is>
      </c>
      <c r="U1307" t="inlineStr">
        <is>
          <t>15/05/2026</t>
        </is>
      </c>
      <c r="V1307" t="inlineStr">
        <is>
          <t>22/05/2026</t>
        </is>
      </c>
      <c r="W1307">
        <v>19</v>
      </c>
      <c r="AA1307" t="inlineStr">
        <is>
          <t>Aberta -30 dias</t>
        </is>
      </c>
      <c r="AB1307" t="inlineStr">
        <is>
          <t>EMPA</t>
        </is>
      </c>
      <c r="AC1307" t="inlineStr">
        <is>
          <t>Aline</t>
        </is>
      </c>
      <c r="AD1307" t="inlineStr">
        <is>
          <t>17/08/2026</t>
        </is>
      </c>
      <c r="AE1307" t="inlineStr">
        <is>
          <t>28/08/2026</t>
        </is>
      </c>
      <c r="AF1307" t="inlineStr">
        <is>
          <t>Prazo Premissa VALE</t>
        </is>
      </c>
    </row>
    <row r="1308">
      <c r="A1308">
        <v>1306</v>
      </c>
      <c r="B1308">
        <v>1</v>
      </c>
      <c r="C1308" t="inlineStr">
        <is>
          <t>1.3</t>
        </is>
      </c>
      <c r="D1308" t="inlineStr">
        <is>
          <t>A48</t>
        </is>
      </c>
      <c r="F1308" t="inlineStr">
        <is>
          <t>EMPA</t>
        </is>
      </c>
      <c r="G1308" t="inlineStr">
        <is>
          <t>CLP-017</t>
        </is>
      </c>
      <c r="H1308" t="inlineStr">
        <is>
          <t>Protocolo</t>
        </is>
      </c>
      <c r="I1308">
        <v>6</v>
      </c>
      <c r="J1308" t="inlineStr">
        <is>
          <t>Drenagem Superficial</t>
        </is>
      </c>
      <c r="K1308" t="inlineStr">
        <is>
          <t>6.6</t>
        </is>
      </c>
      <c r="L1308" t="inlineStr">
        <is>
          <t>VPC 01</t>
        </is>
      </c>
      <c r="M1308" t="inlineStr">
        <is>
          <t>Dispositivo não executado</t>
        </is>
      </c>
      <c r="N1308" t="inlineStr">
        <is>
          <t>VPC não executada.</t>
        </is>
      </c>
      <c r="O1308" t="inlineStr">
        <is>
          <t>Tipo A</t>
        </is>
      </c>
      <c r="P1308" t="inlineStr">
        <is>
          <t>30+241</t>
        </is>
      </c>
      <c r="Q1308" t="inlineStr">
        <is>
          <t>30+120</t>
        </is>
      </c>
      <c r="R1308" t="inlineStr">
        <is>
          <t>Aberta</t>
        </is>
      </c>
      <c r="T1308" t="inlineStr">
        <is>
          <t>Aline Batista</t>
        </is>
      </c>
      <c r="U1308" t="inlineStr">
        <is>
          <t>15/05/2026</t>
        </is>
      </c>
      <c r="V1308" t="inlineStr">
        <is>
          <t>22/05/2026</t>
        </is>
      </c>
      <c r="W1308">
        <v>19</v>
      </c>
      <c r="AA1308" t="inlineStr">
        <is>
          <t>Aberta -30 dias</t>
        </is>
      </c>
      <c r="AB1308" t="inlineStr">
        <is>
          <t>EMPA</t>
        </is>
      </c>
      <c r="AC1308" t="inlineStr">
        <is>
          <t>Aline</t>
        </is>
      </c>
      <c r="AD1308" t="inlineStr">
        <is>
          <t>17/08/2026</t>
        </is>
      </c>
      <c r="AE1308" t="inlineStr">
        <is>
          <t>28/08/2026</t>
        </is>
      </c>
      <c r="AF1308" t="inlineStr">
        <is>
          <t>Prazo Premissa VALE</t>
        </is>
      </c>
    </row>
    <row r="1309">
      <c r="A1309">
        <v>1307</v>
      </c>
      <c r="B1309">
        <v>1</v>
      </c>
      <c r="C1309" t="inlineStr">
        <is>
          <t>1.3</t>
        </is>
      </c>
      <c r="D1309" t="inlineStr">
        <is>
          <t>A48</t>
        </is>
      </c>
      <c r="F1309" t="inlineStr">
        <is>
          <t>EMPA</t>
        </is>
      </c>
      <c r="G1309" t="inlineStr">
        <is>
          <t>CLP-017</t>
        </is>
      </c>
      <c r="H1309" t="inlineStr">
        <is>
          <t>Protocolo</t>
        </is>
      </c>
      <c r="I1309">
        <v>6</v>
      </c>
      <c r="J1309" t="inlineStr">
        <is>
          <t>Drenagem Superficial</t>
        </is>
      </c>
      <c r="K1309" t="inlineStr">
        <is>
          <t>6.6</t>
        </is>
      </c>
      <c r="L1309" t="inlineStr">
        <is>
          <t>VPC 01</t>
        </is>
      </c>
      <c r="M1309" t="inlineStr">
        <is>
          <t>Dispositivo não executado</t>
        </is>
      </c>
      <c r="N1309" t="inlineStr">
        <is>
          <t>VPC não executada.</t>
        </is>
      </c>
      <c r="O1309" t="inlineStr">
        <is>
          <t>Tipo A</t>
        </is>
      </c>
      <c r="P1309" t="inlineStr">
        <is>
          <t>30+300</t>
        </is>
      </c>
      <c r="Q1309" t="inlineStr">
        <is>
          <t>30+241</t>
        </is>
      </c>
      <c r="R1309" t="inlineStr">
        <is>
          <t>Aberta</t>
        </is>
      </c>
      <c r="T1309" t="inlineStr">
        <is>
          <t>Aline Batista</t>
        </is>
      </c>
      <c r="U1309" t="inlineStr">
        <is>
          <t>15/05/2026</t>
        </is>
      </c>
      <c r="V1309" t="inlineStr">
        <is>
          <t>22/05/2026</t>
        </is>
      </c>
      <c r="W1309">
        <v>19</v>
      </c>
      <c r="AA1309" t="inlineStr">
        <is>
          <t>Aberta -30 dias</t>
        </is>
      </c>
      <c r="AB1309" t="inlineStr">
        <is>
          <t>EMPA</t>
        </is>
      </c>
      <c r="AC1309" t="inlineStr">
        <is>
          <t>Aline</t>
        </is>
      </c>
      <c r="AD1309" t="inlineStr">
        <is>
          <t>17/08/2026</t>
        </is>
      </c>
      <c r="AE1309" t="inlineStr">
        <is>
          <t>28/08/2026</t>
        </is>
      </c>
      <c r="AF1309" t="inlineStr">
        <is>
          <t>Prazo Premissa VALE</t>
        </is>
      </c>
    </row>
    <row r="1310">
      <c r="A1310">
        <v>1308</v>
      </c>
      <c r="B1310">
        <v>1</v>
      </c>
      <c r="C1310" t="inlineStr">
        <is>
          <t>1.3</t>
        </is>
      </c>
      <c r="D1310" t="inlineStr">
        <is>
          <t>A48</t>
        </is>
      </c>
      <c r="F1310" t="inlineStr">
        <is>
          <t>EMPA</t>
        </is>
      </c>
      <c r="G1310" t="inlineStr">
        <is>
          <t>CLP-017</t>
        </is>
      </c>
      <c r="H1310" t="inlineStr">
        <is>
          <t>Protocolo</t>
        </is>
      </c>
      <c r="I1310">
        <v>6</v>
      </c>
      <c r="J1310" t="inlineStr">
        <is>
          <t>Drenagem Superficial</t>
        </is>
      </c>
      <c r="K1310" t="inlineStr">
        <is>
          <t>6.6</t>
        </is>
      </c>
      <c r="L1310" t="inlineStr">
        <is>
          <t>VPC 01</t>
        </is>
      </c>
      <c r="M1310" t="inlineStr">
        <is>
          <t>Dispositivo não executado</t>
        </is>
      </c>
      <c r="N1310" t="inlineStr">
        <is>
          <t>VPC não executada.</t>
        </is>
      </c>
      <c r="O1310" t="inlineStr">
        <is>
          <t>Tipo A</t>
        </is>
      </c>
      <c r="P1310" t="inlineStr">
        <is>
          <t>30+300</t>
        </is>
      </c>
      <c r="Q1310" t="inlineStr">
        <is>
          <t>30+540</t>
        </is>
      </c>
      <c r="R1310" t="inlineStr">
        <is>
          <t>Aberta</t>
        </is>
      </c>
      <c r="T1310" t="inlineStr">
        <is>
          <t>Aline Batista</t>
        </is>
      </c>
      <c r="U1310" t="inlineStr">
        <is>
          <t>15/05/2026</t>
        </is>
      </c>
      <c r="V1310" t="inlineStr">
        <is>
          <t>22/05/2026</t>
        </is>
      </c>
      <c r="W1310">
        <v>19</v>
      </c>
      <c r="AA1310" t="inlineStr">
        <is>
          <t>Aberta -30 dias</t>
        </is>
      </c>
      <c r="AB1310" t="inlineStr">
        <is>
          <t>EMPA</t>
        </is>
      </c>
      <c r="AC1310" t="inlineStr">
        <is>
          <t>Aline</t>
        </is>
      </c>
      <c r="AD1310" t="inlineStr">
        <is>
          <t>17/08/2026</t>
        </is>
      </c>
      <c r="AE1310" t="inlineStr">
        <is>
          <t>28/08/2026</t>
        </is>
      </c>
      <c r="AF1310" t="inlineStr">
        <is>
          <t>Prazo Premissa VALE</t>
        </is>
      </c>
    </row>
    <row r="1311">
      <c r="A1311">
        <v>1309</v>
      </c>
      <c r="B1311">
        <v>1</v>
      </c>
      <c r="C1311" t="inlineStr">
        <is>
          <t>1.3</t>
        </is>
      </c>
      <c r="D1311" t="inlineStr">
        <is>
          <t>A48</t>
        </is>
      </c>
      <c r="F1311" t="inlineStr">
        <is>
          <t>EMPA</t>
        </is>
      </c>
      <c r="G1311" t="inlineStr">
        <is>
          <t>CLP-017</t>
        </is>
      </c>
      <c r="H1311" t="inlineStr">
        <is>
          <t>Protocolo</t>
        </is>
      </c>
      <c r="I1311">
        <v>6</v>
      </c>
      <c r="J1311" t="inlineStr">
        <is>
          <t>Drenagem Superficial</t>
        </is>
      </c>
      <c r="K1311" t="inlineStr">
        <is>
          <t>6.6</t>
        </is>
      </c>
      <c r="L1311" t="inlineStr">
        <is>
          <t>VPC 01</t>
        </is>
      </c>
      <c r="M1311" t="inlineStr">
        <is>
          <t>Dispositivo não executado</t>
        </is>
      </c>
      <c r="N1311" t="inlineStr">
        <is>
          <t>VPC não executada.</t>
        </is>
      </c>
      <c r="O1311" t="inlineStr">
        <is>
          <t>Tipo A</t>
        </is>
      </c>
      <c r="P1311" t="inlineStr">
        <is>
          <t>30+540</t>
        </is>
      </c>
      <c r="Q1311" t="inlineStr">
        <is>
          <t>30+680</t>
        </is>
      </c>
      <c r="R1311" t="inlineStr">
        <is>
          <t>Aberta</t>
        </is>
      </c>
      <c r="T1311" t="inlineStr">
        <is>
          <t>Aline Batista</t>
        </is>
      </c>
      <c r="U1311" t="inlineStr">
        <is>
          <t>15/05/2026</t>
        </is>
      </c>
      <c r="V1311" t="inlineStr">
        <is>
          <t>22/05/2026</t>
        </is>
      </c>
      <c r="W1311">
        <v>19</v>
      </c>
      <c r="AA1311" t="inlineStr">
        <is>
          <t>Aberta -30 dias</t>
        </is>
      </c>
      <c r="AB1311" t="inlineStr">
        <is>
          <t>EMPA</t>
        </is>
      </c>
      <c r="AC1311" t="inlineStr">
        <is>
          <t>Aline</t>
        </is>
      </c>
      <c r="AD1311" t="inlineStr">
        <is>
          <t>17/08/2026</t>
        </is>
      </c>
      <c r="AE1311" t="inlineStr">
        <is>
          <t>28/08/2026</t>
        </is>
      </c>
      <c r="AF1311" t="inlineStr">
        <is>
          <t>Prazo Premissa VALE</t>
        </is>
      </c>
    </row>
    <row r="1312">
      <c r="A1312">
        <v>1310</v>
      </c>
      <c r="B1312">
        <v>1</v>
      </c>
      <c r="C1312" t="inlineStr">
        <is>
          <t>1.3</t>
        </is>
      </c>
      <c r="D1312" t="inlineStr">
        <is>
          <t>A48</t>
        </is>
      </c>
      <c r="F1312" t="inlineStr">
        <is>
          <t>EMPA</t>
        </is>
      </c>
      <c r="G1312" t="inlineStr">
        <is>
          <t>CLP-017</t>
        </is>
      </c>
      <c r="H1312" t="inlineStr">
        <is>
          <t>Protocolo</t>
        </is>
      </c>
      <c r="I1312">
        <v>6</v>
      </c>
      <c r="J1312" t="inlineStr">
        <is>
          <t>Drenagem Superficial</t>
        </is>
      </c>
      <c r="K1312" t="inlineStr">
        <is>
          <t>6.6</t>
        </is>
      </c>
      <c r="L1312" t="inlineStr">
        <is>
          <t>VPC 01</t>
        </is>
      </c>
      <c r="M1312" t="inlineStr">
        <is>
          <t>Dispositivo não executado</t>
        </is>
      </c>
      <c r="N1312" t="inlineStr">
        <is>
          <t>VPC não executada.</t>
        </is>
      </c>
      <c r="O1312" t="inlineStr">
        <is>
          <t>Tipo A</t>
        </is>
      </c>
      <c r="P1312" t="inlineStr">
        <is>
          <t>30+680</t>
        </is>
      </c>
      <c r="Q1312" t="inlineStr">
        <is>
          <t>30+913</t>
        </is>
      </c>
      <c r="R1312" t="inlineStr">
        <is>
          <t>Aberta</t>
        </is>
      </c>
      <c r="T1312" t="inlineStr">
        <is>
          <t>Aline Batista</t>
        </is>
      </c>
      <c r="U1312" t="inlineStr">
        <is>
          <t>15/05/2026</t>
        </is>
      </c>
      <c r="V1312" t="inlineStr">
        <is>
          <t>22/05/2026</t>
        </is>
      </c>
      <c r="W1312">
        <v>19</v>
      </c>
      <c r="AA1312" t="inlineStr">
        <is>
          <t>Aberta -30 dias</t>
        </is>
      </c>
      <c r="AB1312" t="inlineStr">
        <is>
          <t>EMPA</t>
        </is>
      </c>
      <c r="AC1312" t="inlineStr">
        <is>
          <t>Aline</t>
        </is>
      </c>
      <c r="AD1312" t="inlineStr">
        <is>
          <t>17/08/2026</t>
        </is>
      </c>
      <c r="AE1312" t="inlineStr">
        <is>
          <t>28/08/2026</t>
        </is>
      </c>
      <c r="AF1312" t="inlineStr">
        <is>
          <t>Prazo Premissa VALE</t>
        </is>
      </c>
    </row>
    <row r="1313">
      <c r="A1313">
        <v>1311</v>
      </c>
      <c r="B1313">
        <v>1</v>
      </c>
      <c r="C1313" t="inlineStr">
        <is>
          <t>1.3</t>
        </is>
      </c>
      <c r="D1313" t="inlineStr">
        <is>
          <t>C44</t>
        </is>
      </c>
      <c r="F1313" t="inlineStr">
        <is>
          <t>EMPA</t>
        </is>
      </c>
      <c r="G1313" t="inlineStr">
        <is>
          <t>CLP-017</t>
        </is>
      </c>
      <c r="H1313" t="inlineStr">
        <is>
          <t>Protocolo</t>
        </is>
      </c>
      <c r="I1313">
        <v>6</v>
      </c>
      <c r="J1313" t="inlineStr">
        <is>
          <t>Drenagem Superficial</t>
        </is>
      </c>
      <c r="K1313" t="inlineStr">
        <is>
          <t>6.6</t>
        </is>
      </c>
      <c r="L1313" t="inlineStr">
        <is>
          <t>VPC 08</t>
        </is>
      </c>
      <c r="M1313" t="inlineStr">
        <is>
          <t>Dispositivo não executado</t>
        </is>
      </c>
      <c r="N1313" t="inlineStr">
        <is>
          <t>CZB não executada.</t>
        </is>
      </c>
      <c r="O1313" t="inlineStr">
        <is>
          <t>Tipo A</t>
        </is>
      </c>
      <c r="P1313" t="inlineStr">
        <is>
          <t>29+000</t>
        </is>
      </c>
      <c r="Q1313" t="inlineStr">
        <is>
          <t>29+140</t>
        </is>
      </c>
      <c r="R1313" t="inlineStr">
        <is>
          <t>Aberta</t>
        </is>
      </c>
      <c r="T1313" t="inlineStr">
        <is>
          <t>Aline Batista</t>
        </is>
      </c>
      <c r="U1313" t="inlineStr">
        <is>
          <t>15/05/2026</t>
        </is>
      </c>
      <c r="V1313" t="inlineStr">
        <is>
          <t>22/05/2026</t>
        </is>
      </c>
      <c r="W1313">
        <v>19</v>
      </c>
      <c r="AA1313" t="inlineStr">
        <is>
          <t>Aberta -30 dias</t>
        </is>
      </c>
      <c r="AB1313" t="inlineStr">
        <is>
          <t>EMPA</t>
        </is>
      </c>
      <c r="AC1313" t="inlineStr">
        <is>
          <t>Aline</t>
        </is>
      </c>
      <c r="AD1313" t="inlineStr">
        <is>
          <t>03/08/2026</t>
        </is>
      </c>
      <c r="AE1313" t="inlineStr">
        <is>
          <t>10/08/2026</t>
        </is>
      </c>
      <c r="AF1313" t="inlineStr">
        <is>
          <t>Prazo Premissa VALE</t>
        </is>
      </c>
    </row>
    <row r="1314">
      <c r="A1314">
        <v>1312</v>
      </c>
      <c r="B1314">
        <v>1</v>
      </c>
      <c r="C1314" t="inlineStr">
        <is>
          <t>1.3</t>
        </is>
      </c>
      <c r="D1314" t="inlineStr">
        <is>
          <t>A47</t>
        </is>
      </c>
      <c r="F1314" t="inlineStr">
        <is>
          <t>EMPA</t>
        </is>
      </c>
      <c r="G1314" t="inlineStr">
        <is>
          <t>CLP-017</t>
        </is>
      </c>
      <c r="H1314" t="inlineStr">
        <is>
          <t>Protocolo</t>
        </is>
      </c>
      <c r="I1314">
        <v>6</v>
      </c>
      <c r="J1314" t="inlineStr">
        <is>
          <t>Drenagem Superficial</t>
        </is>
      </c>
      <c r="K1314" t="inlineStr">
        <is>
          <t>6.7</t>
        </is>
      </c>
      <c r="L1314" t="inlineStr">
        <is>
          <t>CZB 01</t>
        </is>
      </c>
      <c r="M1314" t="inlineStr">
        <is>
          <t>Dispositivo não executado</t>
        </is>
      </c>
      <c r="N1314" t="inlineStr">
        <is>
          <t>CZB não executada.</t>
        </is>
      </c>
      <c r="O1314" t="inlineStr">
        <is>
          <t>Tipo A</t>
        </is>
      </c>
      <c r="P1314" t="inlineStr">
        <is>
          <t>29+140</t>
        </is>
      </c>
      <c r="Q1314" t="inlineStr">
        <is>
          <t>29+460</t>
        </is>
      </c>
      <c r="R1314" t="inlineStr">
        <is>
          <t>Aberta</t>
        </is>
      </c>
      <c r="T1314" t="inlineStr">
        <is>
          <t>Aline Batista</t>
        </is>
      </c>
      <c r="U1314" t="inlineStr">
        <is>
          <t>15/05/2026</t>
        </is>
      </c>
      <c r="V1314" t="inlineStr">
        <is>
          <t>22/05/2026</t>
        </is>
      </c>
      <c r="W1314">
        <v>19</v>
      </c>
      <c r="AA1314" t="inlineStr">
        <is>
          <t>Aberta -30 dias</t>
        </is>
      </c>
      <c r="AB1314" t="inlineStr">
        <is>
          <t>EMPA</t>
        </is>
      </c>
      <c r="AC1314" t="inlineStr">
        <is>
          <t>Aline</t>
        </is>
      </c>
      <c r="AD1314" t="inlineStr">
        <is>
          <t>03/08/2026</t>
        </is>
      </c>
      <c r="AE1314" t="inlineStr">
        <is>
          <t>10/08/2026</t>
        </is>
      </c>
      <c r="AF1314" t="inlineStr">
        <is>
          <t>Prazo Premissa VALE</t>
        </is>
      </c>
    </row>
    <row r="1315">
      <c r="A1315">
        <v>1313</v>
      </c>
      <c r="B1315">
        <v>1</v>
      </c>
      <c r="C1315" t="inlineStr">
        <is>
          <t>1.3</t>
        </is>
      </c>
      <c r="D1315" t="inlineStr">
        <is>
          <t>A47</t>
        </is>
      </c>
      <c r="F1315" t="inlineStr">
        <is>
          <t>EMPA</t>
        </is>
      </c>
      <c r="G1315" t="inlineStr">
        <is>
          <t>CLP-017</t>
        </is>
      </c>
      <c r="H1315" t="inlineStr">
        <is>
          <t>Protocolo</t>
        </is>
      </c>
      <c r="I1315">
        <v>6</v>
      </c>
      <c r="J1315" t="inlineStr">
        <is>
          <t>Drenagem Superficial</t>
        </is>
      </c>
      <c r="K1315" t="inlineStr">
        <is>
          <t>6.7</t>
        </is>
      </c>
      <c r="L1315" t="inlineStr">
        <is>
          <t>CZB 02</t>
        </is>
      </c>
      <c r="M1315" t="inlineStr">
        <is>
          <t>Dispositivo não executado</t>
        </is>
      </c>
      <c r="N1315" t="inlineStr">
        <is>
          <t>CZB não executada.</t>
        </is>
      </c>
      <c r="O1315" t="inlineStr">
        <is>
          <t>Tipo A</t>
        </is>
      </c>
      <c r="P1315" t="inlineStr">
        <is>
          <t>29+460</t>
        </is>
      </c>
      <c r="Q1315" t="inlineStr">
        <is>
          <t>29+552</t>
        </is>
      </c>
      <c r="R1315" t="inlineStr">
        <is>
          <t>Aberta</t>
        </is>
      </c>
      <c r="T1315" t="inlineStr">
        <is>
          <t>Aline Batista</t>
        </is>
      </c>
      <c r="U1315" t="inlineStr">
        <is>
          <t>15/05/2026</t>
        </is>
      </c>
      <c r="V1315" t="inlineStr">
        <is>
          <t>22/05/2026</t>
        </is>
      </c>
      <c r="W1315">
        <v>19</v>
      </c>
      <c r="AA1315" t="inlineStr">
        <is>
          <t>Aberta -30 dias</t>
        </is>
      </c>
      <c r="AB1315" t="inlineStr">
        <is>
          <t>EMPA</t>
        </is>
      </c>
      <c r="AC1315" t="inlineStr">
        <is>
          <t>Aline</t>
        </is>
      </c>
      <c r="AD1315" t="inlineStr">
        <is>
          <t>03/08/2026</t>
        </is>
      </c>
      <c r="AE1315" t="inlineStr">
        <is>
          <t>10/08/2026</t>
        </is>
      </c>
      <c r="AF1315" t="inlineStr">
        <is>
          <t>Prazo Premissa VALE</t>
        </is>
      </c>
    </row>
    <row r="1316">
      <c r="A1316">
        <v>1314</v>
      </c>
      <c r="B1316">
        <v>1</v>
      </c>
      <c r="C1316" t="inlineStr">
        <is>
          <t>1.3</t>
        </is>
      </c>
      <c r="D1316" t="inlineStr">
        <is>
          <t>A47</t>
        </is>
      </c>
      <c r="F1316" t="inlineStr">
        <is>
          <t>EMPA</t>
        </is>
      </c>
      <c r="G1316" t="inlineStr">
        <is>
          <t>CLP-017</t>
        </is>
      </c>
      <c r="H1316" t="inlineStr">
        <is>
          <t>Protocolo</t>
        </is>
      </c>
      <c r="I1316">
        <v>6</v>
      </c>
      <c r="J1316" t="inlineStr">
        <is>
          <t>Drenagem Superficial</t>
        </is>
      </c>
      <c r="K1316" t="inlineStr">
        <is>
          <t>6.7</t>
        </is>
      </c>
      <c r="L1316" t="inlineStr">
        <is>
          <t>CZB 01</t>
        </is>
      </c>
      <c r="M1316" t="inlineStr">
        <is>
          <t>Dispositivo não executado</t>
        </is>
      </c>
      <c r="N1316" t="inlineStr">
        <is>
          <t>CZB não executada.</t>
        </is>
      </c>
      <c r="O1316" t="inlineStr">
        <is>
          <t>Tipo A</t>
        </is>
      </c>
      <c r="P1316" t="inlineStr">
        <is>
          <t>28+880</t>
        </is>
      </c>
      <c r="Q1316" t="inlineStr">
        <is>
          <t>29+080</t>
        </is>
      </c>
      <c r="R1316" t="inlineStr">
        <is>
          <t>Aberta</t>
        </is>
      </c>
      <c r="T1316" t="inlineStr">
        <is>
          <t>Aline Batista</t>
        </is>
      </c>
      <c r="U1316" t="inlineStr">
        <is>
          <t>15/05/2026</t>
        </is>
      </c>
      <c r="V1316" t="inlineStr">
        <is>
          <t>22/05/2026</t>
        </is>
      </c>
      <c r="W1316">
        <v>19</v>
      </c>
      <c r="AA1316" t="inlineStr">
        <is>
          <t>Aberta -30 dias</t>
        </is>
      </c>
      <c r="AB1316" t="inlineStr">
        <is>
          <t>EMPA</t>
        </is>
      </c>
      <c r="AC1316" t="inlineStr">
        <is>
          <t>Aline</t>
        </is>
      </c>
      <c r="AD1316" t="inlineStr">
        <is>
          <t>03/08/2026</t>
        </is>
      </c>
      <c r="AE1316" t="inlineStr">
        <is>
          <t>14/08/2026</t>
        </is>
      </c>
      <c r="AF1316" t="inlineStr">
        <is>
          <t>Prazo premissa VALE</t>
        </is>
      </c>
    </row>
    <row r="1317">
      <c r="A1317">
        <v>1315</v>
      </c>
      <c r="B1317">
        <v>1</v>
      </c>
      <c r="C1317" t="inlineStr">
        <is>
          <t>1.3</t>
        </is>
      </c>
      <c r="D1317" t="inlineStr">
        <is>
          <t>A47</t>
        </is>
      </c>
      <c r="F1317" t="inlineStr">
        <is>
          <t>EMPA</t>
        </is>
      </c>
      <c r="G1317" t="inlineStr">
        <is>
          <t>CLP-017</t>
        </is>
      </c>
      <c r="H1317" t="inlineStr">
        <is>
          <t>Protocolo</t>
        </is>
      </c>
      <c r="I1317">
        <v>6</v>
      </c>
      <c r="J1317" t="inlineStr">
        <is>
          <t>Drenagem Superficial</t>
        </is>
      </c>
      <c r="K1317" t="inlineStr">
        <is>
          <t>6.7</t>
        </is>
      </c>
      <c r="L1317" t="inlineStr">
        <is>
          <t>CZB 01</t>
        </is>
      </c>
      <c r="M1317" t="inlineStr">
        <is>
          <t>Dispositivo não executado</t>
        </is>
      </c>
      <c r="N1317" t="inlineStr">
        <is>
          <t>CZB não executada.</t>
        </is>
      </c>
      <c r="O1317" t="inlineStr">
        <is>
          <t>Tipo A</t>
        </is>
      </c>
      <c r="P1317" t="inlineStr">
        <is>
          <t>29+080</t>
        </is>
      </c>
      <c r="Q1317" t="inlineStr">
        <is>
          <t>29+360</t>
        </is>
      </c>
      <c r="R1317" t="inlineStr">
        <is>
          <t>Aberta</t>
        </is>
      </c>
      <c r="T1317" t="inlineStr">
        <is>
          <t>Aline Batista</t>
        </is>
      </c>
      <c r="U1317" t="inlineStr">
        <is>
          <t>15/05/2026</t>
        </is>
      </c>
      <c r="V1317" t="inlineStr">
        <is>
          <t>22/05/2026</t>
        </is>
      </c>
      <c r="W1317">
        <v>19</v>
      </c>
      <c r="AA1317" t="inlineStr">
        <is>
          <t>Aberta -30 dias</t>
        </is>
      </c>
      <c r="AB1317" t="inlineStr">
        <is>
          <t>EMPA</t>
        </is>
      </c>
      <c r="AC1317" t="inlineStr">
        <is>
          <t>Aline</t>
        </is>
      </c>
      <c r="AD1317" t="inlineStr">
        <is>
          <t>03/08/2026</t>
        </is>
      </c>
      <c r="AE1317" t="inlineStr">
        <is>
          <t>10/08/2026</t>
        </is>
      </c>
      <c r="AF1317" t="inlineStr">
        <is>
          <t>Prazo Premissa VALE</t>
        </is>
      </c>
    </row>
    <row r="1318">
      <c r="A1318">
        <v>1316</v>
      </c>
      <c r="B1318">
        <v>1</v>
      </c>
      <c r="C1318" t="inlineStr">
        <is>
          <t>1.3</t>
        </is>
      </c>
      <c r="D1318" t="inlineStr">
        <is>
          <t>A47</t>
        </is>
      </c>
      <c r="F1318" t="inlineStr">
        <is>
          <t>EMPA</t>
        </is>
      </c>
      <c r="G1318" t="inlineStr">
        <is>
          <t>CLP-017</t>
        </is>
      </c>
      <c r="H1318" t="inlineStr">
        <is>
          <t>Protocolo</t>
        </is>
      </c>
      <c r="I1318">
        <v>6</v>
      </c>
      <c r="J1318" t="inlineStr">
        <is>
          <t>Drenagem Superficial</t>
        </is>
      </c>
      <c r="K1318" t="inlineStr">
        <is>
          <t>6.7</t>
        </is>
      </c>
      <c r="L1318" t="inlineStr">
        <is>
          <t>CZB 02</t>
        </is>
      </c>
      <c r="M1318" t="inlineStr">
        <is>
          <t>Dispositivo não executado</t>
        </is>
      </c>
      <c r="N1318" t="inlineStr">
        <is>
          <t>CZB não executada.</t>
        </is>
      </c>
      <c r="O1318" t="inlineStr">
        <is>
          <t>Tipo A</t>
        </is>
      </c>
      <c r="P1318" t="inlineStr">
        <is>
          <t>29+360</t>
        </is>
      </c>
      <c r="Q1318" t="inlineStr">
        <is>
          <t>29+525</t>
        </is>
      </c>
      <c r="R1318" t="inlineStr">
        <is>
          <t>Aberta</t>
        </is>
      </c>
      <c r="T1318" t="inlineStr">
        <is>
          <t>Aline Batista</t>
        </is>
      </c>
      <c r="U1318" t="inlineStr">
        <is>
          <t>15/05/2026</t>
        </is>
      </c>
      <c r="V1318" t="inlineStr">
        <is>
          <t>22/05/2026</t>
        </is>
      </c>
      <c r="W1318">
        <v>19</v>
      </c>
      <c r="AA1318" t="inlineStr">
        <is>
          <t>Aberta -30 dias</t>
        </is>
      </c>
      <c r="AB1318" t="inlineStr">
        <is>
          <t>EMPA</t>
        </is>
      </c>
      <c r="AC1318" t="inlineStr">
        <is>
          <t>Aline</t>
        </is>
      </c>
      <c r="AD1318" t="inlineStr">
        <is>
          <t>03/08/2026</t>
        </is>
      </c>
      <c r="AE1318" t="inlineStr">
        <is>
          <t>10/08/2026</t>
        </is>
      </c>
      <c r="AF1318" t="inlineStr">
        <is>
          <t>Prazo Premissa VALE</t>
        </is>
      </c>
    </row>
    <row r="1319">
      <c r="A1319">
        <v>1317</v>
      </c>
      <c r="B1319">
        <v>1</v>
      </c>
      <c r="C1319" t="inlineStr">
        <is>
          <t>1.3</t>
        </is>
      </c>
      <c r="D1319" t="inlineStr">
        <is>
          <t>A46</t>
        </is>
      </c>
      <c r="E1319" t="inlineStr">
        <is>
          <t>LD/LE</t>
        </is>
      </c>
      <c r="F1319" t="inlineStr">
        <is>
          <t>EMPA</t>
        </is>
      </c>
      <c r="G1319" t="inlineStr">
        <is>
          <t>CLP-017</t>
        </is>
      </c>
      <c r="H1319" t="inlineStr">
        <is>
          <t>Protocolo</t>
        </is>
      </c>
      <c r="I1319">
        <v>6</v>
      </c>
      <c r="J1319" t="inlineStr">
        <is>
          <t>Drenagem Superficial</t>
        </is>
      </c>
      <c r="K1319" t="inlineStr">
        <is>
          <t>6.7</t>
        </is>
      </c>
      <c r="L1319" t="inlineStr">
        <is>
          <t>CZB 01</t>
        </is>
      </c>
      <c r="M1319" t="inlineStr">
        <is>
          <t>Dispositivo não executado</t>
        </is>
      </c>
      <c r="N1319" t="inlineStr">
        <is>
          <t>Drenagem obstruída.</t>
        </is>
      </c>
      <c r="O1319" t="inlineStr">
        <is>
          <t>Tipo A</t>
        </is>
      </c>
      <c r="P1319" t="inlineStr">
        <is>
          <t>23+150</t>
        </is>
      </c>
      <c r="Q1319" t="inlineStr">
        <is>
          <t>23+151</t>
        </is>
      </c>
      <c r="R1319" t="inlineStr">
        <is>
          <t>Aberta</t>
        </is>
      </c>
      <c r="T1319" t="inlineStr">
        <is>
          <t>Aline Batista</t>
        </is>
      </c>
      <c r="U1319" t="inlineStr">
        <is>
          <t>15/05/2026</t>
        </is>
      </c>
      <c r="V1319" t="inlineStr">
        <is>
          <t>22/05/2026</t>
        </is>
      </c>
      <c r="W1319">
        <v>19</v>
      </c>
      <c r="AA1319" t="inlineStr">
        <is>
          <t>Aberta -30 dias</t>
        </is>
      </c>
      <c r="AB1319" t="inlineStr">
        <is>
          <t>EMPA</t>
        </is>
      </c>
      <c r="AC1319" t="inlineStr">
        <is>
          <t>Aline</t>
        </is>
      </c>
      <c r="AD1319" t="inlineStr">
        <is>
          <t>22/07/2026</t>
        </is>
      </c>
      <c r="AE1319" t="inlineStr">
        <is>
          <t>29/07/2026</t>
        </is>
      </c>
      <c r="AF1319" t="inlineStr">
        <is>
          <t>Prazo Premissa VALE</t>
        </is>
      </c>
    </row>
    <row r="1320">
      <c r="A1320">
        <v>1318</v>
      </c>
      <c r="B1320">
        <v>1</v>
      </c>
      <c r="C1320" t="inlineStr">
        <is>
          <t>1.3</t>
        </is>
      </c>
      <c r="D1320" t="inlineStr">
        <is>
          <t>C44</t>
        </is>
      </c>
      <c r="F1320" t="inlineStr">
        <is>
          <t>EMPA</t>
        </is>
      </c>
      <c r="G1320" t="inlineStr">
        <is>
          <t>CLP-017</t>
        </is>
      </c>
      <c r="H1320" t="inlineStr">
        <is>
          <t>Protocolo</t>
        </is>
      </c>
      <c r="I1320">
        <v>6</v>
      </c>
      <c r="J1320" t="inlineStr">
        <is>
          <t>Drenagem Superficial</t>
        </is>
      </c>
      <c r="K1320" t="inlineStr">
        <is>
          <t>6.7</t>
        </is>
      </c>
      <c r="L1320" t="inlineStr">
        <is>
          <t>SZA</t>
        </is>
      </c>
      <c r="M1320" t="inlineStr">
        <is>
          <t>Drenagem danificadas</t>
        </is>
      </c>
      <c r="N1320" t="inlineStr">
        <is>
          <t>Drenagens danificadas</t>
        </is>
      </c>
      <c r="O1320" t="inlineStr">
        <is>
          <t>Tipo A</t>
        </is>
      </c>
      <c r="P1320" t="inlineStr">
        <is>
          <t>29+800</t>
        </is>
      </c>
      <c r="Q1320" t="inlineStr">
        <is>
          <t>31+000</t>
        </is>
      </c>
      <c r="R1320" t="inlineStr">
        <is>
          <t>Aberta</t>
        </is>
      </c>
      <c r="T1320" t="inlineStr">
        <is>
          <t>Aline Batista</t>
        </is>
      </c>
      <c r="U1320" t="inlineStr">
        <is>
          <t>15/05/2026</t>
        </is>
      </c>
      <c r="V1320" t="inlineStr">
        <is>
          <t>22/05/2026</t>
        </is>
      </c>
      <c r="W1320">
        <v>19</v>
      </c>
      <c r="AA1320" t="inlineStr">
        <is>
          <t>Aberta -30 dias</t>
        </is>
      </c>
      <c r="AB1320" t="inlineStr">
        <is>
          <t>EMPA</t>
        </is>
      </c>
      <c r="AC1320" t="inlineStr">
        <is>
          <t>Aline</t>
        </is>
      </c>
      <c r="AD1320" t="inlineStr">
        <is>
          <t>03/08/2026</t>
        </is>
      </c>
      <c r="AE1320" t="inlineStr">
        <is>
          <t>10/08/2026</t>
        </is>
      </c>
      <c r="AF1320" t="inlineStr">
        <is>
          <t>Prazo Premissa VALE</t>
        </is>
      </c>
    </row>
    <row r="1321">
      <c r="A1321">
        <v>1319</v>
      </c>
      <c r="B1321">
        <v>1</v>
      </c>
      <c r="C1321" t="inlineStr">
        <is>
          <t>1.3</t>
        </is>
      </c>
      <c r="D1321" t="inlineStr">
        <is>
          <t>A47</t>
        </is>
      </c>
      <c r="F1321" t="inlineStr">
        <is>
          <t>EMPA</t>
        </is>
      </c>
      <c r="G1321" t="inlineStr">
        <is>
          <t>CLP-017</t>
        </is>
      </c>
      <c r="H1321" t="inlineStr">
        <is>
          <t>Protocolo</t>
        </is>
      </c>
      <c r="I1321">
        <v>6</v>
      </c>
      <c r="J1321" t="inlineStr">
        <is>
          <t>Drenagem Superficial</t>
        </is>
      </c>
      <c r="K1321" t="inlineStr">
        <is>
          <t>6.7</t>
        </is>
      </c>
      <c r="L1321" t="inlineStr">
        <is>
          <t>VPC</t>
        </is>
      </c>
      <c r="M1321" t="inlineStr">
        <is>
          <t>Dispositivo não executado</t>
        </is>
      </c>
      <c r="N1321" t="inlineStr">
        <is>
          <t>CZB não executada.</t>
        </is>
      </c>
      <c r="O1321" t="inlineStr">
        <is>
          <t>Tipo A</t>
        </is>
      </c>
      <c r="P1321" t="inlineStr">
        <is>
          <t>27+738</t>
        </is>
      </c>
      <c r="Q1321" t="inlineStr">
        <is>
          <t>27+864</t>
        </is>
      </c>
      <c r="R1321" t="inlineStr">
        <is>
          <t>Aberta</t>
        </is>
      </c>
      <c r="T1321" t="inlineStr">
        <is>
          <t>Aline Batista</t>
        </is>
      </c>
      <c r="U1321" t="inlineStr">
        <is>
          <t>15/05/2026</t>
        </is>
      </c>
      <c r="V1321" t="inlineStr">
        <is>
          <t>22/05/2026</t>
        </is>
      </c>
      <c r="W1321">
        <v>19</v>
      </c>
      <c r="AA1321" t="inlineStr">
        <is>
          <t>Aberta -30 dias</t>
        </is>
      </c>
      <c r="AB1321" t="inlineStr">
        <is>
          <t>EMPA</t>
        </is>
      </c>
      <c r="AC1321" t="inlineStr">
        <is>
          <t>Aline</t>
        </is>
      </c>
      <c r="AD1321" t="inlineStr">
        <is>
          <t>03/08/2026</t>
        </is>
      </c>
      <c r="AE1321" t="inlineStr">
        <is>
          <t>14/08/2026</t>
        </is>
      </c>
      <c r="AF1321" t="inlineStr">
        <is>
          <t>Prazo premissa VALE</t>
        </is>
      </c>
    </row>
    <row r="1322">
      <c r="A1322">
        <v>1320</v>
      </c>
      <c r="B1322">
        <v>3</v>
      </c>
      <c r="C1322" t="inlineStr">
        <is>
          <t>1.7</t>
        </is>
      </c>
      <c r="D1322" t="inlineStr">
        <is>
          <t>A03</t>
        </is>
      </c>
      <c r="E1322" t="inlineStr">
        <is>
          <t>LD/LE</t>
        </is>
      </c>
      <c r="F1322" t="inlineStr">
        <is>
          <t>APIA</t>
        </is>
      </c>
      <c r="G1322" t="inlineStr">
        <is>
          <t>CLP-018</t>
        </is>
      </c>
      <c r="H1322" t="inlineStr">
        <is>
          <t>Protocolo</t>
        </is>
      </c>
      <c r="I1322">
        <v>1</v>
      </c>
      <c r="J1322" t="inlineStr">
        <is>
          <t>Obras Complementares</t>
        </is>
      </c>
      <c r="K1322" t="inlineStr">
        <is>
          <t>1.3</t>
        </is>
      </c>
      <c r="L1322" t="inlineStr">
        <is>
          <t>Cerca</t>
        </is>
      </c>
      <c r="M1322" t="inlineStr">
        <is>
          <t>Cercamento danificado</t>
        </is>
      </c>
      <c r="N1322" t="inlineStr">
        <is>
          <t>Cerca de direcionamento requerendo ajustes, apresentando fios com baixa tensão e presença de colchetes em desconformidade, em ambos os lados.</t>
        </is>
      </c>
      <c r="O1322" t="inlineStr">
        <is>
          <t>Tipo C</t>
        </is>
      </c>
      <c r="P1322" t="inlineStr">
        <is>
          <t>73+885</t>
        </is>
      </c>
      <c r="Q1322">
        <v>74000</v>
      </c>
      <c r="R1322" t="inlineStr">
        <is>
          <t>Aberta</t>
        </is>
      </c>
      <c r="T1322" t="inlineStr">
        <is>
          <t>Aline Batista</t>
        </is>
      </c>
      <c r="U1322" t="inlineStr">
        <is>
          <t>15/05/2026</t>
        </is>
      </c>
      <c r="V1322" t="inlineStr">
        <is>
          <t>14/06/2026</t>
        </is>
      </c>
      <c r="W1322">
        <v>-4</v>
      </c>
      <c r="AA1322" t="inlineStr">
        <is>
          <t>Aberta -30 dias</t>
        </is>
      </c>
    </row>
    <row r="1323">
      <c r="A1323">
        <v>1321</v>
      </c>
      <c r="B1323">
        <v>3</v>
      </c>
      <c r="C1323" t="inlineStr">
        <is>
          <t>1.7</t>
        </is>
      </c>
      <c r="D1323" t="inlineStr">
        <is>
          <t>A03</t>
        </is>
      </c>
      <c r="E1323" t="inlineStr">
        <is>
          <t>LD/LE</t>
        </is>
      </c>
      <c r="F1323" t="inlineStr">
        <is>
          <t>APIA</t>
        </is>
      </c>
      <c r="G1323" t="inlineStr">
        <is>
          <t>CLP-018</t>
        </is>
      </c>
      <c r="H1323" t="inlineStr">
        <is>
          <t>Protocolo</t>
        </is>
      </c>
      <c r="I1323">
        <v>1</v>
      </c>
      <c r="J1323" t="inlineStr">
        <is>
          <t>Obras Complementares</t>
        </is>
      </c>
      <c r="K1323" t="inlineStr">
        <is>
          <t>1.3</t>
        </is>
      </c>
      <c r="L1323" t="inlineStr">
        <is>
          <t>Cerca</t>
        </is>
      </c>
      <c r="M1323" t="inlineStr">
        <is>
          <t>Cercamento pendente</t>
        </is>
      </c>
      <c r="N1323" t="inlineStr">
        <is>
          <t>Pendente a execução da cerca de direcionamento em ambos os lados.</t>
        </is>
      </c>
      <c r="O1323" t="inlineStr">
        <is>
          <t>Tipo A</t>
        </is>
      </c>
      <c r="P1323" t="inlineStr">
        <is>
          <t>71+800</t>
        </is>
      </c>
      <c r="Q1323">
        <v>74000</v>
      </c>
      <c r="R1323" t="inlineStr">
        <is>
          <t>Aberta</t>
        </is>
      </c>
      <c r="T1323" t="inlineStr">
        <is>
          <t>Aline Batista</t>
        </is>
      </c>
      <c r="U1323" t="inlineStr">
        <is>
          <t>15/05/2026</t>
        </is>
      </c>
      <c r="V1323" t="inlineStr">
        <is>
          <t>22/05/2026</t>
        </is>
      </c>
      <c r="W1323">
        <v>19</v>
      </c>
      <c r="AA1323" t="inlineStr">
        <is>
          <t>Aberta -30 dias</t>
        </is>
      </c>
    </row>
    <row r="1324">
      <c r="A1324">
        <v>1322</v>
      </c>
      <c r="B1324">
        <v>3</v>
      </c>
      <c r="C1324" t="inlineStr">
        <is>
          <t>1.7</t>
        </is>
      </c>
      <c r="D1324" t="inlineStr">
        <is>
          <t>A03</t>
        </is>
      </c>
      <c r="E1324" t="inlineStr">
        <is>
          <t>LD/LE</t>
        </is>
      </c>
      <c r="F1324" t="inlineStr">
        <is>
          <t>APIA</t>
        </is>
      </c>
      <c r="G1324" t="inlineStr">
        <is>
          <t>CLP-018</t>
        </is>
      </c>
      <c r="H1324" t="inlineStr">
        <is>
          <t>Protocolo</t>
        </is>
      </c>
      <c r="I1324">
        <v>1</v>
      </c>
      <c r="J1324" t="inlineStr">
        <is>
          <t>Obras Complementares</t>
        </is>
      </c>
      <c r="K1324" t="inlineStr">
        <is>
          <t>1.3</t>
        </is>
      </c>
      <c r="L1324" t="inlineStr">
        <is>
          <t>Cerca</t>
        </is>
      </c>
      <c r="M1324" t="inlineStr">
        <is>
          <t>Cercamento danificado</t>
        </is>
      </c>
      <c r="N1324" t="inlineStr">
        <is>
          <t>Colchete no cercamento da PG, (lado esquerdo e direito). Correção do cercamento.</t>
        </is>
      </c>
      <c r="O1324" t="inlineStr">
        <is>
          <t>Tipo C</t>
        </is>
      </c>
      <c r="P1324" t="inlineStr">
        <is>
          <t>73+860</t>
        </is>
      </c>
      <c r="Q1324">
        <v>73860</v>
      </c>
      <c r="R1324" t="inlineStr">
        <is>
          <t>Aberta</t>
        </is>
      </c>
      <c r="T1324" t="inlineStr">
        <is>
          <t>Aline Batista</t>
        </is>
      </c>
      <c r="U1324" t="inlineStr">
        <is>
          <t>15/05/2026</t>
        </is>
      </c>
      <c r="V1324" t="inlineStr">
        <is>
          <t>14/06/2026</t>
        </is>
      </c>
      <c r="W1324">
        <v>-4</v>
      </c>
      <c r="AA1324" t="inlineStr">
        <is>
          <t>Aberta -30 dias</t>
        </is>
      </c>
    </row>
    <row r="1325">
      <c r="A1325">
        <v>1323</v>
      </c>
      <c r="B1325">
        <v>3</v>
      </c>
      <c r="C1325" t="inlineStr">
        <is>
          <t>1.7</t>
        </is>
      </c>
      <c r="D1325" t="inlineStr">
        <is>
          <t>C01</t>
        </is>
      </c>
      <c r="E1325" t="inlineStr">
        <is>
          <t>LE</t>
        </is>
      </c>
      <c r="F1325" t="inlineStr">
        <is>
          <t>APIA</t>
        </is>
      </c>
      <c r="G1325" t="inlineStr">
        <is>
          <t>CLP-018</t>
        </is>
      </c>
      <c r="H1325" t="inlineStr">
        <is>
          <t>Protocolo</t>
        </is>
      </c>
      <c r="I1325">
        <v>1</v>
      </c>
      <c r="J1325" t="inlineStr">
        <is>
          <t>Obras Complementares</t>
        </is>
      </c>
      <c r="K1325" t="inlineStr">
        <is>
          <t>1.4</t>
        </is>
      </c>
      <c r="L1325" t="inlineStr">
        <is>
          <t>Cerca</t>
        </is>
      </c>
      <c r="M1325" t="inlineStr">
        <is>
          <t>Execuçao divergente do projeto</t>
        </is>
      </c>
      <c r="N1325" t="inlineStr">
        <is>
          <t>Foi observada divergência entre o cercamento executado e os limites da Faixa de Domínio V9, no lado esquerdo, entre as estacas correspondentes ao km 72+120 e km 72+280.</t>
        </is>
      </c>
      <c r="O1325" t="inlineStr">
        <is>
          <t>Tipo A</t>
        </is>
      </c>
      <c r="P1325" t="inlineStr">
        <is>
          <t xml:space="preserve">72+120 </t>
        </is>
      </c>
      <c r="Q1325" t="inlineStr">
        <is>
          <t>72+280</t>
        </is>
      </c>
      <c r="R1325" t="inlineStr">
        <is>
          <t>Aberta</t>
        </is>
      </c>
      <c r="T1325" t="inlineStr">
        <is>
          <t>Aline Batista</t>
        </is>
      </c>
      <c r="U1325" t="inlineStr">
        <is>
          <t>15/05/2026</t>
        </is>
      </c>
      <c r="V1325" t="inlineStr">
        <is>
          <t>22/05/2026</t>
        </is>
      </c>
      <c r="W1325">
        <v>19</v>
      </c>
      <c r="AA1325" t="inlineStr">
        <is>
          <t>Aberta -30 dias</t>
        </is>
      </c>
    </row>
    <row r="1326">
      <c r="A1326">
        <v>1324</v>
      </c>
      <c r="B1326">
        <v>3</v>
      </c>
      <c r="C1326" t="inlineStr">
        <is>
          <t>1.7</t>
        </is>
      </c>
      <c r="D1326" t="inlineStr">
        <is>
          <t>A01</t>
        </is>
      </c>
      <c r="E1326" t="inlineStr">
        <is>
          <t>-</t>
        </is>
      </c>
      <c r="F1326" t="inlineStr">
        <is>
          <t>APIA</t>
        </is>
      </c>
      <c r="G1326" t="inlineStr">
        <is>
          <t>CLP-018</t>
        </is>
      </c>
      <c r="H1326" t="inlineStr">
        <is>
          <t>Protocolo</t>
        </is>
      </c>
      <c r="I1326">
        <v>1</v>
      </c>
      <c r="J1326" t="inlineStr">
        <is>
          <t>Obras Complementares</t>
        </is>
      </c>
      <c r="K1326" t="inlineStr">
        <is>
          <t>1.3</t>
        </is>
      </c>
      <c r="L1326" t="inlineStr">
        <is>
          <t>Cerca</t>
        </is>
      </c>
      <c r="M1326" t="inlineStr">
        <is>
          <t>Execuçao divergente do projeto</t>
        </is>
      </c>
      <c r="N1326" t="inlineStr">
        <is>
          <t xml:space="preserve">1 PG 3,0m X 3,0m no km 71+800 (o documento da INFRA aponta que a passagem é de 3x3, mas a passagem compartilhada no projeto executivo é de 2,5x2,5);
Falta corredor de direcionamento  e TSS LD</t>
        </is>
      </c>
      <c r="O1326" t="inlineStr">
        <is>
          <t>Tipo A</t>
        </is>
      </c>
      <c r="P1326" t="inlineStr">
        <is>
          <t>71+424,13</t>
        </is>
      </c>
      <c r="Q1326" t="inlineStr">
        <is>
          <t>72+117,508</t>
        </is>
      </c>
      <c r="R1326" t="inlineStr">
        <is>
          <t>Aberta</t>
        </is>
      </c>
      <c r="T1326" t="inlineStr">
        <is>
          <t>Aline Batista</t>
        </is>
      </c>
      <c r="U1326" t="inlineStr">
        <is>
          <t>15/05/2026</t>
        </is>
      </c>
      <c r="V1326" t="inlineStr">
        <is>
          <t>22/05/2026</t>
        </is>
      </c>
      <c r="W1326">
        <v>19</v>
      </c>
      <c r="AA1326" t="inlineStr">
        <is>
          <t>Aberta -30 dias</t>
        </is>
      </c>
    </row>
    <row r="1327">
      <c r="A1327">
        <v>1325</v>
      </c>
      <c r="B1327">
        <v>3</v>
      </c>
      <c r="C1327" t="inlineStr">
        <is>
          <t>1.7</t>
        </is>
      </c>
      <c r="D1327" t="inlineStr">
        <is>
          <t>C09</t>
        </is>
      </c>
      <c r="E1327" t="inlineStr">
        <is>
          <t>-</t>
        </is>
      </c>
      <c r="F1327" t="inlineStr">
        <is>
          <t>APIA</t>
        </is>
      </c>
      <c r="G1327" t="inlineStr">
        <is>
          <t>CLP-018</t>
        </is>
      </c>
      <c r="H1327" t="inlineStr">
        <is>
          <t>Protocolo</t>
        </is>
      </c>
      <c r="I1327">
        <v>1</v>
      </c>
      <c r="J1327" t="inlineStr">
        <is>
          <t>Obras Complementares</t>
        </is>
      </c>
      <c r="K1327" t="inlineStr">
        <is>
          <t>1.3</t>
        </is>
      </c>
      <c r="L1327" t="inlineStr">
        <is>
          <t>Cerca</t>
        </is>
      </c>
      <c r="M1327" t="inlineStr">
        <is>
          <t>Execuçao divergente do projeto</t>
        </is>
      </c>
      <c r="N1327" t="inlineStr">
        <is>
          <t xml:space="preserve">PG de 3,0x3,0 no km 80+645 ( solucionado através de RC, GARF e ATO) 
Falta corredor de direcionamento e TSS</t>
        </is>
      </c>
      <c r="O1327" t="inlineStr">
        <is>
          <t>Tipo A</t>
        </is>
      </c>
      <c r="P1327" t="inlineStr">
        <is>
          <t>80+017</t>
        </is>
      </c>
      <c r="Q1327" t="inlineStr">
        <is>
          <t>80+911</t>
        </is>
      </c>
      <c r="R1327" t="inlineStr">
        <is>
          <t>Aberta</t>
        </is>
      </c>
      <c r="T1327" t="inlineStr">
        <is>
          <t>Aline Batista</t>
        </is>
      </c>
      <c r="U1327" t="inlineStr">
        <is>
          <t>15/05/2026</t>
        </is>
      </c>
      <c r="V1327" t="inlineStr">
        <is>
          <t>22/05/2026</t>
        </is>
      </c>
      <c r="W1327">
        <v>19</v>
      </c>
      <c r="AA1327" t="inlineStr">
        <is>
          <t>Aberta -30 dias</t>
        </is>
      </c>
    </row>
    <row r="1328">
      <c r="A1328">
        <v>1326</v>
      </c>
      <c r="B1328">
        <v>3</v>
      </c>
      <c r="C1328" t="inlineStr">
        <is>
          <t>1.7</t>
        </is>
      </c>
      <c r="D1328" t="inlineStr">
        <is>
          <t>A01</t>
        </is>
      </c>
      <c r="E1328" t="inlineStr">
        <is>
          <t>-</t>
        </is>
      </c>
      <c r="F1328" t="inlineStr">
        <is>
          <t>APIA</t>
        </is>
      </c>
      <c r="G1328" t="inlineStr">
        <is>
          <t>CLP-018</t>
        </is>
      </c>
      <c r="H1328" t="inlineStr">
        <is>
          <t>Protocolo</t>
        </is>
      </c>
      <c r="I1328">
        <v>1</v>
      </c>
      <c r="J1328" t="inlineStr">
        <is>
          <t>Obras Complementares</t>
        </is>
      </c>
      <c r="K1328" t="inlineStr">
        <is>
          <t>1.3</t>
        </is>
      </c>
      <c r="L1328" t="inlineStr">
        <is>
          <t>As Built</t>
        </is>
      </c>
      <c r="M1328" t="inlineStr">
        <is>
          <t>Documental</t>
        </is>
      </c>
      <c r="N1328" t="inlineStr">
        <is>
          <t>Pendente aprovação de As Built.</t>
        </is>
      </c>
      <c r="O1328" t="inlineStr">
        <is>
          <t>Tipo B</t>
        </is>
      </c>
      <c r="P1328" t="inlineStr">
        <is>
          <t>71+527</t>
        </is>
      </c>
      <c r="Q1328">
        <v>80480.752</v>
      </c>
      <c r="R1328" t="inlineStr">
        <is>
          <t>Aberta</t>
        </is>
      </c>
      <c r="T1328" t="inlineStr">
        <is>
          <t>Aline Batista</t>
        </is>
      </c>
      <c r="U1328" t="inlineStr">
        <is>
          <t>15/05/2026</t>
        </is>
      </c>
      <c r="V1328" t="inlineStr">
        <is>
          <t>30/05/2026</t>
        </is>
      </c>
      <c r="W1328">
        <v>11</v>
      </c>
      <c r="AA1328" t="inlineStr">
        <is>
          <t>Aberta -30 dias</t>
        </is>
      </c>
    </row>
    <row r="1329">
      <c r="A1329">
        <v>1327</v>
      </c>
      <c r="B1329">
        <v>3</v>
      </c>
      <c r="C1329" t="inlineStr">
        <is>
          <t>1.7</t>
        </is>
      </c>
      <c r="D1329" t="inlineStr">
        <is>
          <t>A03</t>
        </is>
      </c>
      <c r="E1329" t="inlineStr">
        <is>
          <t>-</t>
        </is>
      </c>
      <c r="F1329" t="inlineStr">
        <is>
          <t>APIA</t>
        </is>
      </c>
      <c r="G1329" t="inlineStr">
        <is>
          <t>CLP-018</t>
        </is>
      </c>
      <c r="H1329" t="inlineStr">
        <is>
          <t>Fiscalização</t>
        </is>
      </c>
      <c r="I1329">
        <v>2</v>
      </c>
      <c r="J1329" t="inlineStr">
        <is>
          <t>Bueiros</t>
        </is>
      </c>
      <c r="K1329" t="inlineStr">
        <is>
          <t>2.11</t>
        </is>
      </c>
      <c r="L1329" t="inlineStr">
        <is>
          <t>BSCC3,50x3,50</t>
        </is>
      </c>
      <c r="M1329" t="inlineStr">
        <is>
          <t>Obstrução do dispositivo</t>
        </is>
      </c>
      <c r="N1329" t="inlineStr">
        <is>
          <t>Bueiro assoreado.</t>
        </is>
      </c>
      <c r="O1329" t="inlineStr">
        <is>
          <t>Tipo A</t>
        </is>
      </c>
      <c r="P1329" t="inlineStr">
        <is>
          <t>74+035</t>
        </is>
      </c>
      <c r="Q1329" t="inlineStr">
        <is>
          <t>74+035</t>
        </is>
      </c>
      <c r="R1329" t="inlineStr">
        <is>
          <t>Aberta</t>
        </is>
      </c>
      <c r="T1329" t="inlineStr">
        <is>
          <t>Aline Batista</t>
        </is>
      </c>
      <c r="U1329" t="inlineStr">
        <is>
          <t>15/05/2026</t>
        </is>
      </c>
      <c r="V1329" t="inlineStr">
        <is>
          <t>22/05/2026</t>
        </is>
      </c>
      <c r="W1329">
        <v>19</v>
      </c>
      <c r="AA1329" t="inlineStr">
        <is>
          <t>Aberta -30 dias</t>
        </is>
      </c>
    </row>
    <row r="1330">
      <c r="A1330">
        <v>1328</v>
      </c>
      <c r="B1330">
        <v>3</v>
      </c>
      <c r="C1330" t="inlineStr">
        <is>
          <t>1.7</t>
        </is>
      </c>
      <c r="D1330" t="inlineStr">
        <is>
          <t>A06</t>
        </is>
      </c>
      <c r="E1330" t="inlineStr">
        <is>
          <t>-</t>
        </is>
      </c>
      <c r="F1330" t="inlineStr">
        <is>
          <t>APIA</t>
        </is>
      </c>
      <c r="G1330" t="inlineStr">
        <is>
          <t>CLP-018</t>
        </is>
      </c>
      <c r="H1330" t="inlineStr">
        <is>
          <t>Fiscalização</t>
        </is>
      </c>
      <c r="I1330">
        <v>2</v>
      </c>
      <c r="J1330" t="inlineStr">
        <is>
          <t>Bueiros</t>
        </is>
      </c>
      <c r="K1330" t="inlineStr">
        <is>
          <t>2.11</t>
        </is>
      </c>
      <c r="L1330" t="inlineStr">
        <is>
          <t>BSCC1,50x2,00</t>
        </is>
      </c>
      <c r="M1330" t="inlineStr">
        <is>
          <t>Obstrução do dispositivo</t>
        </is>
      </c>
      <c r="N1330" t="inlineStr">
        <is>
          <t>Bueiro com assoreamento à jusante.</t>
        </is>
      </c>
      <c r="O1330" t="inlineStr">
        <is>
          <t>Tipo A</t>
        </is>
      </c>
      <c r="P1330" t="inlineStr">
        <is>
          <t>77+672</t>
        </is>
      </c>
      <c r="Q1330" t="inlineStr">
        <is>
          <t>77+672</t>
        </is>
      </c>
      <c r="R1330" t="inlineStr">
        <is>
          <t>Aberta</t>
        </is>
      </c>
      <c r="T1330" t="inlineStr">
        <is>
          <t>Aline Batista</t>
        </is>
      </c>
      <c r="U1330" t="inlineStr">
        <is>
          <t>15/05/2026</t>
        </is>
      </c>
      <c r="V1330" t="inlineStr">
        <is>
          <t>22/05/2026</t>
        </is>
      </c>
      <c r="W1330">
        <v>19</v>
      </c>
      <c r="AA1330" t="inlineStr">
        <is>
          <t>Aberta -30 dias</t>
        </is>
      </c>
    </row>
    <row r="1331">
      <c r="A1331">
        <v>1329</v>
      </c>
      <c r="B1331">
        <v>3</v>
      </c>
      <c r="C1331" t="inlineStr">
        <is>
          <t>1.7</t>
        </is>
      </c>
      <c r="D1331" t="inlineStr">
        <is>
          <t>A07</t>
        </is>
      </c>
      <c r="E1331" t="inlineStr">
        <is>
          <t>-</t>
        </is>
      </c>
      <c r="F1331" t="inlineStr">
        <is>
          <t>APIA</t>
        </is>
      </c>
      <c r="G1331" t="inlineStr">
        <is>
          <t>CLP-018</t>
        </is>
      </c>
      <c r="H1331" t="inlineStr">
        <is>
          <t>Fiscalização</t>
        </is>
      </c>
      <c r="I1331">
        <v>2</v>
      </c>
      <c r="J1331" t="inlineStr">
        <is>
          <t>Bueiros</t>
        </is>
      </c>
      <c r="K1331" t="inlineStr">
        <is>
          <t>2.11</t>
        </is>
      </c>
      <c r="L1331" t="inlineStr">
        <is>
          <t>BDTC Ø1,00m</t>
        </is>
      </c>
      <c r="M1331" t="inlineStr">
        <is>
          <t>Obstrução do dispositivo</t>
        </is>
      </c>
      <c r="N1331" t="inlineStr">
        <is>
          <t>Bueiro com assoreamento à montante.</t>
        </is>
      </c>
      <c r="O1331" t="inlineStr">
        <is>
          <t>Tipo A</t>
        </is>
      </c>
      <c r="P1331" t="inlineStr">
        <is>
          <t>79+613</t>
        </is>
      </c>
      <c r="Q1331" t="inlineStr">
        <is>
          <t>79+613</t>
        </is>
      </c>
      <c r="R1331" t="inlineStr">
        <is>
          <t>Aberta</t>
        </is>
      </c>
      <c r="T1331" t="inlineStr">
        <is>
          <t>Aline Batista</t>
        </is>
      </c>
      <c r="U1331" t="inlineStr">
        <is>
          <t>15/05/2026</t>
        </is>
      </c>
      <c r="V1331" t="inlineStr">
        <is>
          <t>22/05/2026</t>
        </is>
      </c>
      <c r="W1331">
        <v>19</v>
      </c>
      <c r="AA1331" t="inlineStr">
        <is>
          <t>Aberta -30 dias</t>
        </is>
      </c>
    </row>
    <row r="1332">
      <c r="A1332">
        <v>1330</v>
      </c>
      <c r="B1332">
        <v>3</v>
      </c>
      <c r="C1332" t="inlineStr">
        <is>
          <t>1.7</t>
        </is>
      </c>
      <c r="D1332" t="inlineStr">
        <is>
          <t>A03</t>
        </is>
      </c>
      <c r="E1332" t="inlineStr">
        <is>
          <t>-</t>
        </is>
      </c>
      <c r="F1332" t="inlineStr">
        <is>
          <t>APIA</t>
        </is>
      </c>
      <c r="G1332" t="inlineStr">
        <is>
          <t>CLP-018</t>
        </is>
      </c>
      <c r="H1332" t="inlineStr">
        <is>
          <t>Implantação</t>
        </is>
      </c>
      <c r="I1332">
        <v>2</v>
      </c>
      <c r="J1332" t="inlineStr">
        <is>
          <t>Bueiros</t>
        </is>
      </c>
      <c r="K1332" t="inlineStr">
        <is>
          <t>2.11</t>
        </is>
      </c>
      <c r="L1332" t="inlineStr">
        <is>
          <t>OAC</t>
        </is>
      </c>
      <c r="M1332" t="inlineStr">
        <is>
          <t>Obstrução do dispositivo</t>
        </is>
      </c>
      <c r="N1332" t="inlineStr">
        <is>
          <t>Bueiro Assoreado e Drenagem Obstruída</t>
        </is>
      </c>
      <c r="O1332" t="inlineStr">
        <is>
          <t>Tipo A</t>
        </is>
      </c>
      <c r="P1332" t="inlineStr">
        <is>
          <t>74+500</t>
        </is>
      </c>
      <c r="Q1332">
        <v>74500</v>
      </c>
      <c r="R1332" t="inlineStr">
        <is>
          <t>Aberta</t>
        </is>
      </c>
      <c r="T1332" t="inlineStr">
        <is>
          <t>Aline Batista</t>
        </is>
      </c>
      <c r="U1332" t="inlineStr">
        <is>
          <t>15/05/2026</t>
        </is>
      </c>
      <c r="V1332" t="inlineStr">
        <is>
          <t>22/05/2026</t>
        </is>
      </c>
      <c r="W1332">
        <v>19</v>
      </c>
      <c r="AA1332" t="inlineStr">
        <is>
          <t>Aberta -30 dias</t>
        </is>
      </c>
    </row>
    <row r="1333">
      <c r="A1333">
        <v>1331</v>
      </c>
      <c r="B1333">
        <v>3</v>
      </c>
      <c r="C1333" t="inlineStr">
        <is>
          <t>1.7</t>
        </is>
      </c>
      <c r="D1333" t="inlineStr">
        <is>
          <t>A04</t>
        </is>
      </c>
      <c r="E1333" t="inlineStr">
        <is>
          <t>-</t>
        </is>
      </c>
      <c r="F1333" t="inlineStr">
        <is>
          <t>APIA</t>
        </is>
      </c>
      <c r="G1333" t="inlineStr">
        <is>
          <t>CLP-018</t>
        </is>
      </c>
      <c r="H1333" t="inlineStr">
        <is>
          <t>Implantação</t>
        </is>
      </c>
      <c r="I1333">
        <v>2</v>
      </c>
      <c r="J1333" t="inlineStr">
        <is>
          <t>Bueiros</t>
        </is>
      </c>
      <c r="K1333" t="inlineStr">
        <is>
          <t>2.11</t>
        </is>
      </c>
      <c r="L1333" t="inlineStr">
        <is>
          <t>OAC</t>
        </is>
      </c>
      <c r="M1333" t="inlineStr">
        <is>
          <t>Obstrução do dispositivo</t>
        </is>
      </c>
      <c r="N1333" t="inlineStr">
        <is>
          <t>Bueiro Assoreado e Erosão LD/LE</t>
        </is>
      </c>
      <c r="O1333" t="inlineStr">
        <is>
          <t>Tipo A</t>
        </is>
      </c>
      <c r="P1333" t="inlineStr">
        <is>
          <t>76+090</t>
        </is>
      </c>
      <c r="Q1333">
        <v>76090</v>
      </c>
      <c r="R1333" t="inlineStr">
        <is>
          <t>Aberta</t>
        </is>
      </c>
      <c r="T1333" t="inlineStr">
        <is>
          <t>Aline Batista</t>
        </is>
      </c>
      <c r="U1333" t="inlineStr">
        <is>
          <t>15/05/2026</t>
        </is>
      </c>
      <c r="V1333" t="inlineStr">
        <is>
          <t>22/05/2026</t>
        </is>
      </c>
      <c r="W1333">
        <v>19</v>
      </c>
      <c r="AA1333" t="inlineStr">
        <is>
          <t>Aberta -30 dias</t>
        </is>
      </c>
    </row>
    <row r="1334">
      <c r="A1334">
        <v>1332</v>
      </c>
      <c r="B1334">
        <v>3</v>
      </c>
      <c r="C1334" t="inlineStr">
        <is>
          <t>1.7</t>
        </is>
      </c>
      <c r="D1334" t="inlineStr">
        <is>
          <t>C01</t>
        </is>
      </c>
      <c r="E1334" t="inlineStr">
        <is>
          <t>-</t>
        </is>
      </c>
      <c r="F1334" t="inlineStr">
        <is>
          <t>APIA</t>
        </is>
      </c>
      <c r="G1334" t="inlineStr">
        <is>
          <t>CLP-018</t>
        </is>
      </c>
      <c r="H1334" t="inlineStr">
        <is>
          <t>Protocolo</t>
        </is>
      </c>
      <c r="I1334">
        <v>2</v>
      </c>
      <c r="J1334" t="inlineStr">
        <is>
          <t>Bueiros</t>
        </is>
      </c>
      <c r="K1334" t="inlineStr">
        <is>
          <t>2.12</t>
        </is>
      </c>
      <c r="L1334" t="inlineStr">
        <is>
          <t>BSTC Ø1,20m</t>
        </is>
      </c>
      <c r="M1334" t="inlineStr">
        <is>
          <t>Obstrução do dispositivo</t>
        </is>
      </c>
      <c r="N1334" t="inlineStr">
        <is>
          <t xml:space="preserve">Bueiro afogado impossibilitando identificar a execução do DEB-04.
Enviar evidência de execução do dissipador de energia (DEB-04.)</t>
        </is>
      </c>
      <c r="O1334" t="inlineStr">
        <is>
          <t>Tipo A</t>
        </is>
      </c>
      <c r="P1334" t="inlineStr">
        <is>
          <t>71+551</t>
        </is>
      </c>
      <c r="Q1334" t="inlineStr">
        <is>
          <t>71+551</t>
        </is>
      </c>
      <c r="R1334" t="inlineStr">
        <is>
          <t>Aberta</t>
        </is>
      </c>
      <c r="T1334" t="inlineStr">
        <is>
          <t>Aline Batista</t>
        </is>
      </c>
      <c r="U1334" t="inlineStr">
        <is>
          <t>15/05/2026</t>
        </is>
      </c>
      <c r="V1334" t="inlineStr">
        <is>
          <t>22/05/2026</t>
        </is>
      </c>
      <c r="W1334">
        <v>19</v>
      </c>
      <c r="AA1334" t="inlineStr">
        <is>
          <t>Aberta -30 dias</t>
        </is>
      </c>
    </row>
    <row r="1335">
      <c r="A1335">
        <v>1333</v>
      </c>
      <c r="B1335">
        <v>3</v>
      </c>
      <c r="C1335" t="inlineStr">
        <is>
          <t>1.7</t>
        </is>
      </c>
      <c r="D1335" t="inlineStr">
        <is>
          <t>A03</t>
        </is>
      </c>
      <c r="E1335" t="inlineStr">
        <is>
          <t>-</t>
        </is>
      </c>
      <c r="F1335" t="inlineStr">
        <is>
          <t>APIA</t>
        </is>
      </c>
      <c r="G1335" t="inlineStr">
        <is>
          <t>CLP-018</t>
        </is>
      </c>
      <c r="H1335" t="inlineStr">
        <is>
          <t>Protocolo</t>
        </is>
      </c>
      <c r="I1335">
        <v>2</v>
      </c>
      <c r="J1335" t="inlineStr">
        <is>
          <t>Bueiros</t>
        </is>
      </c>
      <c r="K1335" t="inlineStr">
        <is>
          <t>2.12</t>
        </is>
      </c>
      <c r="L1335" t="inlineStr">
        <is>
          <t>BSCC 3,00 x 3,00</t>
        </is>
      </c>
      <c r="M1335" t="inlineStr">
        <is>
          <t>Obstrução do dispositivo</t>
        </is>
      </c>
      <c r="N1335" t="inlineStr">
        <is>
          <t xml:space="preserve">Jusante da OAC com acúmulo de água/sedimento impossibilitando identificar a execução do DBSCC-13.
Enviar evidência de execução do dissipador de energia (DBSCC-13.)</t>
        </is>
      </c>
      <c r="O1335" t="inlineStr">
        <is>
          <t>Tipo A</t>
        </is>
      </c>
      <c r="P1335" t="inlineStr">
        <is>
          <t>74+035</t>
        </is>
      </c>
      <c r="Q1335" t="inlineStr">
        <is>
          <t>74+035</t>
        </is>
      </c>
      <c r="R1335" t="inlineStr">
        <is>
          <t>Aberta</t>
        </is>
      </c>
      <c r="T1335" t="inlineStr">
        <is>
          <t>Aline Batista</t>
        </is>
      </c>
      <c r="U1335" t="inlineStr">
        <is>
          <t>15/05/2026</t>
        </is>
      </c>
      <c r="V1335" t="inlineStr">
        <is>
          <t>22/05/2026</t>
        </is>
      </c>
      <c r="W1335">
        <v>19</v>
      </c>
      <c r="AA1335" t="inlineStr">
        <is>
          <t>Aberta -30 dias</t>
        </is>
      </c>
    </row>
    <row r="1336">
      <c r="A1336">
        <v>1334</v>
      </c>
      <c r="B1336">
        <v>3</v>
      </c>
      <c r="C1336" t="inlineStr">
        <is>
          <t>1.7</t>
        </is>
      </c>
      <c r="D1336" t="inlineStr">
        <is>
          <t>A04</t>
        </is>
      </c>
      <c r="E1336" t="inlineStr">
        <is>
          <t>-</t>
        </is>
      </c>
      <c r="F1336" t="inlineStr">
        <is>
          <t>APIA</t>
        </is>
      </c>
      <c r="G1336" t="inlineStr">
        <is>
          <t>CLP-018</t>
        </is>
      </c>
      <c r="H1336" t="inlineStr">
        <is>
          <t>Protocolo</t>
        </is>
      </c>
      <c r="I1336">
        <v>2</v>
      </c>
      <c r="J1336" t="inlineStr">
        <is>
          <t>Bueiros</t>
        </is>
      </c>
      <c r="K1336" t="inlineStr">
        <is>
          <t>2.12</t>
        </is>
      </c>
      <c r="L1336" t="inlineStr">
        <is>
          <t>BSCC 2,50 x 2,50</t>
        </is>
      </c>
      <c r="M1336" t="inlineStr">
        <is>
          <t>Execuçao divergente do projeto</t>
        </is>
      </c>
      <c r="N1336" t="inlineStr">
        <is>
          <t xml:space="preserve">DDAB 03 suprimida e DBSCC-08 mantido, conforme SIT_2024_3789.
Jusante com acúmulo de sedimentos, impossibilitando identificar a execução do DBSCC-08. 
Enviar evidência de execução do dissipador de energia (DBSCC-08).</t>
        </is>
      </c>
      <c r="O1336" t="inlineStr">
        <is>
          <t>Tipo A</t>
        </is>
      </c>
      <c r="P1336" t="inlineStr">
        <is>
          <t>75+568</t>
        </is>
      </c>
      <c r="Q1336" t="inlineStr">
        <is>
          <t>75+568</t>
        </is>
      </c>
      <c r="R1336" t="inlineStr">
        <is>
          <t>Aberta</t>
        </is>
      </c>
      <c r="T1336" t="inlineStr">
        <is>
          <t>Aline Batista</t>
        </is>
      </c>
      <c r="U1336" t="inlineStr">
        <is>
          <t>15/05/2026</t>
        </is>
      </c>
      <c r="V1336" t="inlineStr">
        <is>
          <t>22/05/2026</t>
        </is>
      </c>
      <c r="W1336">
        <v>19</v>
      </c>
      <c r="AA1336" t="inlineStr">
        <is>
          <t>Aberta -30 dias</t>
        </is>
      </c>
    </row>
    <row r="1337">
      <c r="A1337">
        <v>1335</v>
      </c>
      <c r="B1337">
        <v>3</v>
      </c>
      <c r="C1337" t="inlineStr">
        <is>
          <t>1.7</t>
        </is>
      </c>
      <c r="D1337" t="inlineStr">
        <is>
          <t>C03</t>
        </is>
      </c>
      <c r="E1337" t="inlineStr">
        <is>
          <t>-</t>
        </is>
      </c>
      <c r="F1337" t="inlineStr">
        <is>
          <t>APIA</t>
        </is>
      </c>
      <c r="G1337" t="inlineStr">
        <is>
          <t>CLP-018</t>
        </is>
      </c>
      <c r="H1337" t="inlineStr">
        <is>
          <t>Protocolo</t>
        </is>
      </c>
      <c r="I1337">
        <v>2</v>
      </c>
      <c r="J1337" t="inlineStr">
        <is>
          <t>Bueiros</t>
        </is>
      </c>
      <c r="K1337" t="inlineStr">
        <is>
          <t>2.12</t>
        </is>
      </c>
      <c r="L1337" t="inlineStr">
        <is>
          <t>BSTC Ø 1,00</t>
        </is>
      </c>
      <c r="M1337" t="inlineStr">
        <is>
          <t>Obstrução do dispositivo</t>
        </is>
      </c>
      <c r="N1337" t="inlineStr">
        <is>
          <t xml:space="preserve">Jusante da OAC com acúmulo de sedimento impossibilitando identificar a execução do DEB-03.
Enviar evidência de execução do dissipador de energia (DEB-03).</t>
        </is>
      </c>
      <c r="O1337" t="inlineStr">
        <is>
          <t>Tipo A</t>
        </is>
      </c>
      <c r="P1337" t="inlineStr">
        <is>
          <t xml:space="preserve">101+682
(Acesso km 74+864)</t>
        </is>
      </c>
      <c r="Q1337" t="inlineStr">
        <is>
          <t xml:space="preserve">101+682
(Acesso km 74+864)</t>
        </is>
      </c>
      <c r="R1337" t="inlineStr">
        <is>
          <t>Aberta</t>
        </is>
      </c>
      <c r="T1337" t="inlineStr">
        <is>
          <t>Aline Batista</t>
        </is>
      </c>
      <c r="U1337" t="inlineStr">
        <is>
          <t>15/05/2026</t>
        </is>
      </c>
      <c r="V1337" t="inlineStr">
        <is>
          <t>22/05/2026</t>
        </is>
      </c>
      <c r="W1337">
        <v>19</v>
      </c>
      <c r="AA1337" t="inlineStr">
        <is>
          <t>Aberta -30 dias</t>
        </is>
      </c>
    </row>
    <row r="1338">
      <c r="A1338">
        <v>1336</v>
      </c>
      <c r="B1338">
        <v>3</v>
      </c>
      <c r="C1338" t="inlineStr">
        <is>
          <t>1.7</t>
        </is>
      </c>
      <c r="D1338" t="inlineStr">
        <is>
          <t>C03</t>
        </is>
      </c>
      <c r="E1338" t="inlineStr">
        <is>
          <t>-</t>
        </is>
      </c>
      <c r="F1338" t="inlineStr">
        <is>
          <t>APIA</t>
        </is>
      </c>
      <c r="G1338" t="inlineStr">
        <is>
          <t>CLP-018</t>
        </is>
      </c>
      <c r="H1338" t="inlineStr">
        <is>
          <t>Protocolo</t>
        </is>
      </c>
      <c r="I1338">
        <v>2</v>
      </c>
      <c r="J1338" t="inlineStr">
        <is>
          <t>Bueiros</t>
        </is>
      </c>
      <c r="K1338" t="inlineStr">
        <is>
          <t>2.12</t>
        </is>
      </c>
      <c r="L1338" t="inlineStr">
        <is>
          <t>BDTC Ø 1,20</t>
        </is>
      </c>
      <c r="M1338" t="inlineStr">
        <is>
          <t>Obstrução do dispositivo</t>
        </is>
      </c>
      <c r="N1338" t="inlineStr">
        <is>
          <t xml:space="preserve">Jusante da OAC com acúmulo de sedimento impossibilitando identificar a execução do DEB-07.
Enviar evidência de execução do dissipador de energia (DEB-07).</t>
        </is>
      </c>
      <c r="O1338" t="inlineStr">
        <is>
          <t>Tipo A</t>
        </is>
      </c>
      <c r="P1338" t="inlineStr">
        <is>
          <t xml:space="preserve">101+773
(Acesso km 74+864)</t>
        </is>
      </c>
      <c r="Q1338" t="inlineStr">
        <is>
          <t xml:space="preserve">101+773
(Acesso km 74+864)</t>
        </is>
      </c>
      <c r="R1338" t="inlineStr">
        <is>
          <t>Aberta</t>
        </is>
      </c>
      <c r="T1338" t="inlineStr">
        <is>
          <t>Aline Batista</t>
        </is>
      </c>
      <c r="U1338" t="inlineStr">
        <is>
          <t>15/05/2026</t>
        </is>
      </c>
      <c r="V1338" t="inlineStr">
        <is>
          <t>22/05/2026</t>
        </is>
      </c>
      <c r="W1338">
        <v>19</v>
      </c>
      <c r="AA1338" t="inlineStr">
        <is>
          <t>Aberta -30 dias</t>
        </is>
      </c>
    </row>
    <row r="1339">
      <c r="A1339">
        <v>1337</v>
      </c>
      <c r="B1339">
        <v>3</v>
      </c>
      <c r="C1339" t="inlineStr">
        <is>
          <t>1.7</t>
        </is>
      </c>
      <c r="D1339" t="inlineStr">
        <is>
          <t>C08</t>
        </is>
      </c>
      <c r="E1339" t="inlineStr">
        <is>
          <t>-</t>
        </is>
      </c>
      <c r="F1339" t="inlineStr">
        <is>
          <t>APIA</t>
        </is>
      </c>
      <c r="G1339" t="inlineStr">
        <is>
          <t>CLP-018</t>
        </is>
      </c>
      <c r="H1339" t="inlineStr">
        <is>
          <t>Protocolo</t>
        </is>
      </c>
      <c r="I1339">
        <v>2</v>
      </c>
      <c r="J1339" t="inlineStr">
        <is>
          <t>Bueiros</t>
        </is>
      </c>
      <c r="K1339" t="inlineStr">
        <is>
          <t>2.12</t>
        </is>
      </c>
      <c r="L1339" t="inlineStr">
        <is>
          <t>BDTC Ø1,00m</t>
        </is>
      </c>
      <c r="M1339" t="inlineStr">
        <is>
          <t>Obstrução do dispositivo</t>
        </is>
      </c>
      <c r="N1339" t="inlineStr">
        <is>
          <t xml:space="preserve">Bueiro com acúmulo de sedimentos a jusante impossibilitando identificar a execução do DEB-06.
Enviar evidência de execução do dissipador de energia (DEB-06).</t>
        </is>
      </c>
      <c r="O1339" t="inlineStr">
        <is>
          <t>Tipo A</t>
        </is>
      </c>
      <c r="P1339" t="inlineStr">
        <is>
          <t>79+267</t>
        </is>
      </c>
      <c r="Q1339" t="inlineStr">
        <is>
          <t>79+267</t>
        </is>
      </c>
      <c r="R1339" t="inlineStr">
        <is>
          <t>Aberta</t>
        </is>
      </c>
      <c r="T1339" t="inlineStr">
        <is>
          <t>Aline Batista</t>
        </is>
      </c>
      <c r="U1339" t="inlineStr">
        <is>
          <t>15/05/2026</t>
        </is>
      </c>
      <c r="V1339" t="inlineStr">
        <is>
          <t>22/05/2026</t>
        </is>
      </c>
      <c r="W1339">
        <v>19</v>
      </c>
      <c r="AA1339" t="inlineStr">
        <is>
          <t>Aberta -30 dias</t>
        </is>
      </c>
    </row>
    <row r="1340">
      <c r="A1340">
        <v>1338</v>
      </c>
      <c r="B1340">
        <v>3</v>
      </c>
      <c r="C1340" t="inlineStr">
        <is>
          <t>1.7</t>
        </is>
      </c>
      <c r="D1340" t="inlineStr">
        <is>
          <t>C09</t>
        </is>
      </c>
      <c r="E1340" t="inlineStr">
        <is>
          <t>-</t>
        </is>
      </c>
      <c r="F1340" t="inlineStr">
        <is>
          <t>APIA</t>
        </is>
      </c>
      <c r="G1340" t="inlineStr">
        <is>
          <t>CLP-018</t>
        </is>
      </c>
      <c r="H1340" t="inlineStr">
        <is>
          <t>Protocolo</t>
        </is>
      </c>
      <c r="I1340">
        <v>2</v>
      </c>
      <c r="J1340" t="inlineStr">
        <is>
          <t>Bueiros</t>
        </is>
      </c>
      <c r="K1340" t="inlineStr">
        <is>
          <t>2.12</t>
        </is>
      </c>
      <c r="L1340" t="inlineStr">
        <is>
          <t>BDTC Ø1,00m</t>
        </is>
      </c>
      <c r="M1340" t="inlineStr">
        <is>
          <t>Obstrução do dispositivo</t>
        </is>
      </c>
      <c r="N1340" t="inlineStr">
        <is>
          <t xml:space="preserve">Bueiro com acúmulo de sedimentos a jusante impossibilitando identificar a execução do DEB-06.
Enviar evidência de execução do dissipador de energia (DEB-06).</t>
        </is>
      </c>
      <c r="O1340" t="inlineStr">
        <is>
          <t>Tipo A</t>
        </is>
      </c>
      <c r="P1340" t="inlineStr">
        <is>
          <t>79+613</t>
        </is>
      </c>
      <c r="Q1340" t="inlineStr">
        <is>
          <t>79+613</t>
        </is>
      </c>
      <c r="R1340" t="inlineStr">
        <is>
          <t>Aberta</t>
        </is>
      </c>
      <c r="T1340" t="inlineStr">
        <is>
          <t>Aline Batista</t>
        </is>
      </c>
      <c r="U1340" t="inlineStr">
        <is>
          <t>15/05/2026</t>
        </is>
      </c>
      <c r="V1340" t="inlineStr">
        <is>
          <t>22/05/2026</t>
        </is>
      </c>
      <c r="W1340">
        <v>19</v>
      </c>
      <c r="AA1340" t="inlineStr">
        <is>
          <t>Aberta -30 dias</t>
        </is>
      </c>
    </row>
    <row r="1341">
      <c r="A1341">
        <v>1339</v>
      </c>
      <c r="B1341">
        <v>3</v>
      </c>
      <c r="C1341" t="inlineStr">
        <is>
          <t>1.7</t>
        </is>
      </c>
      <c r="D1341" t="inlineStr">
        <is>
          <t>C01</t>
        </is>
      </c>
      <c r="E1341" t="inlineStr">
        <is>
          <t>-</t>
        </is>
      </c>
      <c r="F1341" t="inlineStr">
        <is>
          <t>APIA</t>
        </is>
      </c>
      <c r="G1341" t="inlineStr">
        <is>
          <t>CLP-018</t>
        </is>
      </c>
      <c r="H1341" t="inlineStr">
        <is>
          <t>Protocolo</t>
        </is>
      </c>
      <c r="I1341">
        <v>2</v>
      </c>
      <c r="J1341" t="inlineStr">
        <is>
          <t>Bueiros</t>
        </is>
      </c>
      <c r="K1341" t="inlineStr">
        <is>
          <t>2.12</t>
        </is>
      </c>
      <c r="L1341" t="inlineStr">
        <is>
          <t>BSTC Ø1,20m</t>
        </is>
      </c>
      <c r="M1341" t="inlineStr">
        <is>
          <t>Obstrução do dispositivo</t>
        </is>
      </c>
      <c r="N1341" t="inlineStr">
        <is>
          <t xml:space="preserve">Bueiro afogado impossibilitando identificar a execução do DEB-04.
Enviar evidência de execução do dissipador de energia (DEB-04.)</t>
        </is>
      </c>
      <c r="O1341" t="inlineStr">
        <is>
          <t>Tipo A</t>
        </is>
      </c>
      <c r="P1341" t="inlineStr">
        <is>
          <t>71+551</t>
        </is>
      </c>
      <c r="Q1341" t="inlineStr">
        <is>
          <t>71+551</t>
        </is>
      </c>
      <c r="R1341" t="inlineStr">
        <is>
          <t>Aberta</t>
        </is>
      </c>
      <c r="T1341" t="inlineStr">
        <is>
          <t>Aline Batista</t>
        </is>
      </c>
      <c r="U1341" t="inlineStr">
        <is>
          <t>15/05/2026</t>
        </is>
      </c>
      <c r="V1341" t="inlineStr">
        <is>
          <t>22/05/2026</t>
        </is>
      </c>
      <c r="W1341">
        <v>19</v>
      </c>
      <c r="AA1341" t="inlineStr">
        <is>
          <t>Aberta -30 dias</t>
        </is>
      </c>
    </row>
    <row r="1342">
      <c r="A1342">
        <v>1340</v>
      </c>
      <c r="B1342">
        <v>3</v>
      </c>
      <c r="C1342" t="inlineStr">
        <is>
          <t>1.7</t>
        </is>
      </c>
      <c r="D1342" t="inlineStr">
        <is>
          <t>A03</t>
        </is>
      </c>
      <c r="E1342" t="inlineStr">
        <is>
          <t>-</t>
        </is>
      </c>
      <c r="F1342" t="inlineStr">
        <is>
          <t>APIA</t>
        </is>
      </c>
      <c r="G1342" t="inlineStr">
        <is>
          <t>CLP-018</t>
        </is>
      </c>
      <c r="H1342" t="inlineStr">
        <is>
          <t>Protocolo</t>
        </is>
      </c>
      <c r="I1342">
        <v>2</v>
      </c>
      <c r="J1342" t="inlineStr">
        <is>
          <t>Bueiros</t>
        </is>
      </c>
      <c r="K1342" t="inlineStr">
        <is>
          <t>2.12</t>
        </is>
      </c>
      <c r="L1342" t="inlineStr">
        <is>
          <t>BSCC 3,00 x 3,00</t>
        </is>
      </c>
      <c r="M1342" t="inlineStr">
        <is>
          <t>Obstrução do dispositivo</t>
        </is>
      </c>
      <c r="N1342" t="inlineStr">
        <is>
          <t xml:space="preserve">Jusante da OAC com acúmulo de água/sedimento impossibilitando identificar a execução do DBSCC-13.
Enviar evidência de execução do dissipador de energia (DBSCC-13.)</t>
        </is>
      </c>
      <c r="O1342" t="inlineStr">
        <is>
          <t>Tipo A</t>
        </is>
      </c>
      <c r="P1342" t="inlineStr">
        <is>
          <t>74+035</t>
        </is>
      </c>
      <c r="Q1342" t="inlineStr">
        <is>
          <t>74+035</t>
        </is>
      </c>
      <c r="R1342" t="inlineStr">
        <is>
          <t>Aberta</t>
        </is>
      </c>
      <c r="T1342" t="inlineStr">
        <is>
          <t>Aline Batista</t>
        </is>
      </c>
      <c r="U1342" t="inlineStr">
        <is>
          <t>15/05/2026</t>
        </is>
      </c>
      <c r="V1342" t="inlineStr">
        <is>
          <t>22/05/2026</t>
        </is>
      </c>
      <c r="W1342">
        <v>19</v>
      </c>
      <c r="AA1342" t="inlineStr">
        <is>
          <t>Aberta -30 dias</t>
        </is>
      </c>
    </row>
    <row r="1343">
      <c r="A1343">
        <v>1341</v>
      </c>
      <c r="B1343">
        <v>3</v>
      </c>
      <c r="C1343" t="inlineStr">
        <is>
          <t>1.7</t>
        </is>
      </c>
      <c r="D1343" t="inlineStr">
        <is>
          <t>A04</t>
        </is>
      </c>
      <c r="E1343" t="inlineStr">
        <is>
          <t>--</t>
        </is>
      </c>
      <c r="F1343" t="inlineStr">
        <is>
          <t>APIA</t>
        </is>
      </c>
      <c r="G1343" t="inlineStr">
        <is>
          <t>CLP-018</t>
        </is>
      </c>
      <c r="H1343" t="inlineStr">
        <is>
          <t>Protocolo</t>
        </is>
      </c>
      <c r="I1343">
        <v>2</v>
      </c>
      <c r="J1343" t="inlineStr">
        <is>
          <t>Bueiros</t>
        </is>
      </c>
      <c r="K1343" t="inlineStr">
        <is>
          <t>2.12</t>
        </is>
      </c>
      <c r="L1343" t="inlineStr">
        <is>
          <t>BSCC 2,50 x 2,50</t>
        </is>
      </c>
      <c r="M1343" t="inlineStr">
        <is>
          <t>Execuçao divergente do projeto</t>
        </is>
      </c>
      <c r="N1343" t="inlineStr">
        <is>
          <t xml:space="preserve">DDAB 03 suprimida e DBSCC-08 mantido, conforme SIT_2024_3789.
Jusante com acúmulo de sedimentos, impossibilitando identificar a execução do DBSCC-08. 
Enviar evidência de execução do dissipador de energia (DBSCC-08).</t>
        </is>
      </c>
      <c r="O1343" t="inlineStr">
        <is>
          <t>Tipo A</t>
        </is>
      </c>
      <c r="P1343" t="inlineStr">
        <is>
          <t>75+568</t>
        </is>
      </c>
      <c r="Q1343" t="inlineStr">
        <is>
          <t>75+568</t>
        </is>
      </c>
      <c r="R1343" t="inlineStr">
        <is>
          <t>Aberta</t>
        </is>
      </c>
      <c r="T1343" t="inlineStr">
        <is>
          <t>Aline Batista</t>
        </is>
      </c>
      <c r="U1343" t="inlineStr">
        <is>
          <t>15/05/2026</t>
        </is>
      </c>
      <c r="V1343" t="inlineStr">
        <is>
          <t>22/05/2026</t>
        </is>
      </c>
      <c r="W1343">
        <v>19</v>
      </c>
      <c r="AA1343" t="inlineStr">
        <is>
          <t>Aberta -30 dias</t>
        </is>
      </c>
    </row>
    <row r="1344">
      <c r="A1344">
        <v>1342</v>
      </c>
      <c r="B1344">
        <v>3</v>
      </c>
      <c r="C1344" t="inlineStr">
        <is>
          <t>1.7</t>
        </is>
      </c>
      <c r="D1344" t="inlineStr">
        <is>
          <t>C03</t>
        </is>
      </c>
      <c r="E1344" t="inlineStr">
        <is>
          <t>-</t>
        </is>
      </c>
      <c r="F1344" t="inlineStr">
        <is>
          <t>APIA</t>
        </is>
      </c>
      <c r="G1344" t="inlineStr">
        <is>
          <t>CLP-018</t>
        </is>
      </c>
      <c r="H1344" t="inlineStr">
        <is>
          <t>Protocolo</t>
        </is>
      </c>
      <c r="I1344">
        <v>2</v>
      </c>
      <c r="J1344" t="inlineStr">
        <is>
          <t>Bueiros</t>
        </is>
      </c>
      <c r="K1344" t="inlineStr">
        <is>
          <t>2.12</t>
        </is>
      </c>
      <c r="L1344" t="inlineStr">
        <is>
          <t>BSTC Ø 1,00</t>
        </is>
      </c>
      <c r="M1344" t="inlineStr">
        <is>
          <t>Obstrução do dispositivo</t>
        </is>
      </c>
      <c r="N1344" t="inlineStr">
        <is>
          <t xml:space="preserve">Jusante da OAC com acúmulo de sedimento impossibilitando identificar a execução do DEB-03.
Enviar evidência de execução do dissipador de energia (DEB-03).</t>
        </is>
      </c>
      <c r="O1344" t="inlineStr">
        <is>
          <t>Tipo B</t>
        </is>
      </c>
      <c r="P1344" t="inlineStr">
        <is>
          <t xml:space="preserve">101+682
(Acesso km 74+864)</t>
        </is>
      </c>
      <c r="Q1344" t="inlineStr">
        <is>
          <t xml:space="preserve">101+682
(Acesso km 74+864)</t>
        </is>
      </c>
      <c r="R1344" t="inlineStr">
        <is>
          <t>Aberta</t>
        </is>
      </c>
      <c r="T1344" t="inlineStr">
        <is>
          <t>Aline Batista</t>
        </is>
      </c>
      <c r="U1344" t="inlineStr">
        <is>
          <t>15/05/2026</t>
        </is>
      </c>
      <c r="V1344" t="inlineStr">
        <is>
          <t>30/05/2026</t>
        </is>
      </c>
      <c r="W1344">
        <v>11</v>
      </c>
      <c r="AA1344" t="inlineStr">
        <is>
          <t>Aberta -30 dias</t>
        </is>
      </c>
    </row>
    <row r="1345">
      <c r="A1345">
        <v>1343</v>
      </c>
      <c r="B1345">
        <v>3</v>
      </c>
      <c r="C1345" t="inlineStr">
        <is>
          <t>1.7</t>
        </is>
      </c>
      <c r="D1345" t="inlineStr">
        <is>
          <t>C03</t>
        </is>
      </c>
      <c r="E1345" t="inlineStr">
        <is>
          <t>-</t>
        </is>
      </c>
      <c r="F1345" t="inlineStr">
        <is>
          <t>APIA</t>
        </is>
      </c>
      <c r="G1345" t="inlineStr">
        <is>
          <t>CLP-018</t>
        </is>
      </c>
      <c r="H1345" t="inlineStr">
        <is>
          <t>Protocolo</t>
        </is>
      </c>
      <c r="I1345">
        <v>2</v>
      </c>
      <c r="J1345" t="inlineStr">
        <is>
          <t>Bueiros</t>
        </is>
      </c>
      <c r="K1345" t="inlineStr">
        <is>
          <t>2.12</t>
        </is>
      </c>
      <c r="L1345" t="inlineStr">
        <is>
          <t>BDTC Ø 1,20</t>
        </is>
      </c>
      <c r="M1345" t="inlineStr">
        <is>
          <t>Obstrução do dispositivo</t>
        </is>
      </c>
      <c r="N1345" t="inlineStr">
        <is>
          <t xml:space="preserve">Jusante da OAC com acúmulo de sedimento impossibilitando identificar a execução do DEB-07.
Enviar evidência de execução do dissipador de energia (DEB-07).</t>
        </is>
      </c>
      <c r="O1345" t="inlineStr">
        <is>
          <t>Tipo A</t>
        </is>
      </c>
      <c r="P1345" t="inlineStr">
        <is>
          <t xml:space="preserve">101+773
(Acesso km 74+864)</t>
        </is>
      </c>
      <c r="Q1345" t="inlineStr">
        <is>
          <t xml:space="preserve">101+773
(Acesso km 74+864)</t>
        </is>
      </c>
      <c r="R1345" t="inlineStr">
        <is>
          <t>Aberta</t>
        </is>
      </c>
      <c r="T1345" t="inlineStr">
        <is>
          <t>Aline Batista</t>
        </is>
      </c>
      <c r="U1345" t="inlineStr">
        <is>
          <t>15/05/2026</t>
        </is>
      </c>
      <c r="V1345" t="inlineStr">
        <is>
          <t>22/05/2026</t>
        </is>
      </c>
      <c r="W1345">
        <v>19</v>
      </c>
      <c r="AA1345" t="inlineStr">
        <is>
          <t>Aberta -30 dias</t>
        </is>
      </c>
    </row>
    <row r="1346">
      <c r="A1346">
        <v>1344</v>
      </c>
      <c r="B1346">
        <v>3</v>
      </c>
      <c r="C1346" t="inlineStr">
        <is>
          <t>1.7</t>
        </is>
      </c>
      <c r="D1346" t="inlineStr">
        <is>
          <t>A07</t>
        </is>
      </c>
      <c r="E1346" t="inlineStr">
        <is>
          <t>-</t>
        </is>
      </c>
      <c r="F1346" t="inlineStr">
        <is>
          <t>APIA</t>
        </is>
      </c>
      <c r="G1346" t="inlineStr">
        <is>
          <t>CLP-018</t>
        </is>
      </c>
      <c r="H1346" t="inlineStr">
        <is>
          <t>Protocolo</t>
        </is>
      </c>
      <c r="I1346">
        <v>2</v>
      </c>
      <c r="J1346" t="inlineStr">
        <is>
          <t>Bueiros</t>
        </is>
      </c>
      <c r="K1346" t="inlineStr">
        <is>
          <t>2.12</t>
        </is>
      </c>
      <c r="L1346" t="inlineStr">
        <is>
          <t>BDTC Ø1,00m</t>
        </is>
      </c>
      <c r="M1346" t="inlineStr">
        <is>
          <t>Obstrução do dispositivo</t>
        </is>
      </c>
      <c r="N1346" t="inlineStr">
        <is>
          <t xml:space="preserve">Bueiro com acúmulo de sedimentos a jusante impossibilitando identificar a execução do DEB-06.
Enviar evidência de execução do dissipador de energia (DEB-06).</t>
        </is>
      </c>
      <c r="O1346" t="inlineStr">
        <is>
          <t>Tipo A</t>
        </is>
      </c>
      <c r="P1346" t="inlineStr">
        <is>
          <t>79+267</t>
        </is>
      </c>
      <c r="Q1346" t="inlineStr">
        <is>
          <t>79+267</t>
        </is>
      </c>
      <c r="R1346" t="inlineStr">
        <is>
          <t>Aberta</t>
        </is>
      </c>
      <c r="T1346" t="inlineStr">
        <is>
          <t>Aline Batista</t>
        </is>
      </c>
      <c r="U1346" t="inlineStr">
        <is>
          <t>15/05/2026</t>
        </is>
      </c>
      <c r="V1346" t="inlineStr">
        <is>
          <t>22/05/2026</t>
        </is>
      </c>
      <c r="W1346">
        <v>19</v>
      </c>
      <c r="AA1346" t="inlineStr">
        <is>
          <t>Aberta -30 dias</t>
        </is>
      </c>
    </row>
    <row r="1347">
      <c r="A1347">
        <v>1345</v>
      </c>
      <c r="B1347">
        <v>3</v>
      </c>
      <c r="C1347" t="inlineStr">
        <is>
          <t>1.7</t>
        </is>
      </c>
      <c r="D1347" t="inlineStr">
        <is>
          <t>C08</t>
        </is>
      </c>
      <c r="E1347" t="inlineStr">
        <is>
          <t>-</t>
        </is>
      </c>
      <c r="F1347" t="inlineStr">
        <is>
          <t>APIA</t>
        </is>
      </c>
      <c r="G1347" t="inlineStr">
        <is>
          <t>CLP-018</t>
        </is>
      </c>
      <c r="H1347" t="inlineStr">
        <is>
          <t>Protocolo</t>
        </is>
      </c>
      <c r="I1347">
        <v>2</v>
      </c>
      <c r="J1347" t="inlineStr">
        <is>
          <t>Bueiros</t>
        </is>
      </c>
      <c r="K1347" t="inlineStr">
        <is>
          <t>2.12</t>
        </is>
      </c>
      <c r="L1347" t="inlineStr">
        <is>
          <t>BDTC Ø1,00m</t>
        </is>
      </c>
      <c r="M1347" t="inlineStr">
        <is>
          <t>Obstrução do dispositivo</t>
        </is>
      </c>
      <c r="N1347" t="inlineStr">
        <is>
          <t xml:space="preserve">Bueiro com acúmulo de sedimentos a jusante impossibilitando identificar a execução do DEB-06.
Enviar evidência de execução do dissipador de energia (DEB-06).</t>
        </is>
      </c>
      <c r="O1347" t="inlineStr">
        <is>
          <t>Tipo A</t>
        </is>
      </c>
      <c r="P1347" t="inlineStr">
        <is>
          <t>79+613</t>
        </is>
      </c>
      <c r="Q1347" t="inlineStr">
        <is>
          <t>79+613</t>
        </is>
      </c>
      <c r="R1347" t="inlineStr">
        <is>
          <t>Aberta</t>
        </is>
      </c>
      <c r="T1347" t="inlineStr">
        <is>
          <t>Aline Batista</t>
        </is>
      </c>
      <c r="U1347" t="inlineStr">
        <is>
          <t>15/05/2026</t>
        </is>
      </c>
      <c r="V1347" t="inlineStr">
        <is>
          <t>22/05/2026</t>
        </is>
      </c>
      <c r="W1347">
        <v>19</v>
      </c>
      <c r="AA1347" t="inlineStr">
        <is>
          <t>Aberta -30 dias</t>
        </is>
      </c>
    </row>
    <row r="1348">
      <c r="A1348">
        <v>1346</v>
      </c>
      <c r="B1348">
        <v>3</v>
      </c>
      <c r="C1348" t="inlineStr">
        <is>
          <t>1.7</t>
        </is>
      </c>
      <c r="D1348" t="inlineStr">
        <is>
          <t>A07</t>
        </is>
      </c>
      <c r="E1348" t="inlineStr">
        <is>
          <t>-</t>
        </is>
      </c>
      <c r="F1348" t="inlineStr">
        <is>
          <t>APIA</t>
        </is>
      </c>
      <c r="G1348" t="inlineStr">
        <is>
          <t>CLP-018</t>
        </is>
      </c>
      <c r="H1348" t="inlineStr">
        <is>
          <t>Protocolo</t>
        </is>
      </c>
      <c r="I1348">
        <v>2</v>
      </c>
      <c r="J1348" t="inlineStr">
        <is>
          <t>Bueiros</t>
        </is>
      </c>
      <c r="K1348" t="inlineStr">
        <is>
          <t>2.13</t>
        </is>
      </c>
      <c r="L1348" t="inlineStr">
        <is>
          <t>Colchão reno</t>
        </is>
      </c>
      <c r="M1348" t="inlineStr">
        <is>
          <t>Dispositivo não executado</t>
        </is>
      </c>
      <c r="N1348" t="inlineStr">
        <is>
          <t xml:space="preserve">Colchão reno não executado.
Enviar evidência de execução.</t>
        </is>
      </c>
      <c r="O1348" t="inlineStr">
        <is>
          <t>Tipo A</t>
        </is>
      </c>
      <c r="P1348" t="inlineStr">
        <is>
          <t>78+928</t>
        </is>
      </c>
      <c r="Q1348" t="inlineStr">
        <is>
          <t>78+928</t>
        </is>
      </c>
      <c r="R1348" t="inlineStr">
        <is>
          <t>Aberta</t>
        </is>
      </c>
      <c r="T1348" t="inlineStr">
        <is>
          <t>Aline Batista</t>
        </is>
      </c>
      <c r="U1348" t="inlineStr">
        <is>
          <t>15/05/2026</t>
        </is>
      </c>
      <c r="V1348" t="inlineStr">
        <is>
          <t>22/05/2026</t>
        </is>
      </c>
      <c r="W1348">
        <v>19</v>
      </c>
      <c r="AA1348" t="inlineStr">
        <is>
          <t>Aberta -30 dias</t>
        </is>
      </c>
    </row>
    <row r="1349">
      <c r="A1349">
        <v>1347</v>
      </c>
      <c r="B1349">
        <v>3</v>
      </c>
      <c r="C1349" t="inlineStr">
        <is>
          <t>1.7</t>
        </is>
      </c>
      <c r="D1349" t="inlineStr">
        <is>
          <t>GERAL</t>
        </is>
      </c>
      <c r="E1349" t="inlineStr">
        <is>
          <t>-</t>
        </is>
      </c>
      <c r="F1349" t="inlineStr">
        <is>
          <t>APIA</t>
        </is>
      </c>
      <c r="G1349" t="inlineStr">
        <is>
          <t>CLP-018</t>
        </is>
      </c>
      <c r="H1349" t="inlineStr">
        <is>
          <t>Protocolo</t>
        </is>
      </c>
      <c r="I1349">
        <v>4</v>
      </c>
      <c r="J1349" t="inlineStr">
        <is>
          <t>Terraplenagem</t>
        </is>
      </c>
      <c r="K1349" t="inlineStr">
        <is>
          <t>4.2</t>
        </is>
      </c>
      <c r="L1349" t="inlineStr">
        <is>
          <t>Plano Cotado</t>
        </is>
      </c>
      <c r="M1349" t="inlineStr">
        <is>
          <t>Plano cotado não aprovado</t>
        </is>
      </c>
      <c r="N1349" t="inlineStr">
        <is>
          <t>Plano cotado não executado, pendente aprovação.</t>
        </is>
      </c>
      <c r="O1349" t="inlineStr">
        <is>
          <t>Tipo A</t>
        </is>
      </c>
      <c r="P1349" t="inlineStr">
        <is>
          <t>73+800</t>
        </is>
      </c>
      <c r="Q1349">
        <v>80160</v>
      </c>
      <c r="R1349" t="inlineStr">
        <is>
          <t>Aberta</t>
        </is>
      </c>
      <c r="T1349" t="inlineStr">
        <is>
          <t>Aline Batista</t>
        </is>
      </c>
      <c r="U1349" t="inlineStr">
        <is>
          <t>15/05/2026</t>
        </is>
      </c>
      <c r="V1349" t="inlineStr">
        <is>
          <t>22/05/2026</t>
        </is>
      </c>
      <c r="W1349">
        <v>19</v>
      </c>
      <c r="AA1349" t="inlineStr">
        <is>
          <t>Aberta -30 dias</t>
        </is>
      </c>
    </row>
    <row r="1350">
      <c r="A1350">
        <v>1348</v>
      </c>
      <c r="B1350">
        <v>3</v>
      </c>
      <c r="C1350" t="inlineStr">
        <is>
          <t>1.7</t>
        </is>
      </c>
      <c r="D1350" t="inlineStr">
        <is>
          <t>A03</t>
        </is>
      </c>
      <c r="E1350" t="inlineStr">
        <is>
          <t>LD/LE</t>
        </is>
      </c>
      <c r="F1350" t="inlineStr">
        <is>
          <t>APIA</t>
        </is>
      </c>
      <c r="G1350" t="inlineStr">
        <is>
          <t>CLP-018</t>
        </is>
      </c>
      <c r="H1350" t="inlineStr">
        <is>
          <t>Protocolo</t>
        </is>
      </c>
      <c r="I1350">
        <v>4</v>
      </c>
      <c r="J1350" t="inlineStr">
        <is>
          <t>Terraplenagem</t>
        </is>
      </c>
      <c r="K1350" t="inlineStr">
        <is>
          <t>4.4</t>
        </is>
      </c>
      <c r="L1350" t="inlineStr">
        <is>
          <t>Plataforma</t>
        </is>
      </c>
      <c r="M1350" t="inlineStr">
        <is>
          <t>Material Solto</t>
        </is>
      </c>
      <c r="N1350" t="inlineStr">
        <is>
          <t>Presença de material solto no bordo da plataforma.</t>
        </is>
      </c>
      <c r="O1350" t="inlineStr">
        <is>
          <t>Tipo A</t>
        </is>
      </c>
      <c r="P1350" t="inlineStr">
        <is>
          <t>73+920</t>
        </is>
      </c>
      <c r="Q1350">
        <v>73920</v>
      </c>
      <c r="R1350" t="inlineStr">
        <is>
          <t>Aberta</t>
        </is>
      </c>
      <c r="T1350" t="inlineStr">
        <is>
          <t>Aline Batista</t>
        </is>
      </c>
      <c r="U1350" t="inlineStr">
        <is>
          <t>15/05/2026</t>
        </is>
      </c>
      <c r="V1350" t="inlineStr">
        <is>
          <t>22/05/2026</t>
        </is>
      </c>
      <c r="W1350">
        <v>19</v>
      </c>
      <c r="AA1350" t="inlineStr">
        <is>
          <t>Aberta -30 dias</t>
        </is>
      </c>
    </row>
    <row r="1351">
      <c r="A1351">
        <v>1349</v>
      </c>
      <c r="B1351">
        <v>3</v>
      </c>
      <c r="C1351" t="inlineStr">
        <is>
          <t>1.7</t>
        </is>
      </c>
      <c r="D1351" t="inlineStr">
        <is>
          <t>A04</t>
        </is>
      </c>
      <c r="E1351" t="inlineStr">
        <is>
          <t>LD/LE</t>
        </is>
      </c>
      <c r="F1351" t="inlineStr">
        <is>
          <t>APIA</t>
        </is>
      </c>
      <c r="G1351" t="inlineStr">
        <is>
          <t>CLP-018</t>
        </is>
      </c>
      <c r="H1351" t="inlineStr">
        <is>
          <t>Protocolo</t>
        </is>
      </c>
      <c r="I1351">
        <v>4</v>
      </c>
      <c r="J1351" t="inlineStr">
        <is>
          <t>Terraplenagem</t>
        </is>
      </c>
      <c r="K1351" t="inlineStr">
        <is>
          <t>4.4</t>
        </is>
      </c>
      <c r="L1351" t="inlineStr">
        <is>
          <t>Plataforma</t>
        </is>
      </c>
      <c r="M1351" t="inlineStr">
        <is>
          <t>Material Solto</t>
        </is>
      </c>
      <c r="N1351" t="inlineStr">
        <is>
          <t>Presença de leira no bordo da plataforma, ocasionando interferência no escoamento superficial e contribuindo para o surgimento de erosões.</t>
        </is>
      </c>
      <c r="O1351" t="inlineStr">
        <is>
          <t>Tipo A</t>
        </is>
      </c>
      <c r="P1351" t="inlineStr">
        <is>
          <t>75+300</t>
        </is>
      </c>
      <c r="Q1351">
        <v>75300</v>
      </c>
      <c r="R1351" t="inlineStr">
        <is>
          <t>Aberta</t>
        </is>
      </c>
      <c r="T1351" t="inlineStr">
        <is>
          <t>Aline Batista</t>
        </is>
      </c>
      <c r="U1351" t="inlineStr">
        <is>
          <t>15/05/2026</t>
        </is>
      </c>
      <c r="V1351" t="inlineStr">
        <is>
          <t>22/05/2026</t>
        </is>
      </c>
      <c r="W1351">
        <v>19</v>
      </c>
      <c r="AA1351" t="inlineStr">
        <is>
          <t>Aberta -30 dias</t>
        </is>
      </c>
    </row>
    <row r="1352">
      <c r="A1352">
        <v>1350</v>
      </c>
      <c r="B1352">
        <v>3</v>
      </c>
      <c r="C1352" t="inlineStr">
        <is>
          <t>1.7</t>
        </is>
      </c>
      <c r="D1352" t="inlineStr">
        <is>
          <t>A04</t>
        </is>
      </c>
      <c r="E1352" t="inlineStr">
        <is>
          <t>LD/LE</t>
        </is>
      </c>
      <c r="F1352" t="inlineStr">
        <is>
          <t>APIA</t>
        </is>
      </c>
      <c r="G1352" t="inlineStr">
        <is>
          <t>CLP-018</t>
        </is>
      </c>
      <c r="H1352" t="inlineStr">
        <is>
          <t>Protocolo</t>
        </is>
      </c>
      <c r="I1352">
        <v>4</v>
      </c>
      <c r="J1352" t="inlineStr">
        <is>
          <t>Terraplenagem</t>
        </is>
      </c>
      <c r="K1352" t="inlineStr">
        <is>
          <t>4.4</t>
        </is>
      </c>
      <c r="L1352" t="inlineStr">
        <is>
          <t>Plataforma</t>
        </is>
      </c>
      <c r="M1352" t="inlineStr">
        <is>
          <t>Material Solto</t>
        </is>
      </c>
      <c r="N1352" t="inlineStr">
        <is>
          <t>Presença de leira no bordo da plataforma, ocasionando interferência no escoamento superficial e contribuindo para o surgimento de erosões.</t>
        </is>
      </c>
      <c r="O1352" t="inlineStr">
        <is>
          <t>Tipo A</t>
        </is>
      </c>
      <c r="P1352" t="inlineStr">
        <is>
          <t>75+860</t>
        </is>
      </c>
      <c r="Q1352">
        <v>75860</v>
      </c>
      <c r="R1352" t="inlineStr">
        <is>
          <t>Aberta</t>
        </is>
      </c>
      <c r="T1352" t="inlineStr">
        <is>
          <t>Aline Batista</t>
        </is>
      </c>
      <c r="U1352" t="inlineStr">
        <is>
          <t>15/05/2026</t>
        </is>
      </c>
      <c r="V1352" t="inlineStr">
        <is>
          <t>22/05/2026</t>
        </is>
      </c>
      <c r="W1352">
        <v>19</v>
      </c>
      <c r="AA1352" t="inlineStr">
        <is>
          <t>Aberta -30 dias</t>
        </is>
      </c>
    </row>
    <row r="1353">
      <c r="A1353">
        <v>1351</v>
      </c>
      <c r="B1353">
        <v>3</v>
      </c>
      <c r="C1353" t="inlineStr">
        <is>
          <t>1.7</t>
        </is>
      </c>
      <c r="D1353" t="inlineStr">
        <is>
          <t>C05</t>
        </is>
      </c>
      <c r="E1353" t="inlineStr">
        <is>
          <t>LD/LE</t>
        </is>
      </c>
      <c r="F1353" t="inlineStr">
        <is>
          <t>APIA</t>
        </is>
      </c>
      <c r="G1353" t="inlineStr">
        <is>
          <t>CLP-018</t>
        </is>
      </c>
      <c r="H1353" t="inlineStr">
        <is>
          <t>Protocolo</t>
        </is>
      </c>
      <c r="I1353">
        <v>4</v>
      </c>
      <c r="J1353" t="inlineStr">
        <is>
          <t>Terraplenagem</t>
        </is>
      </c>
      <c r="K1353" t="inlineStr">
        <is>
          <t>4.4</t>
        </is>
      </c>
      <c r="L1353" t="inlineStr">
        <is>
          <t xml:space="preserve">Plataforma </t>
        </is>
      </c>
      <c r="M1353" t="inlineStr">
        <is>
          <t>Material Solto</t>
        </is>
      </c>
      <c r="N1353" t="inlineStr">
        <is>
          <t>Presença de leira no bordo da plataforma, ocasionando interferência no escoamento superficial e contribuindo para o surgimento de erosões.</t>
        </is>
      </c>
      <c r="O1353" t="inlineStr">
        <is>
          <t>Tipo A</t>
        </is>
      </c>
      <c r="P1353" t="inlineStr">
        <is>
          <t>76+260</t>
        </is>
      </c>
      <c r="Q1353">
        <v>76260</v>
      </c>
      <c r="R1353" t="inlineStr">
        <is>
          <t>Aberta</t>
        </is>
      </c>
      <c r="T1353" t="inlineStr">
        <is>
          <t>Aline Batista</t>
        </is>
      </c>
      <c r="U1353" t="inlineStr">
        <is>
          <t>15/05/2026</t>
        </is>
      </c>
      <c r="V1353" t="inlineStr">
        <is>
          <t>22/05/2026</t>
        </is>
      </c>
      <c r="W1353">
        <v>19</v>
      </c>
      <c r="AA1353" t="inlineStr">
        <is>
          <t>Aberta -30 dias</t>
        </is>
      </c>
    </row>
    <row r="1354">
      <c r="A1354">
        <v>1352</v>
      </c>
      <c r="B1354">
        <v>3</v>
      </c>
      <c r="C1354" t="inlineStr">
        <is>
          <t>1.7</t>
        </is>
      </c>
      <c r="D1354" t="inlineStr">
        <is>
          <t>C05</t>
        </is>
      </c>
      <c r="E1354" t="inlineStr">
        <is>
          <t>LD/LE</t>
        </is>
      </c>
      <c r="F1354" t="inlineStr">
        <is>
          <t>APIA</t>
        </is>
      </c>
      <c r="G1354" t="inlineStr">
        <is>
          <t>CLP-018</t>
        </is>
      </c>
      <c r="H1354" t="inlineStr">
        <is>
          <t>Protocolo</t>
        </is>
      </c>
      <c r="I1354">
        <v>4</v>
      </c>
      <c r="J1354" t="inlineStr">
        <is>
          <t>Terraplenagem</t>
        </is>
      </c>
      <c r="K1354" t="inlineStr">
        <is>
          <t>4.4</t>
        </is>
      </c>
      <c r="L1354" t="inlineStr">
        <is>
          <t>Plataforma</t>
        </is>
      </c>
      <c r="M1354" t="inlineStr">
        <is>
          <t>Material Solto</t>
        </is>
      </c>
      <c r="N1354" t="inlineStr">
        <is>
          <t>Presença de leira no bordo da plataforma, ocasionando interferência no escoamento superficial e contribuindo para o surgimento de erosões.</t>
        </is>
      </c>
      <c r="O1354" t="inlineStr">
        <is>
          <t>Tipo A</t>
        </is>
      </c>
      <c r="P1354" t="inlineStr">
        <is>
          <t>76+350</t>
        </is>
      </c>
      <c r="Q1354">
        <v>76350</v>
      </c>
      <c r="R1354" t="inlineStr">
        <is>
          <t>Aberta</t>
        </is>
      </c>
      <c r="T1354" t="inlineStr">
        <is>
          <t>Aline Batista</t>
        </is>
      </c>
      <c r="U1354" t="inlineStr">
        <is>
          <t>15/05/2026</t>
        </is>
      </c>
      <c r="V1354" t="inlineStr">
        <is>
          <t>22/05/2026</t>
        </is>
      </c>
      <c r="W1354">
        <v>19</v>
      </c>
      <c r="AA1354" t="inlineStr">
        <is>
          <t>Aberta -30 dias</t>
        </is>
      </c>
    </row>
    <row r="1355">
      <c r="A1355">
        <v>1353</v>
      </c>
      <c r="B1355">
        <v>3</v>
      </c>
      <c r="C1355" t="inlineStr">
        <is>
          <t>1.7</t>
        </is>
      </c>
      <c r="D1355" t="inlineStr">
        <is>
          <t>C05</t>
        </is>
      </c>
      <c r="E1355" t="inlineStr">
        <is>
          <t>LD/LE</t>
        </is>
      </c>
      <c r="F1355" t="inlineStr">
        <is>
          <t>APIA</t>
        </is>
      </c>
      <c r="G1355" t="inlineStr">
        <is>
          <t>CLP-018</t>
        </is>
      </c>
      <c r="H1355" t="inlineStr">
        <is>
          <t>Protocolo</t>
        </is>
      </c>
      <c r="I1355">
        <v>4</v>
      </c>
      <c r="J1355" t="inlineStr">
        <is>
          <t>Terraplenagem</t>
        </is>
      </c>
      <c r="K1355" t="inlineStr">
        <is>
          <t>4.4</t>
        </is>
      </c>
      <c r="L1355" t="inlineStr">
        <is>
          <t>Plataforma</t>
        </is>
      </c>
      <c r="M1355" t="inlineStr">
        <is>
          <t>Material Solto</t>
        </is>
      </c>
      <c r="N1355" t="inlineStr">
        <is>
          <t>Presença de leira no bordo da plataforma, ocasionando interferência no escoamento superficial e contribuindo para o surgimento de erosões.</t>
        </is>
      </c>
      <c r="O1355" t="inlineStr">
        <is>
          <t>Tipo A</t>
        </is>
      </c>
      <c r="P1355" t="inlineStr">
        <is>
          <t>76+400</t>
        </is>
      </c>
      <c r="Q1355">
        <v>76400</v>
      </c>
      <c r="R1355" t="inlineStr">
        <is>
          <t>Aberta</t>
        </is>
      </c>
      <c r="T1355" t="inlineStr">
        <is>
          <t>Aline Batista</t>
        </is>
      </c>
      <c r="U1355" t="inlineStr">
        <is>
          <t>15/05/2026</t>
        </is>
      </c>
      <c r="V1355" t="inlineStr">
        <is>
          <t>22/05/2026</t>
        </is>
      </c>
      <c r="W1355">
        <v>19</v>
      </c>
      <c r="AA1355" t="inlineStr">
        <is>
          <t>Aberta -30 dias</t>
        </is>
      </c>
    </row>
    <row r="1356">
      <c r="A1356">
        <v>1354</v>
      </c>
      <c r="B1356">
        <v>3</v>
      </c>
      <c r="C1356" t="inlineStr">
        <is>
          <t>1.7</t>
        </is>
      </c>
      <c r="D1356" t="inlineStr">
        <is>
          <t>A05</t>
        </is>
      </c>
      <c r="E1356" t="inlineStr">
        <is>
          <t>LD/LE</t>
        </is>
      </c>
      <c r="F1356" t="inlineStr">
        <is>
          <t>APIA</t>
        </is>
      </c>
      <c r="G1356" t="inlineStr">
        <is>
          <t>CLP-018</t>
        </is>
      </c>
      <c r="H1356" t="inlineStr">
        <is>
          <t>Protocolo</t>
        </is>
      </c>
      <c r="I1356">
        <v>4</v>
      </c>
      <c r="J1356" t="inlineStr">
        <is>
          <t>Terraplenagem</t>
        </is>
      </c>
      <c r="K1356" t="inlineStr">
        <is>
          <t>4.4</t>
        </is>
      </c>
      <c r="L1356" t="inlineStr">
        <is>
          <t xml:space="preserve">Plataforma </t>
        </is>
      </c>
      <c r="M1356" t="inlineStr">
        <is>
          <t>Material Solto</t>
        </is>
      </c>
      <c r="N1356" t="inlineStr">
        <is>
          <t>Presença de leira no bordo da plataforma, ocasionando interferência no escoamento superficial e contribuindo para o surgimento de erosões.</t>
        </is>
      </c>
      <c r="O1356" t="inlineStr">
        <is>
          <t>Tipo A</t>
        </is>
      </c>
      <c r="P1356" t="inlineStr">
        <is>
          <t>76+720</t>
        </is>
      </c>
      <c r="Q1356">
        <v>76720</v>
      </c>
      <c r="R1356" t="inlineStr">
        <is>
          <t>Aberta</t>
        </is>
      </c>
      <c r="T1356" t="inlineStr">
        <is>
          <t>Aline Batista</t>
        </is>
      </c>
      <c r="U1356" t="inlineStr">
        <is>
          <t>15/05/2026</t>
        </is>
      </c>
      <c r="V1356" t="inlineStr">
        <is>
          <t>22/05/2026</t>
        </is>
      </c>
      <c r="W1356">
        <v>19</v>
      </c>
      <c r="AA1356" t="inlineStr">
        <is>
          <t>Aberta -30 dias</t>
        </is>
      </c>
    </row>
    <row r="1357">
      <c r="A1357">
        <v>1355</v>
      </c>
      <c r="B1357">
        <v>3</v>
      </c>
      <c r="C1357" t="inlineStr">
        <is>
          <t>1.7</t>
        </is>
      </c>
      <c r="D1357" t="inlineStr">
        <is>
          <t>A04</t>
        </is>
      </c>
      <c r="E1357" t="inlineStr">
        <is>
          <t>LD/LE</t>
        </is>
      </c>
      <c r="F1357" t="inlineStr">
        <is>
          <t>APIA</t>
        </is>
      </c>
      <c r="G1357" t="inlineStr">
        <is>
          <t>CLP-018</t>
        </is>
      </c>
      <c r="H1357" t="inlineStr">
        <is>
          <t>Protocolo</t>
        </is>
      </c>
      <c r="I1357">
        <v>4</v>
      </c>
      <c r="J1357" t="inlineStr">
        <is>
          <t>Terraplenagem</t>
        </is>
      </c>
      <c r="K1357" t="inlineStr">
        <is>
          <t>4.4</t>
        </is>
      </c>
      <c r="L1357" t="inlineStr">
        <is>
          <t xml:space="preserve">Plataforma </t>
        </is>
      </c>
      <c r="M1357" t="inlineStr">
        <is>
          <t>Material Solto</t>
        </is>
      </c>
      <c r="N1357" t="inlineStr">
        <is>
          <t>Foi executado um ressalto no bordo da plataforma, resultando em acúmulo de água sobre a superfície. É necessária a remoção desse material para evitar o acúmulo de água na plataforma.</t>
        </is>
      </c>
      <c r="O1357" t="inlineStr">
        <is>
          <t>Tipo A</t>
        </is>
      </c>
      <c r="P1357" t="inlineStr">
        <is>
          <t xml:space="preserve">75+200 </t>
        </is>
      </c>
      <c r="Q1357" t="inlineStr">
        <is>
          <t>75+800</t>
        </is>
      </c>
      <c r="R1357" t="inlineStr">
        <is>
          <t>Aberta</t>
        </is>
      </c>
      <c r="T1357" t="inlineStr">
        <is>
          <t>Aline Batista</t>
        </is>
      </c>
      <c r="U1357" t="inlineStr">
        <is>
          <t>15/05/2026</t>
        </is>
      </c>
      <c r="V1357" t="inlineStr">
        <is>
          <t>22/05/2026</t>
        </is>
      </c>
      <c r="W1357">
        <v>19</v>
      </c>
      <c r="AA1357" t="inlineStr">
        <is>
          <t>Aberta -30 dias</t>
        </is>
      </c>
    </row>
    <row r="1358">
      <c r="A1358">
        <v>1356</v>
      </c>
      <c r="B1358">
        <v>3</v>
      </c>
      <c r="C1358" t="inlineStr">
        <is>
          <t>1.7</t>
        </is>
      </c>
      <c r="D1358" t="inlineStr">
        <is>
          <t>A03</t>
        </is>
      </c>
      <c r="E1358" t="inlineStr">
        <is>
          <t>LD/LE</t>
        </is>
      </c>
      <c r="F1358" t="inlineStr">
        <is>
          <t>APIA</t>
        </is>
      </c>
      <c r="G1358" t="inlineStr">
        <is>
          <t>CLP-018</t>
        </is>
      </c>
      <c r="H1358" t="inlineStr">
        <is>
          <t>Protocolo</t>
        </is>
      </c>
      <c r="I1358">
        <v>4</v>
      </c>
      <c r="J1358" t="inlineStr">
        <is>
          <t>Terraplenagem</t>
        </is>
      </c>
      <c r="K1358" t="inlineStr">
        <is>
          <t>4.4</t>
        </is>
      </c>
      <c r="L1358" t="inlineStr">
        <is>
          <t>Plataforma</t>
        </is>
      </c>
      <c r="M1358" t="inlineStr">
        <is>
          <t>Material Solto</t>
        </is>
      </c>
      <c r="N1358" t="inlineStr">
        <is>
          <t>Material solto no sublastro, lado esquerdo e direito.</t>
        </is>
      </c>
      <c r="O1358" t="inlineStr">
        <is>
          <t>Tipo A</t>
        </is>
      </c>
      <c r="P1358" t="inlineStr">
        <is>
          <t>73+980</t>
        </is>
      </c>
      <c r="Q1358" t="inlineStr">
        <is>
          <t>74+200</t>
        </is>
      </c>
      <c r="R1358" t="inlineStr">
        <is>
          <t>Aberta</t>
        </is>
      </c>
      <c r="T1358" t="inlineStr">
        <is>
          <t>Aline Batista</t>
        </is>
      </c>
      <c r="U1358" t="inlineStr">
        <is>
          <t>15/05/2026</t>
        </is>
      </c>
      <c r="V1358" t="inlineStr">
        <is>
          <t>22/05/2026</t>
        </is>
      </c>
      <c r="W1358">
        <v>19</v>
      </c>
      <c r="AA1358" t="inlineStr">
        <is>
          <t>Aberta -30 dias</t>
        </is>
      </c>
    </row>
    <row r="1359">
      <c r="A1359">
        <v>1357</v>
      </c>
      <c r="B1359">
        <v>3</v>
      </c>
      <c r="C1359" t="inlineStr">
        <is>
          <t>1.7</t>
        </is>
      </c>
      <c r="D1359" t="inlineStr">
        <is>
          <t>A04</t>
        </is>
      </c>
      <c r="E1359" t="inlineStr">
        <is>
          <t>LD/LE</t>
        </is>
      </c>
      <c r="F1359" t="inlineStr">
        <is>
          <t>APIA</t>
        </is>
      </c>
      <c r="G1359" t="inlineStr">
        <is>
          <t>CLP-018</t>
        </is>
      </c>
      <c r="H1359" t="inlineStr">
        <is>
          <t>Protocolo</t>
        </is>
      </c>
      <c r="I1359">
        <v>4</v>
      </c>
      <c r="J1359" t="inlineStr">
        <is>
          <t>Terraplenagem</t>
        </is>
      </c>
      <c r="K1359" t="inlineStr">
        <is>
          <t>4.4</t>
        </is>
      </c>
      <c r="L1359" t="inlineStr">
        <is>
          <t>Talude</t>
        </is>
      </c>
      <c r="M1359" t="inlineStr">
        <is>
          <t>Conformação</t>
        </is>
      </c>
      <c r="N1359" t="inlineStr">
        <is>
          <t>Trechos com material elevado, na crista do talude com o sublastro</t>
        </is>
      </c>
      <c r="O1359" t="inlineStr">
        <is>
          <t>Tipo A</t>
        </is>
      </c>
      <c r="P1359" t="inlineStr">
        <is>
          <t xml:space="preserve">75+140 </t>
        </is>
      </c>
      <c r="Q1359" t="inlineStr">
        <is>
          <t>75+940</t>
        </is>
      </c>
      <c r="R1359" t="inlineStr">
        <is>
          <t>Aberta</t>
        </is>
      </c>
      <c r="T1359" t="inlineStr">
        <is>
          <t>Aline Batista</t>
        </is>
      </c>
      <c r="U1359" t="inlineStr">
        <is>
          <t>15/05/2026</t>
        </is>
      </c>
      <c r="V1359" t="inlineStr">
        <is>
          <t>22/05/2026</t>
        </is>
      </c>
      <c r="W1359">
        <v>19</v>
      </c>
      <c r="AA1359" t="inlineStr">
        <is>
          <t>Aberta -30 dias</t>
        </is>
      </c>
    </row>
    <row r="1360">
      <c r="A1360">
        <v>1358</v>
      </c>
      <c r="B1360">
        <v>3</v>
      </c>
      <c r="C1360" t="inlineStr">
        <is>
          <t>1.7</t>
        </is>
      </c>
      <c r="D1360" t="inlineStr">
        <is>
          <t>A05</t>
        </is>
      </c>
      <c r="E1360" t="inlineStr">
        <is>
          <t>LD/LE</t>
        </is>
      </c>
      <c r="F1360" t="inlineStr">
        <is>
          <t>APIA</t>
        </is>
      </c>
      <c r="G1360" t="inlineStr">
        <is>
          <t>CLP-018</t>
        </is>
      </c>
      <c r="H1360" t="inlineStr">
        <is>
          <t>Protocolo</t>
        </is>
      </c>
      <c r="I1360">
        <v>4</v>
      </c>
      <c r="J1360" t="inlineStr">
        <is>
          <t>Terraplenagem</t>
        </is>
      </c>
      <c r="K1360" t="inlineStr">
        <is>
          <t>4.4</t>
        </is>
      </c>
      <c r="L1360" t="inlineStr">
        <is>
          <t>Talude</t>
        </is>
      </c>
      <c r="M1360" t="inlineStr">
        <is>
          <t>Conformação</t>
        </is>
      </c>
      <c r="N1360" t="inlineStr">
        <is>
          <t>Trechos com material elevado, na crista do talude com o sublastro</t>
        </is>
      </c>
      <c r="O1360" t="inlineStr">
        <is>
          <t>Tipo A</t>
        </is>
      </c>
      <c r="P1360" t="inlineStr">
        <is>
          <t xml:space="preserve">76+500 </t>
        </is>
      </c>
      <c r="Q1360" t="inlineStr">
        <is>
          <t>76+600</t>
        </is>
      </c>
      <c r="R1360" t="inlineStr">
        <is>
          <t>Aberta</t>
        </is>
      </c>
      <c r="T1360" t="inlineStr">
        <is>
          <t>Aline Batista</t>
        </is>
      </c>
      <c r="U1360" t="inlineStr">
        <is>
          <t>15/05/2026</t>
        </is>
      </c>
      <c r="V1360" t="inlineStr">
        <is>
          <t>22/05/2026</t>
        </is>
      </c>
      <c r="W1360">
        <v>19</v>
      </c>
      <c r="AA1360" t="inlineStr">
        <is>
          <t>Aberta -30 dias</t>
        </is>
      </c>
    </row>
    <row r="1361">
      <c r="A1361">
        <v>1359</v>
      </c>
      <c r="B1361">
        <v>3</v>
      </c>
      <c r="C1361" t="inlineStr">
        <is>
          <t>1.7</t>
        </is>
      </c>
      <c r="D1361" t="inlineStr">
        <is>
          <t>C03</t>
        </is>
      </c>
      <c r="E1361" t="inlineStr">
        <is>
          <t>LD/LE</t>
        </is>
      </c>
      <c r="F1361" t="inlineStr">
        <is>
          <t>APIA</t>
        </is>
      </c>
      <c r="G1361" t="inlineStr">
        <is>
          <t>CLP-018</t>
        </is>
      </c>
      <c r="H1361" t="inlineStr">
        <is>
          <t>Protocolo</t>
        </is>
      </c>
      <c r="I1361">
        <v>4</v>
      </c>
      <c r="J1361" t="inlineStr">
        <is>
          <t>Terraplenagem</t>
        </is>
      </c>
      <c r="K1361" t="inlineStr">
        <is>
          <t>4.4</t>
        </is>
      </c>
      <c r="L1361" t="inlineStr">
        <is>
          <t>Plataforma</t>
        </is>
      </c>
      <c r="M1361" t="inlineStr">
        <is>
          <t>Conformação</t>
        </is>
      </c>
      <c r="N1361" t="inlineStr">
        <is>
          <t>Desagregação do material da plataforma na lateral,  próximo as drenagens superficiais.</t>
        </is>
      </c>
      <c r="O1361" t="inlineStr">
        <is>
          <t>Tipo A</t>
        </is>
      </c>
      <c r="P1361" t="inlineStr">
        <is>
          <t>74+350</t>
        </is>
      </c>
      <c r="Q1361">
        <v>74420</v>
      </c>
      <c r="R1361" t="inlineStr">
        <is>
          <t>Aberta</t>
        </is>
      </c>
      <c r="T1361" t="inlineStr">
        <is>
          <t>Aline Batista</t>
        </is>
      </c>
      <c r="U1361" t="inlineStr">
        <is>
          <t>15/05/2026</t>
        </is>
      </c>
      <c r="V1361" t="inlineStr">
        <is>
          <t>22/05/2026</t>
        </is>
      </c>
      <c r="W1361">
        <v>19</v>
      </c>
      <c r="AA1361" t="inlineStr">
        <is>
          <t>Aberta -30 dias</t>
        </is>
      </c>
    </row>
    <row r="1362">
      <c r="A1362">
        <v>1360</v>
      </c>
      <c r="B1362">
        <v>3</v>
      </c>
      <c r="C1362" t="inlineStr">
        <is>
          <t>1.7</t>
        </is>
      </c>
      <c r="D1362" t="inlineStr">
        <is>
          <t>C03</t>
        </is>
      </c>
      <c r="E1362" t="inlineStr">
        <is>
          <t>LD/LE</t>
        </is>
      </c>
      <c r="F1362" t="inlineStr">
        <is>
          <t>APIA</t>
        </is>
      </c>
      <c r="G1362" t="inlineStr">
        <is>
          <t>CLP-018</t>
        </is>
      </c>
      <c r="H1362" t="inlineStr">
        <is>
          <t>Protocolo</t>
        </is>
      </c>
      <c r="I1362">
        <v>4</v>
      </c>
      <c r="J1362" t="inlineStr">
        <is>
          <t>Terraplenagem</t>
        </is>
      </c>
      <c r="K1362" t="inlineStr">
        <is>
          <t>4.4</t>
        </is>
      </c>
      <c r="L1362" t="inlineStr">
        <is>
          <t>Plataforma</t>
        </is>
      </c>
      <c r="M1362" t="inlineStr">
        <is>
          <t>Conformação</t>
        </is>
      </c>
      <c r="N1362" t="inlineStr">
        <is>
          <t>Desagregação do material da plataforma na lateral,  próximo as drenagens superficiais.</t>
        </is>
      </c>
      <c r="O1362" t="inlineStr">
        <is>
          <t>Tipo A</t>
        </is>
      </c>
      <c r="P1362" t="inlineStr">
        <is>
          <t>74+500</t>
        </is>
      </c>
      <c r="Q1362">
        <v>74620</v>
      </c>
      <c r="R1362" t="inlineStr">
        <is>
          <t>Aberta</t>
        </is>
      </c>
      <c r="T1362" t="inlineStr">
        <is>
          <t>Aline Batista</t>
        </is>
      </c>
      <c r="U1362" t="inlineStr">
        <is>
          <t>15/05/2026</t>
        </is>
      </c>
      <c r="V1362" t="inlineStr">
        <is>
          <t>22/05/2026</t>
        </is>
      </c>
      <c r="W1362">
        <v>19</v>
      </c>
      <c r="AA1362" t="inlineStr">
        <is>
          <t>Aberta -30 dias</t>
        </is>
      </c>
    </row>
    <row r="1363">
      <c r="A1363">
        <v>1361</v>
      </c>
      <c r="B1363">
        <v>3</v>
      </c>
      <c r="C1363" t="inlineStr">
        <is>
          <t>1.7</t>
        </is>
      </c>
      <c r="D1363" t="inlineStr">
        <is>
          <t>C08</t>
        </is>
      </c>
      <c r="E1363" t="inlineStr">
        <is>
          <t>LE</t>
        </is>
      </c>
      <c r="F1363" t="inlineStr">
        <is>
          <t>APIA</t>
        </is>
      </c>
      <c r="G1363" t="inlineStr">
        <is>
          <t>CLP-018</t>
        </is>
      </c>
      <c r="H1363" t="inlineStr">
        <is>
          <t>Protocolo</t>
        </is>
      </c>
      <c r="I1363">
        <v>4</v>
      </c>
      <c r="J1363" t="inlineStr">
        <is>
          <t>Terraplenagem</t>
        </is>
      </c>
      <c r="K1363" t="inlineStr">
        <is>
          <t>4.4</t>
        </is>
      </c>
      <c r="L1363" t="inlineStr">
        <is>
          <t>Plataforma</t>
        </is>
      </c>
      <c r="M1363" t="inlineStr">
        <is>
          <t>Material Solto</t>
        </is>
      </c>
      <c r="N1363" t="inlineStr">
        <is>
          <t>Material solto arenoso próximo as canaletas.</t>
        </is>
      </c>
      <c r="O1363" t="inlineStr">
        <is>
          <t>Tipo A</t>
        </is>
      </c>
      <c r="P1363" t="inlineStr">
        <is>
          <t>79+800</t>
        </is>
      </c>
      <c r="Q1363">
        <v>79800</v>
      </c>
      <c r="R1363" t="inlineStr">
        <is>
          <t>Aberta</t>
        </is>
      </c>
      <c r="T1363" t="inlineStr">
        <is>
          <t>Aline Batista</t>
        </is>
      </c>
      <c r="U1363" t="inlineStr">
        <is>
          <t>15/05/2026</t>
        </is>
      </c>
      <c r="V1363" t="inlineStr">
        <is>
          <t>22/05/2026</t>
        </is>
      </c>
      <c r="W1363">
        <v>19</v>
      </c>
      <c r="AA1363" t="inlineStr">
        <is>
          <t>Aberta -30 dias</t>
        </is>
      </c>
    </row>
    <row r="1364">
      <c r="A1364">
        <v>1362</v>
      </c>
      <c r="B1364">
        <v>3</v>
      </c>
      <c r="C1364" t="inlineStr">
        <is>
          <t>1.7</t>
        </is>
      </c>
      <c r="D1364" t="inlineStr">
        <is>
          <t>A06</t>
        </is>
      </c>
      <c r="E1364" t="inlineStr">
        <is>
          <t>LD</t>
        </is>
      </c>
      <c r="F1364" t="inlineStr">
        <is>
          <t>APIA</t>
        </is>
      </c>
      <c r="G1364" t="inlineStr">
        <is>
          <t>CLP-018</t>
        </is>
      </c>
      <c r="H1364" t="inlineStr">
        <is>
          <t>Protocolo</t>
        </is>
      </c>
      <c r="I1364">
        <v>4</v>
      </c>
      <c r="J1364" t="inlineStr">
        <is>
          <t>Terraplenagem</t>
        </is>
      </c>
      <c r="K1364" t="inlineStr">
        <is>
          <t>4.4</t>
        </is>
      </c>
      <c r="L1364" t="inlineStr">
        <is>
          <t>Plataforma</t>
        </is>
      </c>
      <c r="M1364" t="inlineStr">
        <is>
          <t>Material Solto</t>
        </is>
      </c>
      <c r="N1364" t="inlineStr">
        <is>
          <t xml:space="preserve">Material solto na plataforma </t>
        </is>
      </c>
      <c r="O1364" t="inlineStr">
        <is>
          <t>Tipo A</t>
        </is>
      </c>
      <c r="P1364" t="inlineStr">
        <is>
          <t>77+660</t>
        </is>
      </c>
      <c r="Q1364">
        <v>77660</v>
      </c>
      <c r="R1364" t="inlineStr">
        <is>
          <t>Aberta</t>
        </is>
      </c>
      <c r="T1364" t="inlineStr">
        <is>
          <t>Aline Batista</t>
        </is>
      </c>
      <c r="U1364" t="inlineStr">
        <is>
          <t>15/05/2026</t>
        </is>
      </c>
      <c r="V1364" t="inlineStr">
        <is>
          <t>22/05/2026</t>
        </is>
      </c>
      <c r="W1364">
        <v>19</v>
      </c>
      <c r="AA1364" t="inlineStr">
        <is>
          <t>Aberta -30 dias</t>
        </is>
      </c>
    </row>
    <row r="1365">
      <c r="A1365">
        <v>1363</v>
      </c>
      <c r="B1365">
        <v>3</v>
      </c>
      <c r="C1365" t="inlineStr">
        <is>
          <t>1.7</t>
        </is>
      </c>
      <c r="D1365" t="inlineStr">
        <is>
          <t>A09</t>
        </is>
      </c>
      <c r="E1365" t="inlineStr">
        <is>
          <t>-</t>
        </is>
      </c>
      <c r="F1365" t="inlineStr">
        <is>
          <t>APIA</t>
        </is>
      </c>
      <c r="G1365" t="inlineStr">
        <is>
          <t>CLP-018</t>
        </is>
      </c>
      <c r="H1365" t="inlineStr">
        <is>
          <t>Fiscalização</t>
        </is>
      </c>
      <c r="I1365">
        <v>4</v>
      </c>
      <c r="J1365" t="inlineStr">
        <is>
          <t>Terraplenagem</t>
        </is>
      </c>
      <c r="K1365" t="inlineStr">
        <is>
          <t>4.4</t>
        </is>
      </c>
      <c r="L1365" t="inlineStr">
        <is>
          <t>Plataforma</t>
        </is>
      </c>
      <c r="M1365" t="inlineStr">
        <is>
          <t>Assoreamento</t>
        </is>
      </c>
      <c r="N1365" t="inlineStr">
        <is>
          <t>Carreamento de material para fora da faixa de domínio.</t>
        </is>
      </c>
      <c r="O1365" t="inlineStr">
        <is>
          <t>Tipo A</t>
        </is>
      </c>
      <c r="P1365" t="inlineStr">
        <is>
          <t>80+220</t>
        </is>
      </c>
      <c r="Q1365" t="inlineStr">
        <is>
          <t>80+220</t>
        </is>
      </c>
      <c r="R1365" t="inlineStr">
        <is>
          <t>Aberta</t>
        </is>
      </c>
      <c r="T1365" t="inlineStr">
        <is>
          <t>Aline Batista</t>
        </is>
      </c>
      <c r="U1365" t="inlineStr">
        <is>
          <t>15/05/2026</t>
        </is>
      </c>
      <c r="V1365" t="inlineStr">
        <is>
          <t>22/05/2026</t>
        </is>
      </c>
      <c r="W1365">
        <v>19</v>
      </c>
      <c r="AA1365" t="inlineStr">
        <is>
          <t>Aberta -30 dias</t>
        </is>
      </c>
    </row>
    <row r="1366">
      <c r="A1366">
        <v>1364</v>
      </c>
      <c r="B1366">
        <v>3</v>
      </c>
      <c r="C1366" t="inlineStr">
        <is>
          <t>1.7</t>
        </is>
      </c>
      <c r="D1366" t="inlineStr">
        <is>
          <t>A06</t>
        </is>
      </c>
      <c r="E1366" t="inlineStr">
        <is>
          <t>LD/LE</t>
        </is>
      </c>
      <c r="F1366" t="inlineStr">
        <is>
          <t>APIA</t>
        </is>
      </c>
      <c r="G1366" t="inlineStr">
        <is>
          <t>CLP-018</t>
        </is>
      </c>
      <c r="H1366" t="inlineStr">
        <is>
          <t>Protocolo</t>
        </is>
      </c>
      <c r="I1366">
        <v>4</v>
      </c>
      <c r="J1366" t="inlineStr">
        <is>
          <t>Terraplenagem</t>
        </is>
      </c>
      <c r="K1366" t="inlineStr">
        <is>
          <t>4.5</t>
        </is>
      </c>
      <c r="L1366" t="inlineStr">
        <is>
          <t>Bordos e eixos</t>
        </is>
      </c>
      <c r="M1366" t="inlineStr">
        <is>
          <t>Ausencia de demarcação por piquetes</t>
        </is>
      </c>
      <c r="N1366" t="inlineStr">
        <is>
          <t>Ausência de demarcações por piquetes.</t>
        </is>
      </c>
      <c r="O1366" t="inlineStr">
        <is>
          <t>Tipo A</t>
        </is>
      </c>
      <c r="P1366" t="inlineStr">
        <is>
          <t>77+800</t>
        </is>
      </c>
      <c r="Q1366">
        <v>80000</v>
      </c>
      <c r="R1366" t="inlineStr">
        <is>
          <t>Aberta</t>
        </is>
      </c>
      <c r="T1366" t="inlineStr">
        <is>
          <t>Aline Batista</t>
        </is>
      </c>
      <c r="U1366" t="inlineStr">
        <is>
          <t>15/05/2026</t>
        </is>
      </c>
      <c r="V1366" t="inlineStr">
        <is>
          <t>22/05/2026</t>
        </is>
      </c>
      <c r="W1366">
        <v>19</v>
      </c>
      <c r="AA1366" t="inlineStr">
        <is>
          <t>Aberta -30 dias</t>
        </is>
      </c>
    </row>
    <row r="1367">
      <c r="A1367">
        <v>1365</v>
      </c>
      <c r="B1367">
        <v>3</v>
      </c>
      <c r="C1367" t="inlineStr">
        <is>
          <t>1.7</t>
        </is>
      </c>
      <c r="D1367" t="inlineStr">
        <is>
          <t>A03</t>
        </is>
      </c>
      <c r="E1367" t="inlineStr">
        <is>
          <t>-</t>
        </is>
      </c>
      <c r="F1367" t="inlineStr">
        <is>
          <t>APIA</t>
        </is>
      </c>
      <c r="G1367" t="inlineStr">
        <is>
          <t>CLP-018</t>
        </is>
      </c>
      <c r="H1367" t="inlineStr">
        <is>
          <t>Protocolo</t>
        </is>
      </c>
      <c r="I1367">
        <v>4</v>
      </c>
      <c r="J1367" t="inlineStr">
        <is>
          <t>Terraplenagem</t>
        </is>
      </c>
      <c r="K1367" t="inlineStr">
        <is>
          <t>4.12</t>
        </is>
      </c>
      <c r="L1367" t="inlineStr">
        <is>
          <t>Ensaios</t>
        </is>
      </c>
      <c r="M1367" t="inlineStr">
        <is>
          <t>Documental</t>
        </is>
      </c>
      <c r="N1367" t="inlineStr">
        <is>
          <t xml:space="preserve">Em análise aos estatísticos/rastreabilidades do segmento 1.7 conclui-se que as ações realizadas foram suficientes para atendimento aos requisitos VALEC exceto: 
1 - Não foi apresentado parecer técnico para o desvio: "Camadas de aterro com volumes acima de 1000 m3, e que tiveram apenas 1 ensaio de proctor.
2 - Para esse desvio solicitamos a contratada que para os demais ativos esse parecer seja apresentado e validado junto a VALE.
</t>
        </is>
      </c>
      <c r="O1367" t="inlineStr">
        <is>
          <t>Tipo B</t>
        </is>
      </c>
      <c r="P1367" t="inlineStr">
        <is>
          <t>73+800</t>
        </is>
      </c>
      <c r="Q1367" t="inlineStr">
        <is>
          <t>80+160</t>
        </is>
      </c>
      <c r="R1367" t="inlineStr">
        <is>
          <t>Aberta</t>
        </is>
      </c>
      <c r="T1367" t="inlineStr">
        <is>
          <t>Aline Batista</t>
        </is>
      </c>
      <c r="U1367" t="inlineStr">
        <is>
          <t>15/05/2026</t>
        </is>
      </c>
      <c r="V1367" t="inlineStr">
        <is>
          <t>30/05/2026</t>
        </is>
      </c>
      <c r="W1367">
        <v>11</v>
      </c>
      <c r="AA1367" t="inlineStr">
        <is>
          <t>Aberta -30 dias</t>
        </is>
      </c>
    </row>
    <row r="1368">
      <c r="A1368">
        <v>1366</v>
      </c>
      <c r="B1368">
        <v>3</v>
      </c>
      <c r="C1368" t="inlineStr">
        <is>
          <t>1.7</t>
        </is>
      </c>
      <c r="D1368" t="inlineStr">
        <is>
          <t>A04</t>
        </is>
      </c>
      <c r="E1368" t="inlineStr">
        <is>
          <t>LE</t>
        </is>
      </c>
      <c r="F1368" t="inlineStr">
        <is>
          <t>APIA</t>
        </is>
      </c>
      <c r="G1368" t="inlineStr">
        <is>
          <t>CLP-018</t>
        </is>
      </c>
      <c r="H1368" t="inlineStr">
        <is>
          <t>Protocolo</t>
        </is>
      </c>
      <c r="I1368">
        <v>4</v>
      </c>
      <c r="J1368" t="inlineStr">
        <is>
          <t>Terraplenagem</t>
        </is>
      </c>
      <c r="K1368" t="inlineStr">
        <is>
          <t>4.16</t>
        </is>
      </c>
      <c r="L1368" t="inlineStr">
        <is>
          <t>Plataforma</t>
        </is>
      </c>
      <c r="M1368" t="inlineStr">
        <is>
          <t>Material orgânico</t>
        </is>
      </c>
      <c r="N1368" t="inlineStr">
        <is>
          <t>Trecho com presença de vegetação no sublastro</t>
        </is>
      </c>
      <c r="O1368" t="inlineStr">
        <is>
          <t>Tipo A</t>
        </is>
      </c>
      <c r="P1368" t="inlineStr">
        <is>
          <t xml:space="preserve">75+800 </t>
        </is>
      </c>
      <c r="Q1368" t="inlineStr">
        <is>
          <t xml:space="preserve"> 76+500</t>
        </is>
      </c>
      <c r="R1368" t="inlineStr">
        <is>
          <t>Aberta</t>
        </is>
      </c>
      <c r="T1368" t="inlineStr">
        <is>
          <t>Aline Batista</t>
        </is>
      </c>
      <c r="U1368" t="inlineStr">
        <is>
          <t>15/05/2026</t>
        </is>
      </c>
      <c r="V1368" t="inlineStr">
        <is>
          <t>22/05/2026</t>
        </is>
      </c>
      <c r="W1368">
        <v>19</v>
      </c>
      <c r="AA1368" t="inlineStr">
        <is>
          <t>Aberta -30 dias</t>
        </is>
      </c>
    </row>
    <row r="1369">
      <c r="A1369">
        <v>1367</v>
      </c>
      <c r="B1369">
        <v>3</v>
      </c>
      <c r="C1369" t="inlineStr">
        <is>
          <t>1.7</t>
        </is>
      </c>
      <c r="D1369" t="inlineStr">
        <is>
          <t>A05</t>
        </is>
      </c>
      <c r="E1369" t="inlineStr">
        <is>
          <t>LD/LE</t>
        </is>
      </c>
      <c r="F1369" t="inlineStr">
        <is>
          <t>APIA</t>
        </is>
      </c>
      <c r="G1369" t="inlineStr">
        <is>
          <t>CLP-018</t>
        </is>
      </c>
      <c r="H1369" t="inlineStr">
        <is>
          <t>Protocolo</t>
        </is>
      </c>
      <c r="I1369">
        <v>4</v>
      </c>
      <c r="J1369" t="inlineStr">
        <is>
          <t>Terraplenagem</t>
        </is>
      </c>
      <c r="K1369" t="inlineStr">
        <is>
          <t>4.16</t>
        </is>
      </c>
      <c r="L1369" t="inlineStr">
        <is>
          <t>Plataforma</t>
        </is>
      </c>
      <c r="M1369" t="inlineStr">
        <is>
          <t>Material orgânico</t>
        </is>
      </c>
      <c r="N1369" t="inlineStr">
        <is>
          <t>Presença de vegetação na plataforma</t>
        </is>
      </c>
      <c r="O1369" t="inlineStr">
        <is>
          <t>Tipo A</t>
        </is>
      </c>
      <c r="P1369" t="inlineStr">
        <is>
          <t>75+420</t>
        </is>
      </c>
      <c r="Q1369">
        <v>76000</v>
      </c>
      <c r="R1369" t="inlineStr">
        <is>
          <t>Aberta</t>
        </is>
      </c>
      <c r="T1369" t="inlineStr">
        <is>
          <t>Aline Batista</t>
        </is>
      </c>
      <c r="U1369" t="inlineStr">
        <is>
          <t>15/05/2026</t>
        </is>
      </c>
      <c r="V1369" t="inlineStr">
        <is>
          <t>22/05/2026</t>
        </is>
      </c>
      <c r="W1369">
        <v>19</v>
      </c>
      <c r="AA1369" t="inlineStr">
        <is>
          <t>Aberta -30 dias</t>
        </is>
      </c>
    </row>
    <row r="1370">
      <c r="A1370">
        <v>1368</v>
      </c>
      <c r="B1370">
        <v>3</v>
      </c>
      <c r="C1370" t="inlineStr">
        <is>
          <t>1.7</t>
        </is>
      </c>
      <c r="D1370" t="inlineStr">
        <is>
          <t>C05</t>
        </is>
      </c>
      <c r="E1370" t="inlineStr">
        <is>
          <t>LD/LE</t>
        </is>
      </c>
      <c r="F1370" t="inlineStr">
        <is>
          <t>APIA</t>
        </is>
      </c>
      <c r="G1370" t="inlineStr">
        <is>
          <t>CLP-018</t>
        </is>
      </c>
      <c r="H1370" t="inlineStr">
        <is>
          <t>Protocolo</t>
        </is>
      </c>
      <c r="I1370">
        <v>4</v>
      </c>
      <c r="J1370" t="inlineStr">
        <is>
          <t>Terraplenagem</t>
        </is>
      </c>
      <c r="K1370" t="inlineStr">
        <is>
          <t>4.20</t>
        </is>
      </c>
      <c r="L1370" t="inlineStr">
        <is>
          <t xml:space="preserve">Talude </t>
        </is>
      </c>
      <c r="M1370" t="inlineStr">
        <is>
          <t>Erosões</t>
        </is>
      </c>
      <c r="N1370" t="inlineStr">
        <is>
          <t>Verifica-se erosão no talude, associada ao acúmulo de água provocado pela execução de leira no bordo da plataforma. É necessário remover a leira e realizar o tratamento da erosão para evitar a evolução do processo.</t>
        </is>
      </c>
      <c r="O1370" t="inlineStr">
        <is>
          <t>Tipo A</t>
        </is>
      </c>
      <c r="P1370" t="inlineStr">
        <is>
          <t>76+260</t>
        </is>
      </c>
      <c r="Q1370" t="inlineStr">
        <is>
          <t>76+280</t>
        </is>
      </c>
      <c r="R1370" t="inlineStr">
        <is>
          <t>Aberta</t>
        </is>
      </c>
      <c r="T1370" t="inlineStr">
        <is>
          <t>Aline Batista</t>
        </is>
      </c>
      <c r="U1370" t="inlineStr">
        <is>
          <t>15/05/2026</t>
        </is>
      </c>
      <c r="V1370" t="inlineStr">
        <is>
          <t>22/05/2026</t>
        </is>
      </c>
      <c r="W1370">
        <v>19</v>
      </c>
      <c r="AA1370" t="inlineStr">
        <is>
          <t>Aberta -30 dias</t>
        </is>
      </c>
    </row>
    <row r="1371">
      <c r="A1371">
        <v>1369</v>
      </c>
      <c r="B1371">
        <v>3</v>
      </c>
      <c r="C1371" t="inlineStr">
        <is>
          <t>1.7</t>
        </is>
      </c>
      <c r="D1371" t="inlineStr">
        <is>
          <t>C09</t>
        </is>
      </c>
      <c r="E1371" t="inlineStr">
        <is>
          <t>LE</t>
        </is>
      </c>
      <c r="F1371" t="inlineStr">
        <is>
          <t>APIA</t>
        </is>
      </c>
      <c r="G1371" t="inlineStr">
        <is>
          <t>CLP-018</t>
        </is>
      </c>
      <c r="H1371" t="inlineStr">
        <is>
          <t>Protocolo</t>
        </is>
      </c>
      <c r="I1371">
        <v>4</v>
      </c>
      <c r="J1371" t="inlineStr">
        <is>
          <t>Terraplenagem</t>
        </is>
      </c>
      <c r="K1371" t="inlineStr">
        <is>
          <t>4.20</t>
        </is>
      </c>
      <c r="L1371" t="inlineStr">
        <is>
          <t>Talude</t>
        </is>
      </c>
      <c r="M1371" t="inlineStr">
        <is>
          <t>Revegetação/ Hidrossemeadura</t>
        </is>
      </c>
      <c r="N1371" t="inlineStr">
        <is>
          <t>Solo exposto em área de corte; necessária execução de hidrossemeadura.</t>
        </is>
      </c>
      <c r="O1371" t="inlineStr">
        <is>
          <t>Tipo A</t>
        </is>
      </c>
      <c r="P1371" t="inlineStr">
        <is>
          <t>80+010</t>
        </is>
      </c>
      <c r="Q1371" t="inlineStr">
        <is>
          <t>80+010</t>
        </is>
      </c>
      <c r="R1371" t="inlineStr">
        <is>
          <t>Aberta</t>
        </is>
      </c>
      <c r="T1371" t="inlineStr">
        <is>
          <t>Aline Batista</t>
        </is>
      </c>
      <c r="U1371" t="inlineStr">
        <is>
          <t>15/05/2026</t>
        </is>
      </c>
      <c r="V1371" t="inlineStr">
        <is>
          <t>22/05/2026</t>
        </is>
      </c>
      <c r="W1371">
        <v>19</v>
      </c>
      <c r="AA1371" t="inlineStr">
        <is>
          <t>Aberta -30 dias</t>
        </is>
      </c>
    </row>
    <row r="1372">
      <c r="A1372">
        <v>1370</v>
      </c>
      <c r="B1372">
        <v>3</v>
      </c>
      <c r="C1372" t="inlineStr">
        <is>
          <t>1.7</t>
        </is>
      </c>
      <c r="D1372" t="inlineStr">
        <is>
          <t>C06</t>
        </is>
      </c>
      <c r="E1372" t="inlineStr">
        <is>
          <t>LE e LD</t>
        </is>
      </c>
      <c r="F1372" t="inlineStr">
        <is>
          <t>APIA</t>
        </is>
      </c>
      <c r="G1372" t="inlineStr">
        <is>
          <t>CLP-018</t>
        </is>
      </c>
      <c r="H1372" t="inlineStr">
        <is>
          <t>Protocolo</t>
        </is>
      </c>
      <c r="I1372">
        <v>4</v>
      </c>
      <c r="J1372" t="inlineStr">
        <is>
          <t>Terraplenagem</t>
        </is>
      </c>
      <c r="K1372" t="inlineStr">
        <is>
          <t>4.24</t>
        </is>
      </c>
      <c r="L1372" t="inlineStr">
        <is>
          <t>Acesso</t>
        </is>
      </c>
      <c r="M1372" t="inlineStr">
        <is>
          <t>Erosões</t>
        </is>
      </c>
      <c r="N1372" t="inlineStr">
        <is>
          <t>Processo erosivo com solo exposto, próximo à bacia de captação, no caminho de serviço e a jusante; necessário recompor o terreno, estabilizar a área e executar hidrossemeadura.</t>
        </is>
      </c>
      <c r="O1372" t="inlineStr">
        <is>
          <t>Tipo A</t>
        </is>
      </c>
      <c r="P1372" t="inlineStr">
        <is>
          <t>77+500</t>
        </is>
      </c>
      <c r="Q1372" t="inlineStr">
        <is>
          <t>77+500</t>
        </is>
      </c>
      <c r="R1372" t="inlineStr">
        <is>
          <t>Aberta</t>
        </is>
      </c>
      <c r="T1372" t="inlineStr">
        <is>
          <t>Aline Batista</t>
        </is>
      </c>
      <c r="U1372" t="inlineStr">
        <is>
          <t>15/05/2026</t>
        </is>
      </c>
      <c r="V1372" t="inlineStr">
        <is>
          <t>22/05/2026</t>
        </is>
      </c>
      <c r="W1372">
        <v>19</v>
      </c>
      <c r="AA1372" t="inlineStr">
        <is>
          <t>Aberta -30 dias</t>
        </is>
      </c>
    </row>
    <row r="1373">
      <c r="A1373">
        <v>1371</v>
      </c>
      <c r="B1373">
        <v>3</v>
      </c>
      <c r="C1373" t="inlineStr">
        <is>
          <t>1.7</t>
        </is>
      </c>
      <c r="D1373" t="inlineStr">
        <is>
          <t>A06</t>
        </is>
      </c>
      <c r="E1373" t="inlineStr">
        <is>
          <t>LD</t>
        </is>
      </c>
      <c r="F1373" t="inlineStr">
        <is>
          <t>APIA</t>
        </is>
      </c>
      <c r="G1373" t="inlineStr">
        <is>
          <t>CLP-018</t>
        </is>
      </c>
      <c r="H1373" t="inlineStr">
        <is>
          <t>Protocolo</t>
        </is>
      </c>
      <c r="I1373">
        <v>4</v>
      </c>
      <c r="J1373" t="inlineStr">
        <is>
          <t>Terraplenagem</t>
        </is>
      </c>
      <c r="K1373" t="inlineStr">
        <is>
          <t>4.24</t>
        </is>
      </c>
      <c r="L1373" t="inlineStr">
        <is>
          <t>Acesso</t>
        </is>
      </c>
      <c r="M1373" t="inlineStr">
        <is>
          <t>Revegetação/ Hidrossemeadura</t>
        </is>
      </c>
      <c r="N1373" t="inlineStr">
        <is>
          <t>Caminho de serviço com solo exposto; necessário conformar o terreno e executar hidrossemeadura.</t>
        </is>
      </c>
      <c r="O1373" t="inlineStr">
        <is>
          <t>Tipo A</t>
        </is>
      </c>
      <c r="P1373" t="inlineStr">
        <is>
          <t>77+700</t>
        </is>
      </c>
      <c r="Q1373" t="inlineStr">
        <is>
          <t>77+700</t>
        </is>
      </c>
      <c r="R1373" t="inlineStr">
        <is>
          <t>Aberta</t>
        </is>
      </c>
      <c r="T1373" t="inlineStr">
        <is>
          <t>Aline Batista</t>
        </is>
      </c>
      <c r="U1373" t="inlineStr">
        <is>
          <t>15/05/2026</t>
        </is>
      </c>
      <c r="V1373" t="inlineStr">
        <is>
          <t>22/05/2026</t>
        </is>
      </c>
      <c r="W1373">
        <v>19</v>
      </c>
      <c r="AA1373" t="inlineStr">
        <is>
          <t>Aberta -30 dias</t>
        </is>
      </c>
    </row>
    <row r="1374">
      <c r="A1374">
        <v>1372</v>
      </c>
      <c r="B1374">
        <v>3</v>
      </c>
      <c r="C1374" t="inlineStr">
        <is>
          <t>1.7</t>
        </is>
      </c>
      <c r="D1374" t="inlineStr">
        <is>
          <t>A06</t>
        </is>
      </c>
      <c r="E1374" t="inlineStr">
        <is>
          <t>LD</t>
        </is>
      </c>
      <c r="F1374" t="inlineStr">
        <is>
          <t>APIA</t>
        </is>
      </c>
      <c r="G1374" t="inlineStr">
        <is>
          <t>CLP-018</t>
        </is>
      </c>
      <c r="H1374" t="inlineStr">
        <is>
          <t>Protocolo</t>
        </is>
      </c>
      <c r="I1374">
        <v>4</v>
      </c>
      <c r="J1374" t="inlineStr">
        <is>
          <t>Terraplenagem</t>
        </is>
      </c>
      <c r="K1374" t="inlineStr">
        <is>
          <t>4.24</t>
        </is>
      </c>
      <c r="L1374" t="inlineStr">
        <is>
          <t>Acesso</t>
        </is>
      </c>
      <c r="M1374" t="inlineStr">
        <is>
          <t>Erosões</t>
        </is>
      </c>
      <c r="N1374" t="inlineStr">
        <is>
          <t>Processo erosivo com solo exposto; necessária estabilização do talude e execução de hidrossemeadura.</t>
        </is>
      </c>
      <c r="O1374" t="inlineStr">
        <is>
          <t>Tipo A</t>
        </is>
      </c>
      <c r="P1374" t="inlineStr">
        <is>
          <t>77+850</t>
        </is>
      </c>
      <c r="Q1374" t="inlineStr">
        <is>
          <t>77+850</t>
        </is>
      </c>
      <c r="R1374" t="inlineStr">
        <is>
          <t>Aberta</t>
        </is>
      </c>
      <c r="T1374" t="inlineStr">
        <is>
          <t>Aline Batista</t>
        </is>
      </c>
      <c r="U1374" t="inlineStr">
        <is>
          <t>15/05/2026</t>
        </is>
      </c>
      <c r="V1374" t="inlineStr">
        <is>
          <t>22/05/2026</t>
        </is>
      </c>
      <c r="W1374">
        <v>19</v>
      </c>
      <c r="AA1374" t="inlineStr">
        <is>
          <t>Aberta -30 dias</t>
        </is>
      </c>
    </row>
    <row r="1375">
      <c r="A1375">
        <v>1373</v>
      </c>
      <c r="B1375">
        <v>3</v>
      </c>
      <c r="C1375" t="inlineStr">
        <is>
          <t>1.7</t>
        </is>
      </c>
      <c r="D1375" t="inlineStr">
        <is>
          <t>A06</t>
        </is>
      </c>
      <c r="E1375" t="inlineStr">
        <is>
          <t>LD</t>
        </is>
      </c>
      <c r="F1375" t="inlineStr">
        <is>
          <t>APIA</t>
        </is>
      </c>
      <c r="G1375" t="inlineStr">
        <is>
          <t>CLP-018</t>
        </is>
      </c>
      <c r="H1375" t="inlineStr">
        <is>
          <t>Protocolo</t>
        </is>
      </c>
      <c r="I1375">
        <v>4</v>
      </c>
      <c r="J1375" t="inlineStr">
        <is>
          <t>Terraplenagem</t>
        </is>
      </c>
      <c r="K1375" t="inlineStr">
        <is>
          <t>4.24</t>
        </is>
      </c>
      <c r="L1375" t="inlineStr">
        <is>
          <t>Acesso</t>
        </is>
      </c>
      <c r="M1375" t="inlineStr">
        <is>
          <t>Revegetação/ Hidrossemeadura</t>
        </is>
      </c>
      <c r="N1375" t="inlineStr">
        <is>
          <t>Caminho de serviço com solo exposto; necessário conformar o terreno e executar hidrossemeadura.</t>
        </is>
      </c>
      <c r="O1375" t="inlineStr">
        <is>
          <t>Tipo A</t>
        </is>
      </c>
      <c r="P1375" t="inlineStr">
        <is>
          <t>78+010</t>
        </is>
      </c>
      <c r="Q1375" t="inlineStr">
        <is>
          <t>78+010</t>
        </is>
      </c>
      <c r="R1375" t="inlineStr">
        <is>
          <t>Aberta</t>
        </is>
      </c>
      <c r="T1375" t="inlineStr">
        <is>
          <t>Aline Batista</t>
        </is>
      </c>
      <c r="U1375" t="inlineStr">
        <is>
          <t>15/05/2026</t>
        </is>
      </c>
      <c r="V1375" t="inlineStr">
        <is>
          <t>22/05/2026</t>
        </is>
      </c>
      <c r="W1375">
        <v>19</v>
      </c>
      <c r="AA1375" t="inlineStr">
        <is>
          <t>Aberta -30 dias</t>
        </is>
      </c>
    </row>
    <row r="1376">
      <c r="A1376">
        <v>1374</v>
      </c>
      <c r="B1376">
        <v>3</v>
      </c>
      <c r="C1376" t="inlineStr">
        <is>
          <t>1.7</t>
        </is>
      </c>
      <c r="D1376" t="inlineStr">
        <is>
          <t>A06</t>
        </is>
      </c>
      <c r="E1376" t="inlineStr">
        <is>
          <t>LD</t>
        </is>
      </c>
      <c r="F1376" t="inlineStr">
        <is>
          <t>APIA</t>
        </is>
      </c>
      <c r="G1376" t="inlineStr">
        <is>
          <t>CLP-018</t>
        </is>
      </c>
      <c r="H1376" t="inlineStr">
        <is>
          <t>Protocolo</t>
        </is>
      </c>
      <c r="I1376">
        <v>4</v>
      </c>
      <c r="J1376" t="inlineStr">
        <is>
          <t>Terraplenagem</t>
        </is>
      </c>
      <c r="K1376" t="inlineStr">
        <is>
          <t>4.24</t>
        </is>
      </c>
      <c r="L1376" t="inlineStr">
        <is>
          <t>Acesso</t>
        </is>
      </c>
      <c r="M1376" t="inlineStr">
        <is>
          <t>Revegetação/ Hidrossemeadura</t>
        </is>
      </c>
      <c r="N1376" t="inlineStr">
        <is>
          <t>Talvegue do canal de drenagem com solo exposto; caminho de serviço com solo exposto, necessário repasse de hidrossemeadura.</t>
        </is>
      </c>
      <c r="O1376" t="inlineStr">
        <is>
          <t>Tipo A</t>
        </is>
      </c>
      <c r="P1376" t="inlineStr">
        <is>
          <t>78+100 ao 78+300</t>
        </is>
      </c>
      <c r="Q1376" t="inlineStr">
        <is>
          <t>78+100 ao 78+300</t>
        </is>
      </c>
      <c r="R1376" t="inlineStr">
        <is>
          <t>Aberta</t>
        </is>
      </c>
      <c r="T1376" t="inlineStr">
        <is>
          <t>Aline Batista</t>
        </is>
      </c>
      <c r="U1376" t="inlineStr">
        <is>
          <t>15/05/2026</t>
        </is>
      </c>
      <c r="V1376" t="inlineStr">
        <is>
          <t>22/05/2026</t>
        </is>
      </c>
      <c r="W1376">
        <v>19</v>
      </c>
      <c r="AA1376" t="inlineStr">
        <is>
          <t>Aberta -30 dias</t>
        </is>
      </c>
    </row>
    <row r="1377">
      <c r="A1377">
        <v>1375</v>
      </c>
      <c r="B1377">
        <v>3</v>
      </c>
      <c r="C1377" t="inlineStr">
        <is>
          <t>1.7</t>
        </is>
      </c>
      <c r="D1377" t="inlineStr">
        <is>
          <t>A06</t>
        </is>
      </c>
      <c r="E1377" t="inlineStr">
        <is>
          <t>LE</t>
        </is>
      </c>
      <c r="F1377" t="inlineStr">
        <is>
          <t>APIA</t>
        </is>
      </c>
      <c r="G1377" t="inlineStr">
        <is>
          <t>CLP-018</t>
        </is>
      </c>
      <c r="H1377" t="inlineStr">
        <is>
          <t>Protocolo</t>
        </is>
      </c>
      <c r="I1377">
        <v>4</v>
      </c>
      <c r="J1377" t="inlineStr">
        <is>
          <t>Terraplenagem</t>
        </is>
      </c>
      <c r="K1377" t="inlineStr">
        <is>
          <t>4.24</t>
        </is>
      </c>
      <c r="L1377" t="inlineStr">
        <is>
          <t>Acesso</t>
        </is>
      </c>
      <c r="M1377" t="inlineStr">
        <is>
          <t>Revegetação/ Hidrossemeadura</t>
        </is>
      </c>
      <c r="N1377" t="inlineStr">
        <is>
          <t>Caminho de serviço com solo exposto; necessário conformar o terreno e executar hidrossemeadura.</t>
        </is>
      </c>
      <c r="O1377" t="inlineStr">
        <is>
          <t>Tipo A</t>
        </is>
      </c>
      <c r="P1377" t="inlineStr">
        <is>
          <t>78+300</t>
        </is>
      </c>
      <c r="Q1377" t="inlineStr">
        <is>
          <t>78+300</t>
        </is>
      </c>
      <c r="R1377" t="inlineStr">
        <is>
          <t>Aberta</t>
        </is>
      </c>
      <c r="T1377" t="inlineStr">
        <is>
          <t>Aline Batista</t>
        </is>
      </c>
      <c r="U1377" t="inlineStr">
        <is>
          <t>15/05/2026</t>
        </is>
      </c>
      <c r="V1377" t="inlineStr">
        <is>
          <t>22/05/2026</t>
        </is>
      </c>
      <c r="W1377">
        <v>19</v>
      </c>
      <c r="AA1377" t="inlineStr">
        <is>
          <t>Aberta -30 dias</t>
        </is>
      </c>
    </row>
    <row r="1378">
      <c r="A1378">
        <v>1376</v>
      </c>
      <c r="B1378">
        <v>3</v>
      </c>
      <c r="C1378" t="inlineStr">
        <is>
          <t>1.7</t>
        </is>
      </c>
      <c r="D1378" t="inlineStr">
        <is>
          <t>A06</t>
        </is>
      </c>
      <c r="E1378" t="inlineStr">
        <is>
          <t>LE</t>
        </is>
      </c>
      <c r="F1378" t="inlineStr">
        <is>
          <t>APIA</t>
        </is>
      </c>
      <c r="G1378" t="inlineStr">
        <is>
          <t>CLP-018</t>
        </is>
      </c>
      <c r="H1378" t="inlineStr">
        <is>
          <t>Protocolo</t>
        </is>
      </c>
      <c r="I1378">
        <v>4</v>
      </c>
      <c r="J1378" t="inlineStr">
        <is>
          <t>Terraplenagem</t>
        </is>
      </c>
      <c r="K1378" t="inlineStr">
        <is>
          <t>4.24</t>
        </is>
      </c>
      <c r="L1378" t="inlineStr">
        <is>
          <t>Acesso</t>
        </is>
      </c>
      <c r="M1378" t="inlineStr">
        <is>
          <t>Revegetação/ Hidrossemeadura</t>
        </is>
      </c>
      <c r="N1378" t="inlineStr">
        <is>
          <t>Caminho de serviço com solo exposto, com presença de resíduos de madeira; necessária retirada dos resíduos, conformação do terreno e execução de hidrossemeadura.</t>
        </is>
      </c>
      <c r="O1378" t="inlineStr">
        <is>
          <t>Tipo A</t>
        </is>
      </c>
      <c r="P1378" t="inlineStr">
        <is>
          <t>78+550</t>
        </is>
      </c>
      <c r="Q1378" t="inlineStr">
        <is>
          <t>78+550</t>
        </is>
      </c>
      <c r="R1378" t="inlineStr">
        <is>
          <t>Aberta</t>
        </is>
      </c>
      <c r="T1378" t="inlineStr">
        <is>
          <t>Aline Batista</t>
        </is>
      </c>
      <c r="U1378" t="inlineStr">
        <is>
          <t>15/05/2026</t>
        </is>
      </c>
      <c r="V1378" t="inlineStr">
        <is>
          <t>22/05/2026</t>
        </is>
      </c>
      <c r="W1378">
        <v>19</v>
      </c>
      <c r="AA1378" t="inlineStr">
        <is>
          <t>Aberta -30 dias</t>
        </is>
      </c>
    </row>
    <row r="1379">
      <c r="A1379">
        <v>1377</v>
      </c>
      <c r="B1379">
        <v>3</v>
      </c>
      <c r="C1379" t="inlineStr">
        <is>
          <t>1.7</t>
        </is>
      </c>
      <c r="D1379" t="inlineStr">
        <is>
          <t>A06</t>
        </is>
      </c>
      <c r="E1379" t="inlineStr">
        <is>
          <t>LD</t>
        </is>
      </c>
      <c r="F1379" t="inlineStr">
        <is>
          <t>APIA</t>
        </is>
      </c>
      <c r="G1379" t="inlineStr">
        <is>
          <t>CLP-018</t>
        </is>
      </c>
      <c r="H1379" t="inlineStr">
        <is>
          <t>Protocolo</t>
        </is>
      </c>
      <c r="I1379">
        <v>4</v>
      </c>
      <c r="J1379" t="inlineStr">
        <is>
          <t>Terraplenagem</t>
        </is>
      </c>
      <c r="K1379" t="inlineStr">
        <is>
          <t>4.24</t>
        </is>
      </c>
      <c r="L1379" t="inlineStr">
        <is>
          <t>Acesso</t>
        </is>
      </c>
      <c r="M1379" t="inlineStr">
        <is>
          <t>Revegetação/ Hidrossemeadura</t>
        </is>
      </c>
      <c r="N1379" t="inlineStr">
        <is>
          <t>Caminho de serviço com solo exposto; necessário conformar o terreno e executar hidrossemeadura.</t>
        </is>
      </c>
      <c r="O1379" t="inlineStr">
        <is>
          <t>Tipo A</t>
        </is>
      </c>
      <c r="P1379" t="inlineStr">
        <is>
          <t>78+550</t>
        </is>
      </c>
      <c r="Q1379" t="inlineStr">
        <is>
          <t>78+550</t>
        </is>
      </c>
      <c r="R1379" t="inlineStr">
        <is>
          <t>Aberta</t>
        </is>
      </c>
      <c r="T1379" t="inlineStr">
        <is>
          <t>Aline Batista</t>
        </is>
      </c>
      <c r="U1379" t="inlineStr">
        <is>
          <t>15/05/2026</t>
        </is>
      </c>
      <c r="V1379" t="inlineStr">
        <is>
          <t>22/05/2026</t>
        </is>
      </c>
      <c r="W1379">
        <v>19</v>
      </c>
      <c r="AA1379" t="inlineStr">
        <is>
          <t>Aberta -30 dias</t>
        </is>
      </c>
    </row>
    <row r="1380">
      <c r="A1380">
        <v>1378</v>
      </c>
      <c r="B1380">
        <v>3</v>
      </c>
      <c r="C1380" t="inlineStr">
        <is>
          <t>1.7</t>
        </is>
      </c>
      <c r="D1380" t="inlineStr">
        <is>
          <t>A06</t>
        </is>
      </c>
      <c r="E1380" t="inlineStr">
        <is>
          <t>LD</t>
        </is>
      </c>
      <c r="F1380" t="inlineStr">
        <is>
          <t>APIA</t>
        </is>
      </c>
      <c r="G1380" t="inlineStr">
        <is>
          <t>CLP-018</t>
        </is>
      </c>
      <c r="H1380" t="inlineStr">
        <is>
          <t>Protocolo</t>
        </is>
      </c>
      <c r="I1380">
        <v>4</v>
      </c>
      <c r="J1380" t="inlineStr">
        <is>
          <t>Terraplenagem</t>
        </is>
      </c>
      <c r="K1380" t="inlineStr">
        <is>
          <t>4.24</t>
        </is>
      </c>
      <c r="L1380" t="inlineStr">
        <is>
          <t>Acesso</t>
        </is>
      </c>
      <c r="M1380" t="inlineStr">
        <is>
          <t>Revegetação/ Hidrossemeadura</t>
        </is>
      </c>
      <c r="N1380" t="inlineStr">
        <is>
          <t>Caminho de serviço com solo exposto; necessário conformar o terreno e executar hidrossemeadura.</t>
        </is>
      </c>
      <c r="O1380" t="inlineStr">
        <is>
          <t>Tipo A</t>
        </is>
      </c>
      <c r="P1380" t="inlineStr">
        <is>
          <t>78+600</t>
        </is>
      </c>
      <c r="Q1380" t="inlineStr">
        <is>
          <t>78+600</t>
        </is>
      </c>
      <c r="R1380" t="inlineStr">
        <is>
          <t>Aberta</t>
        </is>
      </c>
      <c r="T1380" t="inlineStr">
        <is>
          <t>Aline Batista</t>
        </is>
      </c>
      <c r="U1380" t="inlineStr">
        <is>
          <t>15/05/2026</t>
        </is>
      </c>
      <c r="V1380" t="inlineStr">
        <is>
          <t>22/05/2026</t>
        </is>
      </c>
      <c r="W1380">
        <v>19</v>
      </c>
      <c r="AA1380" t="inlineStr">
        <is>
          <t>Aberta -30 dias</t>
        </is>
      </c>
    </row>
    <row r="1381">
      <c r="A1381">
        <v>1379</v>
      </c>
      <c r="B1381">
        <v>3</v>
      </c>
      <c r="C1381" t="inlineStr">
        <is>
          <t>1.7</t>
        </is>
      </c>
      <c r="D1381" t="inlineStr">
        <is>
          <t>A06</t>
        </is>
      </c>
      <c r="E1381" t="inlineStr">
        <is>
          <t>LE</t>
        </is>
      </c>
      <c r="F1381" t="inlineStr">
        <is>
          <t>APIA</t>
        </is>
      </c>
      <c r="G1381" t="inlineStr">
        <is>
          <t>CLP-018</t>
        </is>
      </c>
      <c r="H1381" t="inlineStr">
        <is>
          <t>Protocolo</t>
        </is>
      </c>
      <c r="I1381">
        <v>4</v>
      </c>
      <c r="J1381" t="inlineStr">
        <is>
          <t>Terraplenagem</t>
        </is>
      </c>
      <c r="K1381" t="inlineStr">
        <is>
          <t>4.24</t>
        </is>
      </c>
      <c r="L1381" t="inlineStr">
        <is>
          <t>Acesso</t>
        </is>
      </c>
      <c r="M1381" t="inlineStr">
        <is>
          <t>Revegetação/ Hidrossemeadura</t>
        </is>
      </c>
      <c r="N1381" t="inlineStr">
        <is>
          <t>Área de vivência com solo exposto; necessário executar hidrossemeadura.</t>
        </is>
      </c>
      <c r="O1381" t="inlineStr">
        <is>
          <t>Tipo A</t>
        </is>
      </c>
      <c r="P1381" t="inlineStr">
        <is>
          <t>78+700</t>
        </is>
      </c>
      <c r="Q1381" t="inlineStr">
        <is>
          <t>78+700</t>
        </is>
      </c>
      <c r="R1381" t="inlineStr">
        <is>
          <t>Aberta</t>
        </is>
      </c>
      <c r="T1381" t="inlineStr">
        <is>
          <t>Aline Batista</t>
        </is>
      </c>
      <c r="U1381" t="inlineStr">
        <is>
          <t>15/05/2026</t>
        </is>
      </c>
      <c r="V1381" t="inlineStr">
        <is>
          <t>22/05/2026</t>
        </is>
      </c>
      <c r="W1381">
        <v>19</v>
      </c>
      <c r="AA1381" t="inlineStr">
        <is>
          <t>Aberta -30 dias</t>
        </is>
      </c>
    </row>
    <row r="1382">
      <c r="A1382">
        <v>1380</v>
      </c>
      <c r="B1382">
        <v>3</v>
      </c>
      <c r="C1382" t="inlineStr">
        <is>
          <t>1.7</t>
        </is>
      </c>
      <c r="D1382" t="inlineStr">
        <is>
          <t>A07</t>
        </is>
      </c>
      <c r="E1382" t="inlineStr">
        <is>
          <t>LE</t>
        </is>
      </c>
      <c r="F1382" t="inlineStr">
        <is>
          <t>APIA</t>
        </is>
      </c>
      <c r="G1382" t="inlineStr">
        <is>
          <t>CLP-018</t>
        </is>
      </c>
      <c r="H1382" t="inlineStr">
        <is>
          <t>Protocolo</t>
        </is>
      </c>
      <c r="I1382">
        <v>4</v>
      </c>
      <c r="J1382" t="inlineStr">
        <is>
          <t>Terraplenagem</t>
        </is>
      </c>
      <c r="K1382" t="inlineStr">
        <is>
          <t>4.24</t>
        </is>
      </c>
      <c r="L1382" t="inlineStr">
        <is>
          <t>Acesso</t>
        </is>
      </c>
      <c r="M1382" t="inlineStr">
        <is>
          <t>Revegetação/ Hidrossemeadura</t>
        </is>
      </c>
      <c r="N1382" t="inlineStr">
        <is>
          <t>Solo exposto no caminho de serviço; necessário conformar o terreno e executar hidrossemeadura.</t>
        </is>
      </c>
      <c r="O1382" t="inlineStr">
        <is>
          <t>Tipo A</t>
        </is>
      </c>
      <c r="P1382" t="inlineStr">
        <is>
          <t>79+300</t>
        </is>
      </c>
      <c r="Q1382" t="inlineStr">
        <is>
          <t>79+300</t>
        </is>
      </c>
      <c r="R1382" t="inlineStr">
        <is>
          <t>Aberta</t>
        </is>
      </c>
      <c r="T1382" t="inlineStr">
        <is>
          <t>Aline Batista</t>
        </is>
      </c>
      <c r="U1382" t="inlineStr">
        <is>
          <t>15/05/2026</t>
        </is>
      </c>
      <c r="V1382" t="inlineStr">
        <is>
          <t>22/05/2026</t>
        </is>
      </c>
      <c r="W1382">
        <v>19</v>
      </c>
      <c r="AA1382" t="inlineStr">
        <is>
          <t>Aberta -30 dias</t>
        </is>
      </c>
    </row>
    <row r="1383">
      <c r="A1383">
        <v>1381</v>
      </c>
      <c r="B1383">
        <v>3</v>
      </c>
      <c r="C1383" t="inlineStr">
        <is>
          <t>1.7</t>
        </is>
      </c>
      <c r="D1383" t="inlineStr">
        <is>
          <t xml:space="preserve">A07
</t>
        </is>
      </c>
      <c r="E1383" t="inlineStr">
        <is>
          <t>LE</t>
        </is>
      </c>
      <c r="F1383" t="inlineStr">
        <is>
          <t>APIA</t>
        </is>
      </c>
      <c r="G1383" t="inlineStr">
        <is>
          <t>CLP-018</t>
        </is>
      </c>
      <c r="H1383" t="inlineStr">
        <is>
          <t>Protocolo</t>
        </is>
      </c>
      <c r="I1383">
        <v>4</v>
      </c>
      <c r="J1383" t="inlineStr">
        <is>
          <t>Terraplenagem</t>
        </is>
      </c>
      <c r="K1383" t="inlineStr">
        <is>
          <t>4.24</t>
        </is>
      </c>
      <c r="L1383" t="inlineStr">
        <is>
          <t>Acesso</t>
        </is>
      </c>
      <c r="M1383" t="inlineStr">
        <is>
          <t>Revegetação/ Hidrossemeadura</t>
        </is>
      </c>
      <c r="N1383" t="inlineStr">
        <is>
          <t>Caminho de serviço com solo exposto; necessária conformação e execução de hidrossemeadura.</t>
        </is>
      </c>
      <c r="O1383" t="inlineStr">
        <is>
          <t>Tipo A</t>
        </is>
      </c>
      <c r="P1383" t="inlineStr">
        <is>
          <t>79+500 ao 79+850</t>
        </is>
      </c>
      <c r="Q1383" t="inlineStr">
        <is>
          <t>79+500 ao 79+850</t>
        </is>
      </c>
      <c r="R1383" t="inlineStr">
        <is>
          <t>Aberta</t>
        </is>
      </c>
      <c r="T1383" t="inlineStr">
        <is>
          <t>Aline Batista</t>
        </is>
      </c>
      <c r="U1383" t="inlineStr">
        <is>
          <t>15/05/2026</t>
        </is>
      </c>
      <c r="V1383" t="inlineStr">
        <is>
          <t>22/05/2026</t>
        </is>
      </c>
      <c r="W1383">
        <v>19</v>
      </c>
      <c r="AA1383" t="inlineStr">
        <is>
          <t>Aberta -30 dias</t>
        </is>
      </c>
    </row>
    <row r="1384">
      <c r="A1384">
        <v>1382</v>
      </c>
      <c r="B1384">
        <v>3</v>
      </c>
      <c r="C1384" t="inlineStr">
        <is>
          <t>1.7</t>
        </is>
      </c>
      <c r="D1384" t="inlineStr">
        <is>
          <t>C09</t>
        </is>
      </c>
      <c r="E1384" t="inlineStr">
        <is>
          <t>LD/LE</t>
        </is>
      </c>
      <c r="F1384" t="inlineStr">
        <is>
          <t>APIA</t>
        </is>
      </c>
      <c r="G1384" t="inlineStr">
        <is>
          <t>CLP-018</t>
        </is>
      </c>
      <c r="H1384" t="inlineStr">
        <is>
          <t>Fiscalização</t>
        </is>
      </c>
      <c r="I1384">
        <v>4</v>
      </c>
      <c r="J1384" t="inlineStr">
        <is>
          <t>Terraplenagem</t>
        </is>
      </c>
      <c r="K1384" t="inlineStr">
        <is>
          <t>4.24</t>
        </is>
      </c>
      <c r="L1384" t="inlineStr">
        <is>
          <t>Acesso</t>
        </is>
      </c>
      <c r="M1384" t="inlineStr">
        <is>
          <t>Revegetação/ Hidrossemeadura</t>
        </is>
      </c>
      <c r="N1384" t="inlineStr">
        <is>
          <t>Solo exposto com processo erosivo próximo ao PI; aterro com solo exposto; necessária estabilização da área, correção do processo erosivo e execução de hidrossemeadura.</t>
        </is>
      </c>
      <c r="O1384" t="inlineStr">
        <is>
          <t>Tipo A</t>
        </is>
      </c>
      <c r="P1384" t="inlineStr">
        <is>
          <t>80+200</t>
        </is>
      </c>
      <c r="Q1384" t="inlineStr">
        <is>
          <t>80+200</t>
        </is>
      </c>
      <c r="R1384" t="inlineStr">
        <is>
          <t>Aberta</t>
        </is>
      </c>
      <c r="T1384" t="inlineStr">
        <is>
          <t>Aline Batista</t>
        </is>
      </c>
      <c r="U1384" t="inlineStr">
        <is>
          <t>15/05/2026</t>
        </is>
      </c>
      <c r="V1384" t="inlineStr">
        <is>
          <t>22/05/2026</t>
        </is>
      </c>
      <c r="W1384">
        <v>19</v>
      </c>
      <c r="AA1384" t="inlineStr">
        <is>
          <t>Aberta -30 dias</t>
        </is>
      </c>
    </row>
    <row r="1385">
      <c r="A1385">
        <v>1383</v>
      </c>
      <c r="B1385">
        <v>3</v>
      </c>
      <c r="C1385" t="inlineStr">
        <is>
          <t>1.7</t>
        </is>
      </c>
      <c r="D1385" t="inlineStr">
        <is>
          <t>C03</t>
        </is>
      </c>
      <c r="E1385" t="inlineStr">
        <is>
          <t>-</t>
        </is>
      </c>
      <c r="F1385" t="inlineStr">
        <is>
          <t>APIA</t>
        </is>
      </c>
      <c r="G1385" t="inlineStr">
        <is>
          <t>CLP-018</t>
        </is>
      </c>
      <c r="H1385" t="inlineStr">
        <is>
          <t>Protocolo</t>
        </is>
      </c>
      <c r="I1385">
        <v>4</v>
      </c>
      <c r="J1385" t="inlineStr">
        <is>
          <t>Terraplenagem</t>
        </is>
      </c>
      <c r="K1385" t="inlineStr">
        <is>
          <t>4.24</t>
        </is>
      </c>
      <c r="L1385" t="inlineStr">
        <is>
          <t>PN</t>
        </is>
      </c>
      <c r="M1385" t="inlineStr">
        <is>
          <t>Dispositivo não executado</t>
        </is>
      </c>
      <c r="N1385" t="inlineStr">
        <is>
          <t xml:space="preserve">Proximidade de projeção de passagem em nível (PN) em projeto, junto ao Km 75+721,050.
Falta concluir com superestrutura CTD 109.</t>
        </is>
      </c>
      <c r="O1385" t="inlineStr">
        <is>
          <t>Tipo A</t>
        </is>
      </c>
      <c r="P1385" t="inlineStr">
        <is>
          <t>74+597,01 (ÁREA 1) 74+908,36 (ÁREA2)</t>
        </is>
      </c>
      <c r="Q1385" t="inlineStr">
        <is>
          <t>74+762,596 (ÁREA 1) 75+137,061 (ÁREA 2)</t>
        </is>
      </c>
      <c r="R1385" t="inlineStr">
        <is>
          <t>Aberta</t>
        </is>
      </c>
      <c r="T1385" t="inlineStr">
        <is>
          <t>Aline Batista</t>
        </is>
      </c>
      <c r="U1385" t="inlineStr">
        <is>
          <t>15/05/2026</t>
        </is>
      </c>
      <c r="V1385" t="inlineStr">
        <is>
          <t>22/05/2026</t>
        </is>
      </c>
      <c r="W1385">
        <v>19</v>
      </c>
      <c r="AA1385" t="inlineStr">
        <is>
          <t>Aberta -30 dias</t>
        </is>
      </c>
    </row>
    <row r="1386">
      <c r="A1386">
        <v>1384</v>
      </c>
      <c r="B1386">
        <v>3</v>
      </c>
      <c r="C1386" t="inlineStr">
        <is>
          <t>1.7</t>
        </is>
      </c>
      <c r="D1386" t="inlineStr">
        <is>
          <t>C03</t>
        </is>
      </c>
      <c r="E1386" t="inlineStr">
        <is>
          <t>-</t>
        </is>
      </c>
      <c r="F1386" t="inlineStr">
        <is>
          <t>APIA</t>
        </is>
      </c>
      <c r="G1386" t="inlineStr">
        <is>
          <t>CLP-018</t>
        </is>
      </c>
      <c r="H1386" t="inlineStr">
        <is>
          <t>Protocolo</t>
        </is>
      </c>
      <c r="I1386">
        <v>4</v>
      </c>
      <c r="J1386" t="inlineStr">
        <is>
          <t>Terraplenagem</t>
        </is>
      </c>
      <c r="K1386" t="inlineStr">
        <is>
          <t>4.24</t>
        </is>
      </c>
      <c r="L1386" t="inlineStr">
        <is>
          <t>PN</t>
        </is>
      </c>
      <c r="M1386" t="inlineStr">
        <is>
          <t>Dispositivo não executado</t>
        </is>
      </c>
      <c r="N1386" t="inlineStr">
        <is>
          <t xml:space="preserve">Proximidade de projeção de passagem em nível (PN) em projeto, junto ao Km 75+721,050.
Falta concluir com superestrutura  CTD 110.</t>
        </is>
      </c>
      <c r="O1386" t="inlineStr">
        <is>
          <t>Tipo A</t>
        </is>
      </c>
      <c r="P1386" t="inlineStr">
        <is>
          <t>74+762,596</t>
        </is>
      </c>
      <c r="Q1386" t="inlineStr">
        <is>
          <t>74+908,356</t>
        </is>
      </c>
      <c r="R1386" t="inlineStr">
        <is>
          <t>Aberta</t>
        </is>
      </c>
      <c r="T1386" t="inlineStr">
        <is>
          <t>Aline Batista</t>
        </is>
      </c>
      <c r="U1386" t="inlineStr">
        <is>
          <t>15/05/2026</t>
        </is>
      </c>
      <c r="V1386" t="inlineStr">
        <is>
          <t>22/05/2026</t>
        </is>
      </c>
      <c r="W1386">
        <v>19</v>
      </c>
      <c r="AA1386" t="inlineStr">
        <is>
          <t>Aberta -30 dias</t>
        </is>
      </c>
    </row>
    <row r="1387">
      <c r="A1387">
        <v>1385</v>
      </c>
      <c r="B1387">
        <v>3</v>
      </c>
      <c r="C1387" t="inlineStr">
        <is>
          <t>1.7</t>
        </is>
      </c>
      <c r="D1387" t="inlineStr">
        <is>
          <t>A04</t>
        </is>
      </c>
      <c r="E1387" t="inlineStr">
        <is>
          <t>-</t>
        </is>
      </c>
      <c r="F1387" t="inlineStr">
        <is>
          <t>APIA</t>
        </is>
      </c>
      <c r="G1387" t="inlineStr">
        <is>
          <t>CLP-018</t>
        </is>
      </c>
      <c r="H1387" t="inlineStr">
        <is>
          <t>Protocolo</t>
        </is>
      </c>
      <c r="I1387">
        <v>4</v>
      </c>
      <c r="J1387" t="inlineStr">
        <is>
          <t>Terraplenagem</t>
        </is>
      </c>
      <c r="K1387" t="inlineStr">
        <is>
          <t>4.24</t>
        </is>
      </c>
      <c r="L1387" t="inlineStr">
        <is>
          <t>PN</t>
        </is>
      </c>
      <c r="M1387" t="inlineStr">
        <is>
          <t>Dispositivo não executado</t>
        </is>
      </c>
      <c r="N1387" t="inlineStr">
        <is>
          <t xml:space="preserve">PN já indicada no projeto executivo próxima ao km-75+721.
Falta concluir com superestrutura CTD 112.</t>
        </is>
      </c>
      <c r="O1387" t="inlineStr">
        <is>
          <t>Tipo A</t>
        </is>
      </c>
      <c r="P1387" t="inlineStr">
        <is>
          <t>75+348,169</t>
        </is>
      </c>
      <c r="Q1387" t="inlineStr">
        <is>
          <t xml:space="preserve">75+914,366 </t>
        </is>
      </c>
      <c r="R1387" t="inlineStr">
        <is>
          <t>Aberta</t>
        </is>
      </c>
      <c r="T1387" t="inlineStr">
        <is>
          <t>Aline Batista</t>
        </is>
      </c>
      <c r="U1387" t="inlineStr">
        <is>
          <t>15/05/2026</t>
        </is>
      </c>
      <c r="V1387" t="inlineStr">
        <is>
          <t>22/05/2026</t>
        </is>
      </c>
      <c r="W1387">
        <v>19</v>
      </c>
      <c r="AA1387" t="inlineStr">
        <is>
          <t>Aberta -30 dias</t>
        </is>
      </c>
    </row>
    <row r="1388">
      <c r="A1388">
        <v>1386</v>
      </c>
      <c r="B1388">
        <v>3</v>
      </c>
      <c r="C1388" t="inlineStr">
        <is>
          <t>1.7</t>
        </is>
      </c>
      <c r="D1388" t="inlineStr">
        <is>
          <t>A04</t>
        </is>
      </c>
      <c r="E1388" t="inlineStr">
        <is>
          <t>-</t>
        </is>
      </c>
      <c r="F1388" t="inlineStr">
        <is>
          <t>APIA</t>
        </is>
      </c>
      <c r="G1388" t="inlineStr">
        <is>
          <t>CLP-018</t>
        </is>
      </c>
      <c r="H1388" t="inlineStr">
        <is>
          <t>Protocolo</t>
        </is>
      </c>
      <c r="I1388">
        <v>4</v>
      </c>
      <c r="J1388" t="inlineStr">
        <is>
          <t>Terraplenagem</t>
        </is>
      </c>
      <c r="K1388" t="inlineStr">
        <is>
          <t>4.24</t>
        </is>
      </c>
      <c r="L1388" t="inlineStr">
        <is>
          <t>PN</t>
        </is>
      </c>
      <c r="M1388" t="inlineStr">
        <is>
          <t>Dispositivo não executado</t>
        </is>
      </c>
      <c r="N1388" t="inlineStr">
        <is>
          <t xml:space="preserve">
PN no km 75+721;
Falta concluir com superestrutura CTD 113.</t>
        </is>
      </c>
      <c r="O1388" t="inlineStr">
        <is>
          <t>Tipo A</t>
        </is>
      </c>
      <c r="P1388" t="inlineStr">
        <is>
          <t>75+914,366</t>
        </is>
      </c>
      <c r="Q1388" t="inlineStr">
        <is>
          <t xml:space="preserve">78+097,701 </t>
        </is>
      </c>
      <c r="R1388" t="inlineStr">
        <is>
          <t>Aberta</t>
        </is>
      </c>
      <c r="T1388" t="inlineStr">
        <is>
          <t>Aline Batista</t>
        </is>
      </c>
      <c r="U1388" t="inlineStr">
        <is>
          <t>15/05/2026</t>
        </is>
      </c>
      <c r="V1388" t="inlineStr">
        <is>
          <t>22/05/2026</t>
        </is>
      </c>
      <c r="W1388">
        <v>19</v>
      </c>
      <c r="AA1388" t="inlineStr">
        <is>
          <t>Aberta -30 dias</t>
        </is>
      </c>
    </row>
    <row r="1389">
      <c r="A1389">
        <v>1387</v>
      </c>
      <c r="B1389">
        <v>3</v>
      </c>
      <c r="C1389" t="inlineStr">
        <is>
          <t>1.7</t>
        </is>
      </c>
      <c r="D1389" t="inlineStr">
        <is>
          <t>C09</t>
        </is>
      </c>
      <c r="E1389" t="inlineStr">
        <is>
          <t>-</t>
        </is>
      </c>
      <c r="F1389" t="inlineStr">
        <is>
          <t>APIA</t>
        </is>
      </c>
      <c r="G1389" t="inlineStr">
        <is>
          <t>CLP-018</t>
        </is>
      </c>
      <c r="H1389" t="inlineStr">
        <is>
          <t>Protocolo</t>
        </is>
      </c>
      <c r="I1389">
        <v>4</v>
      </c>
      <c r="J1389" t="inlineStr">
        <is>
          <t>Terraplenagem</t>
        </is>
      </c>
      <c r="K1389" t="inlineStr">
        <is>
          <t>4.24</t>
        </is>
      </c>
      <c r="L1389" t="inlineStr">
        <is>
          <t>PN</t>
        </is>
      </c>
      <c r="M1389" t="inlineStr">
        <is>
          <t>Dispositivo não executado</t>
        </is>
      </c>
      <c r="N1389" t="inlineStr">
        <is>
          <t xml:space="preserve">PN no km 80+671
Falta concluir com superestrutura CTD 115.</t>
        </is>
      </c>
      <c r="O1389" t="inlineStr">
        <is>
          <t>Tipo A</t>
        </is>
      </c>
      <c r="P1389" t="inlineStr">
        <is>
          <t>80+017</t>
        </is>
      </c>
      <c r="Q1389" t="inlineStr">
        <is>
          <t>80+911</t>
        </is>
      </c>
      <c r="R1389" t="inlineStr">
        <is>
          <t>Aberta</t>
        </is>
      </c>
      <c r="T1389" t="inlineStr">
        <is>
          <t>Aline Batista</t>
        </is>
      </c>
      <c r="U1389" t="inlineStr">
        <is>
          <t>15/05/2026</t>
        </is>
      </c>
      <c r="V1389" t="inlineStr">
        <is>
          <t>22/05/2026</t>
        </is>
      </c>
      <c r="W1389">
        <v>19</v>
      </c>
      <c r="AA1389" t="inlineStr">
        <is>
          <t>Aberta -30 dias</t>
        </is>
      </c>
    </row>
    <row r="1390">
      <c r="A1390">
        <v>1388</v>
      </c>
      <c r="B1390">
        <v>3</v>
      </c>
      <c r="C1390" t="inlineStr">
        <is>
          <t>1.7</t>
        </is>
      </c>
      <c r="D1390" t="inlineStr">
        <is>
          <t>A01</t>
        </is>
      </c>
      <c r="E1390" t="inlineStr">
        <is>
          <t>-</t>
        </is>
      </c>
      <c r="F1390" t="inlineStr">
        <is>
          <t>APIA</t>
        </is>
      </c>
      <c r="G1390" t="inlineStr">
        <is>
          <t>CLP-018</t>
        </is>
      </c>
      <c r="H1390" t="inlineStr">
        <is>
          <t>Protocolo</t>
        </is>
      </c>
      <c r="I1390">
        <v>4</v>
      </c>
      <c r="J1390" t="inlineStr">
        <is>
          <t>Terraplenagem</t>
        </is>
      </c>
      <c r="K1390" t="inlineStr">
        <is>
          <t>4.24</t>
        </is>
      </c>
      <c r="L1390" t="inlineStr">
        <is>
          <t>PN</t>
        </is>
      </c>
      <c r="M1390" t="inlineStr">
        <is>
          <t>Dispositivo não executado</t>
        </is>
      </c>
      <c r="N1390" t="inlineStr">
        <is>
          <t xml:space="preserve">PN no km 71+980, com acesso facilitado através da faixa de domínio. (indicados na análise de transposição)
Falta concluir com superestrutura</t>
        </is>
      </c>
      <c r="O1390" t="inlineStr">
        <is>
          <t>Tipo A</t>
        </is>
      </c>
      <c r="P1390" t="inlineStr">
        <is>
          <t>71+424,13</t>
        </is>
      </c>
      <c r="Q1390" t="inlineStr">
        <is>
          <t>72+117,508</t>
        </is>
      </c>
      <c r="R1390" t="inlineStr">
        <is>
          <t>Aberta</t>
        </is>
      </c>
      <c r="T1390" t="inlineStr">
        <is>
          <t>Aline Batista</t>
        </is>
      </c>
      <c r="U1390" t="inlineStr">
        <is>
          <t>15/05/2026</t>
        </is>
      </c>
      <c r="V1390" t="inlineStr">
        <is>
          <t>22/05/2026</t>
        </is>
      </c>
      <c r="W1390">
        <v>19</v>
      </c>
      <c r="AA1390" t="inlineStr">
        <is>
          <t>Aberta -30 dias</t>
        </is>
      </c>
    </row>
    <row r="1391">
      <c r="A1391">
        <v>1389</v>
      </c>
      <c r="B1391">
        <v>3</v>
      </c>
      <c r="C1391" t="inlineStr">
        <is>
          <t>1.7</t>
        </is>
      </c>
      <c r="D1391" t="inlineStr">
        <is>
          <t>C01</t>
        </is>
      </c>
      <c r="E1391" t="inlineStr">
        <is>
          <t>-</t>
        </is>
      </c>
      <c r="F1391" t="inlineStr">
        <is>
          <t>APIA</t>
        </is>
      </c>
      <c r="G1391" t="inlineStr">
        <is>
          <t>CLP-018</t>
        </is>
      </c>
      <c r="H1391" t="inlineStr">
        <is>
          <t>Protocolo</t>
        </is>
      </c>
      <c r="I1391">
        <v>4</v>
      </c>
      <c r="J1391" t="inlineStr">
        <is>
          <t>Terraplenagem</t>
        </is>
      </c>
      <c r="K1391" t="inlineStr">
        <is>
          <t>4.24</t>
        </is>
      </c>
      <c r="L1391" t="inlineStr">
        <is>
          <t>PN</t>
        </is>
      </c>
      <c r="M1391" t="inlineStr">
        <is>
          <t>Dispositivo não executado</t>
        </is>
      </c>
      <c r="N1391" t="inlineStr">
        <is>
          <t xml:space="preserve">Proximidade de projeção de passagem em nível (PN) em projeto, junto ao Km 71+980 (indicada na análise de transposição).
Falta concluir com superestrutura</t>
        </is>
      </c>
      <c r="O1391" t="inlineStr">
        <is>
          <t>Tipo A</t>
        </is>
      </c>
      <c r="P1391" t="inlineStr">
        <is>
          <t>72+117,51</t>
        </is>
      </c>
      <c r="Q1391" t="inlineStr">
        <is>
          <t>72+319,39</t>
        </is>
      </c>
      <c r="R1391" t="inlineStr">
        <is>
          <t>Aberta</t>
        </is>
      </c>
      <c r="T1391" t="inlineStr">
        <is>
          <t>Aline Batista</t>
        </is>
      </c>
      <c r="U1391" t="inlineStr">
        <is>
          <t>15/05/2026</t>
        </is>
      </c>
      <c r="V1391" t="inlineStr">
        <is>
          <t>22/05/2026</t>
        </is>
      </c>
      <c r="W1391">
        <v>19</v>
      </c>
      <c r="AA1391" t="inlineStr">
        <is>
          <t>Aberta -30 dias</t>
        </is>
      </c>
    </row>
    <row r="1392">
      <c r="A1392">
        <v>1390</v>
      </c>
      <c r="B1392">
        <v>3</v>
      </c>
      <c r="C1392" t="inlineStr">
        <is>
          <t>1.7</t>
        </is>
      </c>
      <c r="D1392" t="inlineStr">
        <is>
          <t>A02</t>
        </is>
      </c>
      <c r="E1392" t="inlineStr">
        <is>
          <t>-</t>
        </is>
      </c>
      <c r="F1392" t="inlineStr">
        <is>
          <t>APIA</t>
        </is>
      </c>
      <c r="G1392" t="inlineStr">
        <is>
          <t>CLP-018</t>
        </is>
      </c>
      <c r="H1392" t="inlineStr">
        <is>
          <t>Protocolo</t>
        </is>
      </c>
      <c r="I1392">
        <v>4</v>
      </c>
      <c r="J1392" t="inlineStr">
        <is>
          <t>Terraplenagem</t>
        </is>
      </c>
      <c r="K1392" t="inlineStr">
        <is>
          <t>4.24</t>
        </is>
      </c>
      <c r="L1392" t="inlineStr">
        <is>
          <t>PN</t>
        </is>
      </c>
      <c r="M1392" t="inlineStr">
        <is>
          <t>Dispositivo não executado</t>
        </is>
      </c>
      <c r="N1392" t="inlineStr">
        <is>
          <t xml:space="preserve">Proximidade de projeção de passagem em nível (PN) em projeto, junto ao Km 71+980 (indicada na análise de transposição).
Falta concluir com superestrutura</t>
        </is>
      </c>
      <c r="O1392" t="inlineStr">
        <is>
          <t>Tipo A</t>
        </is>
      </c>
      <c r="P1392" t="inlineStr">
        <is>
          <t>72+319,39</t>
        </is>
      </c>
      <c r="Q1392" t="inlineStr">
        <is>
          <t>72+442,320</t>
        </is>
      </c>
      <c r="R1392" t="inlineStr">
        <is>
          <t>Aberta</t>
        </is>
      </c>
      <c r="T1392" t="inlineStr">
        <is>
          <t>Aline Batista</t>
        </is>
      </c>
      <c r="U1392" t="inlineStr">
        <is>
          <t>15/05/2026</t>
        </is>
      </c>
      <c r="V1392" t="inlineStr">
        <is>
          <t>22/05/2026</t>
        </is>
      </c>
      <c r="W1392">
        <v>19</v>
      </c>
      <c r="AA1392" t="inlineStr">
        <is>
          <t>Aberta -30 dias</t>
        </is>
      </c>
    </row>
    <row r="1393">
      <c r="A1393">
        <v>1391</v>
      </c>
      <c r="B1393">
        <v>3</v>
      </c>
      <c r="C1393" t="inlineStr">
        <is>
          <t>1.7</t>
        </is>
      </c>
      <c r="D1393" t="inlineStr">
        <is>
          <t>C02</t>
        </is>
      </c>
      <c r="E1393" t="inlineStr">
        <is>
          <t>-</t>
        </is>
      </c>
      <c r="F1393" t="inlineStr">
        <is>
          <t>APIA</t>
        </is>
      </c>
      <c r="G1393" t="inlineStr">
        <is>
          <t>CLP-018</t>
        </is>
      </c>
      <c r="H1393" t="inlineStr">
        <is>
          <t>Protocolo</t>
        </is>
      </c>
      <c r="I1393">
        <v>4</v>
      </c>
      <c r="J1393" t="inlineStr">
        <is>
          <t>Terraplenagem</t>
        </is>
      </c>
      <c r="K1393" t="inlineStr">
        <is>
          <t>4.24</t>
        </is>
      </c>
      <c r="L1393" t="inlineStr">
        <is>
          <t>PN</t>
        </is>
      </c>
      <c r="M1393" t="inlineStr">
        <is>
          <t>Dispositivo não executado</t>
        </is>
      </c>
      <c r="N1393" t="inlineStr">
        <is>
          <t xml:space="preserve">Proximidade de projeção de passagem em nível (PN) em projeto, junto ao Km 71+980 (indicada na análise de transposição).
Falta concluir com superestrutura</t>
        </is>
      </c>
      <c r="O1393" t="inlineStr">
        <is>
          <t>Tipo A</t>
        </is>
      </c>
      <c r="P1393" t="inlineStr">
        <is>
          <t>72+688,63</t>
        </is>
      </c>
      <c r="Q1393" t="inlineStr">
        <is>
          <t>73+8284</t>
        </is>
      </c>
      <c r="R1393" t="inlineStr">
        <is>
          <t>Aberta</t>
        </is>
      </c>
      <c r="T1393" t="inlineStr">
        <is>
          <t>Aline Batista</t>
        </is>
      </c>
      <c r="U1393" t="inlineStr">
        <is>
          <t>15/05/2026</t>
        </is>
      </c>
      <c r="V1393" t="inlineStr">
        <is>
          <t>22/05/2026</t>
        </is>
      </c>
      <c r="W1393">
        <v>19</v>
      </c>
      <c r="AA1393" t="inlineStr">
        <is>
          <t>Aberta -30 dias</t>
        </is>
      </c>
    </row>
    <row r="1394">
      <c r="A1394">
        <v>1392</v>
      </c>
      <c r="B1394">
        <v>3</v>
      </c>
      <c r="C1394" t="inlineStr">
        <is>
          <t>1.7</t>
        </is>
      </c>
      <c r="D1394" t="inlineStr">
        <is>
          <t>C02</t>
        </is>
      </c>
      <c r="E1394" t="inlineStr">
        <is>
          <t>-</t>
        </is>
      </c>
      <c r="F1394" t="inlineStr">
        <is>
          <t>APIA</t>
        </is>
      </c>
      <c r="G1394" t="inlineStr">
        <is>
          <t>CLP-018</t>
        </is>
      </c>
      <c r="H1394" t="inlineStr">
        <is>
          <t>Protocolo</t>
        </is>
      </c>
      <c r="I1394">
        <v>4</v>
      </c>
      <c r="J1394" t="inlineStr">
        <is>
          <t>Terraplenagem</t>
        </is>
      </c>
      <c r="K1394" t="inlineStr">
        <is>
          <t>4.24</t>
        </is>
      </c>
      <c r="L1394" t="inlineStr">
        <is>
          <t>PN</t>
        </is>
      </c>
      <c r="M1394" t="inlineStr">
        <is>
          <t>Dispositivo não executado</t>
        </is>
      </c>
      <c r="N1394" t="inlineStr">
        <is>
          <t xml:space="preserve">Proximidade de projeção de passagem em nível (PN) em projeto, junto ao Km 71+980 (indicada na análise de transposição).
Falta concluir com superestrutura</t>
        </is>
      </c>
      <c r="O1394" t="inlineStr">
        <is>
          <t>Tipo A</t>
        </is>
      </c>
      <c r="P1394" t="inlineStr">
        <is>
          <t>73+082,838</t>
        </is>
      </c>
      <c r="Q1394" t="inlineStr">
        <is>
          <t>73+312,531</t>
        </is>
      </c>
      <c r="R1394" t="inlineStr">
        <is>
          <t>Aberta</t>
        </is>
      </c>
      <c r="T1394" t="inlineStr">
        <is>
          <t>Aline Batista</t>
        </is>
      </c>
      <c r="U1394" t="inlineStr">
        <is>
          <t>15/05/2026</t>
        </is>
      </c>
      <c r="V1394" t="inlineStr">
        <is>
          <t>22/05/2026</t>
        </is>
      </c>
      <c r="W1394">
        <v>19</v>
      </c>
      <c r="AA1394" t="inlineStr">
        <is>
          <t>Aberta -30 dias</t>
        </is>
      </c>
    </row>
    <row r="1395">
      <c r="A1395">
        <v>1393</v>
      </c>
      <c r="B1395">
        <v>3</v>
      </c>
      <c r="C1395" t="inlineStr">
        <is>
          <t>1.7</t>
        </is>
      </c>
      <c r="D1395" t="inlineStr">
        <is>
          <t>A03</t>
        </is>
      </c>
      <c r="E1395" t="inlineStr">
        <is>
          <t>-</t>
        </is>
      </c>
      <c r="F1395" t="inlineStr">
        <is>
          <t>APIA</t>
        </is>
      </c>
      <c r="G1395" t="inlineStr">
        <is>
          <t>CLP-018</t>
        </is>
      </c>
      <c r="H1395" t="inlineStr">
        <is>
          <t>Protocolo</t>
        </is>
      </c>
      <c r="I1395">
        <v>4</v>
      </c>
      <c r="J1395" t="inlineStr">
        <is>
          <t>Terraplenagem</t>
        </is>
      </c>
      <c r="K1395" t="inlineStr">
        <is>
          <t>4.24</t>
        </is>
      </c>
      <c r="L1395" t="inlineStr">
        <is>
          <t>PN</t>
        </is>
      </c>
      <c r="M1395" t="inlineStr">
        <is>
          <t>Dispositivo não executado</t>
        </is>
      </c>
      <c r="N1395" t="inlineStr">
        <is>
          <t xml:space="preserve"> 1 PN no Km 71+979,610 (indicados na Análise de Transposição).
Falta concluir com superestrutura</t>
        </is>
      </c>
      <c r="O1395" t="inlineStr">
        <is>
          <t>Tipo A</t>
        </is>
      </c>
      <c r="P1395" t="inlineStr">
        <is>
          <t>73+312,531</t>
        </is>
      </c>
      <c r="Q1395" t="inlineStr">
        <is>
          <t>73+962,608</t>
        </is>
      </c>
      <c r="R1395" t="inlineStr">
        <is>
          <t>Aberta</t>
        </is>
      </c>
      <c r="T1395" t="inlineStr">
        <is>
          <t>Aline Batista</t>
        </is>
      </c>
      <c r="U1395" t="inlineStr">
        <is>
          <t>15/05/2026</t>
        </is>
      </c>
      <c r="V1395" t="inlineStr">
        <is>
          <t>22/05/2026</t>
        </is>
      </c>
      <c r="W1395">
        <v>19</v>
      </c>
      <c r="AA1395" t="inlineStr">
        <is>
          <t>Aberta -30 dias</t>
        </is>
      </c>
    </row>
    <row r="1396">
      <c r="A1396">
        <v>1394</v>
      </c>
      <c r="B1396">
        <v>3</v>
      </c>
      <c r="C1396" t="inlineStr">
        <is>
          <t>1.7</t>
        </is>
      </c>
      <c r="D1396" t="inlineStr">
        <is>
          <t>A03</t>
        </is>
      </c>
      <c r="E1396" t="inlineStr">
        <is>
          <t>-</t>
        </is>
      </c>
      <c r="F1396" t="inlineStr">
        <is>
          <t>APIA</t>
        </is>
      </c>
      <c r="G1396" t="inlineStr">
        <is>
          <t>CLP-018</t>
        </is>
      </c>
      <c r="H1396" t="inlineStr">
        <is>
          <t>Protocolo</t>
        </is>
      </c>
      <c r="I1396">
        <v>4</v>
      </c>
      <c r="J1396" t="inlineStr">
        <is>
          <t>Terraplenagem</t>
        </is>
      </c>
      <c r="K1396" t="inlineStr">
        <is>
          <t>4.26</t>
        </is>
      </c>
      <c r="L1396" t="inlineStr">
        <is>
          <t>As Built</t>
        </is>
      </c>
      <c r="M1396" t="inlineStr">
        <is>
          <t>Documental</t>
        </is>
      </c>
      <c r="N1396" t="inlineStr">
        <is>
          <t xml:space="preserve">Pendente aprovação da documentação. </t>
        </is>
      </c>
      <c r="O1396" t="inlineStr">
        <is>
          <t>Tipo B</t>
        </is>
      </c>
      <c r="P1396" t="inlineStr">
        <is>
          <t>73+800</t>
        </is>
      </c>
      <c r="Q1396">
        <v>80160</v>
      </c>
      <c r="R1396" t="inlineStr">
        <is>
          <t>Aberta</t>
        </is>
      </c>
      <c r="T1396" t="inlineStr">
        <is>
          <t>Aline Batista</t>
        </is>
      </c>
      <c r="U1396" t="inlineStr">
        <is>
          <t>15/05/2026</t>
        </is>
      </c>
      <c r="V1396" t="inlineStr">
        <is>
          <t>30/05/2026</t>
        </is>
      </c>
      <c r="W1396">
        <v>11</v>
      </c>
      <c r="AA1396" t="inlineStr">
        <is>
          <t>Aberta -30 dias</t>
        </is>
      </c>
    </row>
    <row r="1397">
      <c r="A1397">
        <v>1395</v>
      </c>
      <c r="B1397">
        <v>3</v>
      </c>
      <c r="C1397" t="inlineStr">
        <is>
          <t>1.7</t>
        </is>
      </c>
      <c r="D1397" t="inlineStr">
        <is>
          <t>A03</t>
        </is>
      </c>
      <c r="E1397" t="inlineStr">
        <is>
          <t>-</t>
        </is>
      </c>
      <c r="F1397" t="inlineStr">
        <is>
          <t>APIA</t>
        </is>
      </c>
      <c r="G1397" t="inlineStr">
        <is>
          <t>CLP-018</t>
        </is>
      </c>
      <c r="H1397" t="inlineStr">
        <is>
          <t>Protocolo</t>
        </is>
      </c>
      <c r="I1397">
        <v>4</v>
      </c>
      <c r="J1397" t="inlineStr">
        <is>
          <t>Terraplenagem</t>
        </is>
      </c>
      <c r="K1397" t="inlineStr">
        <is>
          <t>4.28</t>
        </is>
      </c>
      <c r="L1397" t="inlineStr">
        <is>
          <t>RNC</t>
        </is>
      </c>
      <c r="M1397" t="inlineStr">
        <is>
          <t>Documental</t>
        </is>
      </c>
      <c r="N1397" t="inlineStr">
        <is>
          <t xml:space="preserve">Constam em aberto os registros RNC-02916/25
RNC-09968/25 
RNC-L0354-003037</t>
        </is>
      </c>
      <c r="O1397" t="inlineStr">
        <is>
          <t>Tipo B</t>
        </is>
      </c>
      <c r="P1397" t="inlineStr">
        <is>
          <t>73+800</t>
        </is>
      </c>
      <c r="Q1397">
        <v>80160</v>
      </c>
      <c r="R1397" t="inlineStr">
        <is>
          <t>Aberta</t>
        </is>
      </c>
      <c r="T1397" t="inlineStr">
        <is>
          <t>Aline Batista</t>
        </is>
      </c>
      <c r="U1397" t="inlineStr">
        <is>
          <t>15/05/2026</t>
        </is>
      </c>
      <c r="V1397" t="inlineStr">
        <is>
          <t>30/05/2026</t>
        </is>
      </c>
      <c r="W1397">
        <v>11</v>
      </c>
      <c r="AA1397" t="inlineStr">
        <is>
          <t>Aberta -30 dias</t>
        </is>
      </c>
    </row>
    <row r="1398">
      <c r="A1398">
        <v>1396</v>
      </c>
      <c r="B1398">
        <v>3</v>
      </c>
      <c r="C1398" t="inlineStr">
        <is>
          <t>1.7</t>
        </is>
      </c>
      <c r="D1398" t="inlineStr">
        <is>
          <t>C05</t>
        </is>
      </c>
      <c r="E1398" t="inlineStr">
        <is>
          <t>LD/LE</t>
        </is>
      </c>
      <c r="F1398" t="inlineStr">
        <is>
          <t>APIA</t>
        </is>
      </c>
      <c r="G1398" t="inlineStr">
        <is>
          <t>CLP-018</t>
        </is>
      </c>
      <c r="H1398" t="inlineStr">
        <is>
          <t>Protocolo</t>
        </is>
      </c>
      <c r="I1398">
        <v>4</v>
      </c>
      <c r="J1398" t="inlineStr">
        <is>
          <t>Terraplenagem</t>
        </is>
      </c>
      <c r="K1398" t="inlineStr">
        <is>
          <t>4.29</t>
        </is>
      </c>
      <c r="L1398" t="inlineStr">
        <is>
          <t>Plataforma</t>
        </is>
      </c>
      <c r="M1398" t="inlineStr">
        <is>
          <t>Acúmulo de água</t>
        </is>
      </c>
      <c r="N1398" t="inlineStr">
        <is>
          <t>Constata-se acúmulo de água na plataforma, em decorrência de caimento inadequado, sem direcionamento do fluxo para a sarjeta de corte. É necessária a regularização do caimento para garantir o escoamento adequado.</t>
        </is>
      </c>
      <c r="O1398" t="inlineStr">
        <is>
          <t>Tipo A</t>
        </is>
      </c>
      <c r="P1398" t="inlineStr">
        <is>
          <t xml:space="preserve">76+300 </t>
        </is>
      </c>
      <c r="Q1398" t="inlineStr">
        <is>
          <t>76+500</t>
        </is>
      </c>
      <c r="R1398" t="inlineStr">
        <is>
          <t>Aberta</t>
        </is>
      </c>
      <c r="T1398" t="inlineStr">
        <is>
          <t>Aline Batista</t>
        </is>
      </c>
      <c r="U1398" t="inlineStr">
        <is>
          <t>15/05/2026</t>
        </is>
      </c>
      <c r="V1398" t="inlineStr">
        <is>
          <t>22/05/2026</t>
        </is>
      </c>
      <c r="W1398">
        <v>19</v>
      </c>
      <c r="AA1398" t="inlineStr">
        <is>
          <t>Aberta -30 dias</t>
        </is>
      </c>
    </row>
    <row r="1399">
      <c r="A1399">
        <v>1397</v>
      </c>
      <c r="B1399">
        <v>3</v>
      </c>
      <c r="C1399" t="inlineStr">
        <is>
          <t>1.7</t>
        </is>
      </c>
      <c r="D1399" t="inlineStr">
        <is>
          <t>C06</t>
        </is>
      </c>
      <c r="E1399" t="inlineStr">
        <is>
          <t>LE</t>
        </is>
      </c>
      <c r="F1399" t="inlineStr">
        <is>
          <t>APIA</t>
        </is>
      </c>
      <c r="G1399" t="inlineStr">
        <is>
          <t>CLP-018</t>
        </is>
      </c>
      <c r="H1399" t="inlineStr">
        <is>
          <t>Protocolo</t>
        </is>
      </c>
      <c r="I1399">
        <v>4</v>
      </c>
      <c r="J1399" t="inlineStr">
        <is>
          <t>Terraplenagem</t>
        </is>
      </c>
      <c r="K1399" t="inlineStr">
        <is>
          <t>4.29</t>
        </is>
      </c>
      <c r="L1399" t="inlineStr">
        <is>
          <t>Plataforma</t>
        </is>
      </c>
      <c r="M1399" t="inlineStr">
        <is>
          <t>Acúmulo de água</t>
        </is>
      </c>
      <c r="N1399" t="inlineStr">
        <is>
          <t>Constata-se acúmulo de água na plataforma, em decorrência de caimento inadequado, sem direcionamento do fluxo para a sarjeta de corte. É necessária a regularização do caimento para garantir o escoamento adequado.</t>
        </is>
      </c>
      <c r="O1399" t="inlineStr">
        <is>
          <t>Tipo A</t>
        </is>
      </c>
      <c r="P1399" t="inlineStr">
        <is>
          <t>76+820</t>
        </is>
      </c>
      <c r="Q1399" t="inlineStr">
        <is>
          <t>77+560</t>
        </is>
      </c>
      <c r="R1399" t="inlineStr">
        <is>
          <t>Aberta</t>
        </is>
      </c>
      <c r="T1399" t="inlineStr">
        <is>
          <t>Aline Batista</t>
        </is>
      </c>
      <c r="U1399" t="inlineStr">
        <is>
          <t>15/05/2026</t>
        </is>
      </c>
      <c r="V1399" t="inlineStr">
        <is>
          <t>22/05/2026</t>
        </is>
      </c>
      <c r="W1399">
        <v>19</v>
      </c>
      <c r="AA1399" t="inlineStr">
        <is>
          <t>Aberta -30 dias</t>
        </is>
      </c>
    </row>
    <row r="1400">
      <c r="A1400">
        <v>1398</v>
      </c>
      <c r="B1400">
        <v>3</v>
      </c>
      <c r="C1400" t="inlineStr">
        <is>
          <t>1.7</t>
        </is>
      </c>
      <c r="D1400" t="inlineStr">
        <is>
          <t>A04</t>
        </is>
      </c>
      <c r="E1400" t="inlineStr">
        <is>
          <t>LE</t>
        </is>
      </c>
      <c r="F1400" t="inlineStr">
        <is>
          <t>APIA</t>
        </is>
      </c>
      <c r="G1400" t="inlineStr">
        <is>
          <t>CLP-018</t>
        </is>
      </c>
      <c r="H1400" t="inlineStr">
        <is>
          <t>Protocolo</t>
        </is>
      </c>
      <c r="I1400">
        <v>4</v>
      </c>
      <c r="J1400" t="inlineStr">
        <is>
          <t>Terraplenagem</t>
        </is>
      </c>
      <c r="K1400" t="inlineStr">
        <is>
          <t>4.29</t>
        </is>
      </c>
      <c r="L1400" t="inlineStr">
        <is>
          <t>Talude</t>
        </is>
      </c>
      <c r="M1400" t="inlineStr">
        <is>
          <t>Inclinação</t>
        </is>
      </c>
      <c r="N1400" t="inlineStr">
        <is>
          <t>Ajustar inclinação e conformação do talude entre sublastro e canaleta.</t>
        </is>
      </c>
      <c r="O1400" t="inlineStr">
        <is>
          <t>Tipo A</t>
        </is>
      </c>
      <c r="P1400" t="inlineStr">
        <is>
          <t>75+120</t>
        </is>
      </c>
      <c r="Q1400">
        <v>75120</v>
      </c>
      <c r="R1400" t="inlineStr">
        <is>
          <t>Aberta</t>
        </is>
      </c>
      <c r="T1400" t="inlineStr">
        <is>
          <t>Aline Batista</t>
        </is>
      </c>
      <c r="U1400" t="inlineStr">
        <is>
          <t>15/05/2026</t>
        </is>
      </c>
      <c r="V1400" t="inlineStr">
        <is>
          <t>22/05/2026</t>
        </is>
      </c>
      <c r="W1400">
        <v>19</v>
      </c>
      <c r="AA1400" t="inlineStr">
        <is>
          <t>Aberta -30 dias</t>
        </is>
      </c>
    </row>
    <row r="1401">
      <c r="A1401">
        <v>1399</v>
      </c>
      <c r="B1401">
        <v>3</v>
      </c>
      <c r="C1401" t="inlineStr">
        <is>
          <t>1.7</t>
        </is>
      </c>
      <c r="D1401" t="inlineStr">
        <is>
          <t>C05</t>
        </is>
      </c>
      <c r="E1401" t="inlineStr">
        <is>
          <t>LD/LE</t>
        </is>
      </c>
      <c r="F1401" t="inlineStr">
        <is>
          <t>APIA</t>
        </is>
      </c>
      <c r="G1401" t="inlineStr">
        <is>
          <t>CLP-018</t>
        </is>
      </c>
      <c r="H1401" t="inlineStr">
        <is>
          <t>Protocolo</t>
        </is>
      </c>
      <c r="I1401">
        <v>4</v>
      </c>
      <c r="J1401" t="inlineStr">
        <is>
          <t>Terraplenagem</t>
        </is>
      </c>
      <c r="K1401" t="inlineStr">
        <is>
          <t>4.29</t>
        </is>
      </c>
      <c r="L1401" t="inlineStr">
        <is>
          <t>Talude</t>
        </is>
      </c>
      <c r="M1401" t="inlineStr">
        <is>
          <t>Inclinação</t>
        </is>
      </c>
      <c r="N1401" t="inlineStr">
        <is>
          <t>Ajustar inclinação e conformação do talude entre sublastro e canaleta.</t>
        </is>
      </c>
      <c r="O1401" t="inlineStr">
        <is>
          <t>Tipo A</t>
        </is>
      </c>
      <c r="P1401" t="inlineStr">
        <is>
          <t>76+280</t>
        </is>
      </c>
      <c r="Q1401">
        <v>76280</v>
      </c>
      <c r="R1401" t="inlineStr">
        <is>
          <t>Aberta</t>
        </is>
      </c>
      <c r="T1401" t="inlineStr">
        <is>
          <t>Aline Batista</t>
        </is>
      </c>
      <c r="U1401" t="inlineStr">
        <is>
          <t>15/05/2026</t>
        </is>
      </c>
      <c r="V1401" t="inlineStr">
        <is>
          <t>22/05/2026</t>
        </is>
      </c>
      <c r="W1401">
        <v>19</v>
      </c>
      <c r="AA1401" t="inlineStr">
        <is>
          <t>Aberta -30 dias</t>
        </is>
      </c>
    </row>
    <row r="1402">
      <c r="A1402">
        <v>1400</v>
      </c>
      <c r="B1402">
        <v>3</v>
      </c>
      <c r="C1402" t="inlineStr">
        <is>
          <t>1.7</t>
        </is>
      </c>
      <c r="D1402" t="inlineStr">
        <is>
          <t>A04</t>
        </is>
      </c>
      <c r="E1402" t="inlineStr">
        <is>
          <t>LD</t>
        </is>
      </c>
      <c r="F1402" t="inlineStr">
        <is>
          <t>APIA</t>
        </is>
      </c>
      <c r="G1402" t="inlineStr">
        <is>
          <t>CLP-018</t>
        </is>
      </c>
      <c r="H1402" t="inlineStr">
        <is>
          <t>Protocolo</t>
        </is>
      </c>
      <c r="I1402">
        <v>4</v>
      </c>
      <c r="J1402" t="inlineStr">
        <is>
          <t>Terraplenagem</t>
        </is>
      </c>
      <c r="K1402" t="inlineStr">
        <is>
          <t>4.32</t>
        </is>
      </c>
      <c r="L1402" t="inlineStr">
        <is>
          <t>Plataforma</t>
        </is>
      </c>
      <c r="M1402" t="inlineStr">
        <is>
          <t>Limpeza/ remoção de material</t>
        </is>
      </c>
      <c r="N1402" t="inlineStr">
        <is>
          <t>Resíduos de obra.</t>
        </is>
      </c>
      <c r="O1402" t="inlineStr">
        <is>
          <t>Tipo C</t>
        </is>
      </c>
      <c r="P1402" t="inlineStr">
        <is>
          <t>75+100</t>
        </is>
      </c>
      <c r="Q1402">
        <v>75100</v>
      </c>
      <c r="R1402" t="inlineStr">
        <is>
          <t>Aberta</t>
        </is>
      </c>
      <c r="T1402" t="inlineStr">
        <is>
          <t>Aline Batista</t>
        </is>
      </c>
      <c r="U1402" t="inlineStr">
        <is>
          <t>15/05/2026</t>
        </is>
      </c>
      <c r="V1402" t="inlineStr">
        <is>
          <t>14/06/2026</t>
        </is>
      </c>
      <c r="W1402">
        <v>-4</v>
      </c>
      <c r="AA1402" t="inlineStr">
        <is>
          <t>Aberta -30 dias</t>
        </is>
      </c>
    </row>
    <row r="1403">
      <c r="A1403">
        <v>1401</v>
      </c>
      <c r="B1403">
        <v>3</v>
      </c>
      <c r="C1403" t="inlineStr">
        <is>
          <t>1.7</t>
        </is>
      </c>
      <c r="D1403" t="inlineStr">
        <is>
          <t>A04</t>
        </is>
      </c>
      <c r="E1403" t="inlineStr">
        <is>
          <t>LE</t>
        </is>
      </c>
      <c r="F1403" t="inlineStr">
        <is>
          <t>APIA</t>
        </is>
      </c>
      <c r="G1403" t="inlineStr">
        <is>
          <t>CLP-018</t>
        </is>
      </c>
      <c r="H1403" t="inlineStr">
        <is>
          <t>Protocolo</t>
        </is>
      </c>
      <c r="I1403">
        <v>4</v>
      </c>
      <c r="J1403" t="inlineStr">
        <is>
          <t>Terraplenagem</t>
        </is>
      </c>
      <c r="K1403" t="inlineStr">
        <is>
          <t>4.32</t>
        </is>
      </c>
      <c r="L1403" t="inlineStr">
        <is>
          <t>Drenagem</t>
        </is>
      </c>
      <c r="M1403" t="inlineStr">
        <is>
          <t>Limpeza/ remoção de material</t>
        </is>
      </c>
      <c r="N1403" t="inlineStr">
        <is>
          <t>Resíduos de obra.</t>
        </is>
      </c>
      <c r="O1403" t="inlineStr">
        <is>
          <t>Tipo C</t>
        </is>
      </c>
      <c r="P1403" t="inlineStr">
        <is>
          <t>75+950</t>
        </is>
      </c>
      <c r="Q1403">
        <v>75950</v>
      </c>
      <c r="R1403" t="inlineStr">
        <is>
          <t>Aberta</t>
        </is>
      </c>
      <c r="T1403" t="inlineStr">
        <is>
          <t>Aline Batista</t>
        </is>
      </c>
      <c r="U1403" t="inlineStr">
        <is>
          <t>15/05/2026</t>
        </is>
      </c>
      <c r="V1403" t="inlineStr">
        <is>
          <t>14/06/2026</t>
        </is>
      </c>
      <c r="W1403">
        <v>-4</v>
      </c>
      <c r="AA1403" t="inlineStr">
        <is>
          <t>Aberta -30 dias</t>
        </is>
      </c>
    </row>
    <row r="1404">
      <c r="A1404">
        <v>1402</v>
      </c>
      <c r="B1404">
        <v>3</v>
      </c>
      <c r="C1404" t="inlineStr">
        <is>
          <t>1.7</t>
        </is>
      </c>
      <c r="D1404" t="inlineStr">
        <is>
          <t>C09</t>
        </is>
      </c>
      <c r="E1404" t="inlineStr">
        <is>
          <t>LE</t>
        </is>
      </c>
      <c r="F1404" t="inlineStr">
        <is>
          <t>APIA</t>
        </is>
      </c>
      <c r="G1404" t="inlineStr">
        <is>
          <t>CLP-018</t>
        </is>
      </c>
      <c r="H1404" t="inlineStr">
        <is>
          <t>Protocolo</t>
        </is>
      </c>
      <c r="I1404">
        <v>4</v>
      </c>
      <c r="J1404" t="inlineStr">
        <is>
          <t>Terraplenagem</t>
        </is>
      </c>
      <c r="K1404" t="inlineStr">
        <is>
          <t>4.32</t>
        </is>
      </c>
      <c r="L1404" t="inlineStr">
        <is>
          <t>Drenagem</t>
        </is>
      </c>
      <c r="M1404" t="inlineStr">
        <is>
          <t>Limpeza/ remoção de material</t>
        </is>
      </c>
      <c r="N1404" t="inlineStr">
        <is>
          <t>Resídios de obra.</t>
        </is>
      </c>
      <c r="O1404" t="inlineStr">
        <is>
          <t>Tipo C</t>
        </is>
      </c>
      <c r="P1404" t="inlineStr">
        <is>
          <t>79+900</t>
        </is>
      </c>
      <c r="Q1404">
        <v>79900</v>
      </c>
      <c r="R1404" t="inlineStr">
        <is>
          <t>Aberta</t>
        </is>
      </c>
      <c r="T1404" t="inlineStr">
        <is>
          <t>Aline Batista</t>
        </is>
      </c>
      <c r="U1404" t="inlineStr">
        <is>
          <t>15/05/2026</t>
        </is>
      </c>
      <c r="V1404" t="inlineStr">
        <is>
          <t>14/06/2026</t>
        </is>
      </c>
      <c r="W1404">
        <v>-4</v>
      </c>
      <c r="AA1404" t="inlineStr">
        <is>
          <t>Aberta -30 dias</t>
        </is>
      </c>
    </row>
    <row r="1405">
      <c r="A1405">
        <v>1403</v>
      </c>
      <c r="B1405">
        <v>3</v>
      </c>
      <c r="C1405" t="inlineStr">
        <is>
          <t>1.7</t>
        </is>
      </c>
      <c r="D1405" t="inlineStr">
        <is>
          <t>A04</t>
        </is>
      </c>
      <c r="E1405" t="inlineStr">
        <is>
          <t>LD/LE</t>
        </is>
      </c>
      <c r="F1405" t="inlineStr">
        <is>
          <t>APIA</t>
        </is>
      </c>
      <c r="G1405" t="inlineStr">
        <is>
          <t>CLP-018</t>
        </is>
      </c>
      <c r="H1405" t="inlineStr">
        <is>
          <t>Protocolo</t>
        </is>
      </c>
      <c r="I1405">
        <v>4</v>
      </c>
      <c r="J1405" t="inlineStr">
        <is>
          <t>Terraplenagem</t>
        </is>
      </c>
      <c r="K1405" t="inlineStr">
        <is>
          <t>4.32</t>
        </is>
      </c>
      <c r="L1405" t="inlineStr">
        <is>
          <t>Plataforma</t>
        </is>
      </c>
      <c r="M1405" t="inlineStr">
        <is>
          <t>Limpeza/ remoção de material</t>
        </is>
      </c>
      <c r="N1405" t="inlineStr">
        <is>
          <t xml:space="preserve">Presença de aços na plataforma, necessitando a retirada. </t>
        </is>
      </c>
      <c r="O1405" t="inlineStr">
        <is>
          <t>Tipo A</t>
        </is>
      </c>
      <c r="P1405" t="inlineStr">
        <is>
          <t>77+800</t>
        </is>
      </c>
      <c r="Q1405">
        <v>80000</v>
      </c>
      <c r="R1405" t="inlineStr">
        <is>
          <t>Aberta</t>
        </is>
      </c>
      <c r="T1405" t="inlineStr">
        <is>
          <t>Aline Batista</t>
        </is>
      </c>
      <c r="U1405" t="inlineStr">
        <is>
          <t>15/05/2026</t>
        </is>
      </c>
      <c r="V1405" t="inlineStr">
        <is>
          <t>22/05/2026</t>
        </is>
      </c>
      <c r="W1405">
        <v>19</v>
      </c>
      <c r="AA1405" t="inlineStr">
        <is>
          <t>Aberta -30 dias</t>
        </is>
      </c>
    </row>
    <row r="1406">
      <c r="A1406">
        <v>1404</v>
      </c>
      <c r="B1406">
        <v>3</v>
      </c>
      <c r="C1406" t="inlineStr">
        <is>
          <t>1.7</t>
        </is>
      </c>
      <c r="D1406" t="inlineStr">
        <is>
          <t>A04</t>
        </is>
      </c>
      <c r="E1406" t="inlineStr">
        <is>
          <t>LE</t>
        </is>
      </c>
      <c r="F1406" t="inlineStr">
        <is>
          <t>APIA</t>
        </is>
      </c>
      <c r="G1406" t="inlineStr">
        <is>
          <t>CLP-018</t>
        </is>
      </c>
      <c r="H1406" t="inlineStr">
        <is>
          <t>Protocolo</t>
        </is>
      </c>
      <c r="I1406">
        <v>4</v>
      </c>
      <c r="J1406" t="inlineStr">
        <is>
          <t>Terraplenagem</t>
        </is>
      </c>
      <c r="K1406" t="inlineStr">
        <is>
          <t>4.32</t>
        </is>
      </c>
      <c r="L1406" t="inlineStr">
        <is>
          <t>Drenagem</t>
        </is>
      </c>
      <c r="M1406" t="inlineStr">
        <is>
          <t>Limpeza/ remoção de material</t>
        </is>
      </c>
      <c r="N1406" t="inlineStr">
        <is>
          <t xml:space="preserve">Resíduos de obra </t>
        </is>
      </c>
      <c r="O1406" t="inlineStr">
        <is>
          <t>Tipo A</t>
        </is>
      </c>
      <c r="P1406" t="inlineStr">
        <is>
          <t>76+210</t>
        </is>
      </c>
      <c r="Q1406">
        <v>76210</v>
      </c>
      <c r="R1406" t="inlineStr">
        <is>
          <t>Aberta</t>
        </is>
      </c>
      <c r="T1406" t="inlineStr">
        <is>
          <t>Aline Batista</t>
        </is>
      </c>
      <c r="U1406" t="inlineStr">
        <is>
          <t>15/05/2026</t>
        </is>
      </c>
      <c r="V1406" t="inlineStr">
        <is>
          <t>22/05/2026</t>
        </is>
      </c>
      <c r="W1406">
        <v>19</v>
      </c>
      <c r="AA1406" t="inlineStr">
        <is>
          <t>Aberta -30 dias</t>
        </is>
      </c>
    </row>
    <row r="1407">
      <c r="A1407">
        <v>1405</v>
      </c>
      <c r="B1407">
        <v>3</v>
      </c>
      <c r="C1407" t="inlineStr">
        <is>
          <t>1.7</t>
        </is>
      </c>
      <c r="D1407" t="inlineStr">
        <is>
          <t>A05</t>
        </is>
      </c>
      <c r="E1407" t="inlineStr">
        <is>
          <t>LD</t>
        </is>
      </c>
      <c r="F1407" t="inlineStr">
        <is>
          <t>APIA</t>
        </is>
      </c>
      <c r="G1407" t="inlineStr">
        <is>
          <t>CLP-018</t>
        </is>
      </c>
      <c r="H1407" t="inlineStr">
        <is>
          <t>Protocolo</t>
        </is>
      </c>
      <c r="I1407">
        <v>4</v>
      </c>
      <c r="J1407" t="inlineStr">
        <is>
          <t>Terraplenagem</t>
        </is>
      </c>
      <c r="K1407" t="inlineStr">
        <is>
          <t>4.32</t>
        </is>
      </c>
      <c r="L1407" t="inlineStr">
        <is>
          <t>Drenagem</t>
        </is>
      </c>
      <c r="M1407" t="inlineStr">
        <is>
          <t>Limpeza/ remoção de material</t>
        </is>
      </c>
      <c r="N1407" t="inlineStr">
        <is>
          <t xml:space="preserve">Resíduos de obra </t>
        </is>
      </c>
      <c r="O1407" t="inlineStr">
        <is>
          <t>Tipo A</t>
        </is>
      </c>
      <c r="P1407" t="inlineStr">
        <is>
          <t>76+750</t>
        </is>
      </c>
      <c r="Q1407">
        <v>76750</v>
      </c>
      <c r="R1407" t="inlineStr">
        <is>
          <t>Aberta</t>
        </is>
      </c>
      <c r="T1407" t="inlineStr">
        <is>
          <t>Aline Batista</t>
        </is>
      </c>
      <c r="U1407" t="inlineStr">
        <is>
          <t>15/05/2026</t>
        </is>
      </c>
      <c r="V1407" t="inlineStr">
        <is>
          <t>22/05/2026</t>
        </is>
      </c>
      <c r="W1407">
        <v>19</v>
      </c>
      <c r="AA1407" t="inlineStr">
        <is>
          <t>Aberta -30 dias</t>
        </is>
      </c>
    </row>
    <row r="1408">
      <c r="A1408">
        <v>1406</v>
      </c>
      <c r="B1408">
        <v>3</v>
      </c>
      <c r="C1408" t="inlineStr">
        <is>
          <t>1.7</t>
        </is>
      </c>
      <c r="D1408" t="inlineStr">
        <is>
          <t>C02</t>
        </is>
      </c>
      <c r="E1408" t="inlineStr">
        <is>
          <t>-</t>
        </is>
      </c>
      <c r="F1408" t="inlineStr">
        <is>
          <t>APIA</t>
        </is>
      </c>
      <c r="G1408" t="inlineStr">
        <is>
          <t>CLP-018</t>
        </is>
      </c>
      <c r="H1408" t="inlineStr">
        <is>
          <t>Implantação</t>
        </is>
      </c>
      <c r="I1408">
        <v>4</v>
      </c>
      <c r="J1408" t="inlineStr">
        <is>
          <t>Terraplenagem</t>
        </is>
      </c>
      <c r="K1408" t="inlineStr">
        <is>
          <t>4.24</t>
        </is>
      </c>
      <c r="L1408" t="inlineStr">
        <is>
          <t>Talude</t>
        </is>
      </c>
      <c r="M1408" t="inlineStr">
        <is>
          <t>Conformação</t>
        </is>
      </c>
      <c r="N1408" t="inlineStr">
        <is>
          <t>Ausência de Conformação e Revegetação</t>
        </is>
      </c>
      <c r="O1408" t="inlineStr">
        <is>
          <t>Tipo A</t>
        </is>
      </c>
      <c r="P1408" t="inlineStr">
        <is>
          <t>73+750</t>
        </is>
      </c>
      <c r="Q1408">
        <v>73800</v>
      </c>
      <c r="R1408" t="inlineStr">
        <is>
          <t>Aberta</t>
        </is>
      </c>
      <c r="T1408" t="inlineStr">
        <is>
          <t>Aline Batista</t>
        </is>
      </c>
      <c r="U1408" t="inlineStr">
        <is>
          <t>15/05/2026</t>
        </is>
      </c>
      <c r="V1408" t="inlineStr">
        <is>
          <t>22/05/2026</t>
        </is>
      </c>
      <c r="W1408">
        <v>19</v>
      </c>
      <c r="AA1408" t="inlineStr">
        <is>
          <t>Aberta -30 dias</t>
        </is>
      </c>
    </row>
    <row r="1409">
      <c r="A1409">
        <v>1407</v>
      </c>
      <c r="B1409">
        <v>3</v>
      </c>
      <c r="C1409" t="inlineStr">
        <is>
          <t>1.7</t>
        </is>
      </c>
      <c r="D1409" t="inlineStr">
        <is>
          <t>C03</t>
        </is>
      </c>
      <c r="E1409" t="inlineStr">
        <is>
          <t>LE</t>
        </is>
      </c>
      <c r="F1409" t="inlineStr">
        <is>
          <t>APIA</t>
        </is>
      </c>
      <c r="G1409" t="inlineStr">
        <is>
          <t>CLP-018</t>
        </is>
      </c>
      <c r="H1409" t="inlineStr">
        <is>
          <t>Implantação</t>
        </is>
      </c>
      <c r="I1409">
        <v>4</v>
      </c>
      <c r="J1409" t="inlineStr">
        <is>
          <t>Terraplenagem</t>
        </is>
      </c>
      <c r="K1409" t="inlineStr">
        <is>
          <t>4.24</t>
        </is>
      </c>
      <c r="L1409" t="inlineStr">
        <is>
          <t>Talude</t>
        </is>
      </c>
      <c r="M1409" t="inlineStr">
        <is>
          <t>Revegetação/ Hidrossemeadura</t>
        </is>
      </c>
      <c r="N1409" t="inlineStr">
        <is>
          <t>Ausência de Revegetação no Talude do Acesso LE</t>
        </is>
      </c>
      <c r="O1409" t="inlineStr">
        <is>
          <t>Tipo A</t>
        </is>
      </c>
      <c r="P1409" t="inlineStr">
        <is>
          <t>74+700</t>
        </is>
      </c>
      <c r="Q1409">
        <v>74850</v>
      </c>
      <c r="R1409" t="inlineStr">
        <is>
          <t>Aberta</t>
        </is>
      </c>
      <c r="T1409" t="inlineStr">
        <is>
          <t>Aline Batista</t>
        </is>
      </c>
      <c r="U1409" t="inlineStr">
        <is>
          <t>15/05/2026</t>
        </is>
      </c>
      <c r="V1409" t="inlineStr">
        <is>
          <t>22/05/2026</t>
        </is>
      </c>
      <c r="W1409">
        <v>19</v>
      </c>
      <c r="AA1409" t="inlineStr">
        <is>
          <t>Aberta -30 dias</t>
        </is>
      </c>
    </row>
    <row r="1410">
      <c r="A1410">
        <v>1408</v>
      </c>
      <c r="B1410">
        <v>3</v>
      </c>
      <c r="C1410" t="inlineStr">
        <is>
          <t>1.7</t>
        </is>
      </c>
      <c r="D1410" t="inlineStr">
        <is>
          <t>A04</t>
        </is>
      </c>
      <c r="E1410" t="inlineStr">
        <is>
          <t>LD</t>
        </is>
      </c>
      <c r="F1410" t="inlineStr">
        <is>
          <t>APIA</t>
        </is>
      </c>
      <c r="G1410" t="inlineStr">
        <is>
          <t>CLP-018</t>
        </is>
      </c>
      <c r="H1410" t="inlineStr">
        <is>
          <t>Implantação</t>
        </is>
      </c>
      <c r="I1410">
        <v>4</v>
      </c>
      <c r="J1410" t="inlineStr">
        <is>
          <t>Terraplenagem</t>
        </is>
      </c>
      <c r="K1410" t="inlineStr">
        <is>
          <t>4.20</t>
        </is>
      </c>
      <c r="L1410" t="inlineStr">
        <is>
          <t>Talude</t>
        </is>
      </c>
      <c r="M1410" t="inlineStr">
        <is>
          <t>Erosões</t>
        </is>
      </c>
      <c r="N1410" t="inlineStr">
        <is>
          <t>Erosão em Superficiário (Manifestação) LD</t>
        </is>
      </c>
      <c r="O1410" t="inlineStr">
        <is>
          <t>Tipo A</t>
        </is>
      </c>
      <c r="P1410" t="inlineStr">
        <is>
          <t>75+150</t>
        </is>
      </c>
      <c r="Q1410">
        <v>75170</v>
      </c>
      <c r="R1410" t="inlineStr">
        <is>
          <t>Aberta</t>
        </is>
      </c>
      <c r="T1410" t="inlineStr">
        <is>
          <t>Aline Batista</t>
        </is>
      </c>
      <c r="U1410" t="inlineStr">
        <is>
          <t>15/05/2026</t>
        </is>
      </c>
      <c r="V1410" t="inlineStr">
        <is>
          <t>22/05/2026</t>
        </is>
      </c>
      <c r="W1410">
        <v>19</v>
      </c>
      <c r="AA1410" t="inlineStr">
        <is>
          <t>Aberta -30 dias</t>
        </is>
      </c>
    </row>
    <row r="1411">
      <c r="A1411">
        <v>1409</v>
      </c>
      <c r="B1411">
        <v>3</v>
      </c>
      <c r="C1411" t="inlineStr">
        <is>
          <t>1.7</t>
        </is>
      </c>
      <c r="D1411" t="inlineStr">
        <is>
          <t>A04</t>
        </is>
      </c>
      <c r="E1411" t="inlineStr">
        <is>
          <t>LE</t>
        </is>
      </c>
      <c r="F1411" t="inlineStr">
        <is>
          <t>APIA</t>
        </is>
      </c>
      <c r="G1411" t="inlineStr">
        <is>
          <t>CLP-018</t>
        </is>
      </c>
      <c r="H1411" t="inlineStr">
        <is>
          <t>Implantação</t>
        </is>
      </c>
      <c r="I1411">
        <v>4</v>
      </c>
      <c r="J1411" t="inlineStr">
        <is>
          <t>Terraplenagem</t>
        </is>
      </c>
      <c r="K1411" t="inlineStr">
        <is>
          <t>4.20</t>
        </is>
      </c>
      <c r="L1411" t="inlineStr">
        <is>
          <t>Bueiro</t>
        </is>
      </c>
      <c r="M1411" t="inlineStr">
        <is>
          <t>Erosões</t>
        </is>
      </c>
      <c r="N1411" t="inlineStr">
        <is>
          <t>Erosão em Bueiro LE</t>
        </is>
      </c>
      <c r="O1411" t="inlineStr">
        <is>
          <t>Tipo A</t>
        </is>
      </c>
      <c r="P1411" t="inlineStr">
        <is>
          <t>75+580</t>
        </is>
      </c>
      <c r="Q1411">
        <v>75590</v>
      </c>
      <c r="R1411" t="inlineStr">
        <is>
          <t>Aberta</t>
        </is>
      </c>
      <c r="T1411" t="inlineStr">
        <is>
          <t>Aline Batista</t>
        </is>
      </c>
      <c r="U1411" t="inlineStr">
        <is>
          <t>15/05/2026</t>
        </is>
      </c>
      <c r="V1411" t="inlineStr">
        <is>
          <t>22/05/2026</t>
        </is>
      </c>
      <c r="W1411">
        <v>19</v>
      </c>
      <c r="AA1411" t="inlineStr">
        <is>
          <t>Aberta -30 dias</t>
        </is>
      </c>
    </row>
    <row r="1412">
      <c r="A1412">
        <v>1410</v>
      </c>
      <c r="B1412">
        <v>3</v>
      </c>
      <c r="C1412" t="inlineStr">
        <is>
          <t>1.7</t>
        </is>
      </c>
      <c r="D1412" t="inlineStr">
        <is>
          <t>A04</t>
        </is>
      </c>
      <c r="E1412" t="inlineStr">
        <is>
          <t>LE</t>
        </is>
      </c>
      <c r="F1412" t="inlineStr">
        <is>
          <t>APIA</t>
        </is>
      </c>
      <c r="G1412" t="inlineStr">
        <is>
          <t>CLP-018</t>
        </is>
      </c>
      <c r="H1412" t="inlineStr">
        <is>
          <t>Implantação</t>
        </is>
      </c>
      <c r="I1412">
        <v>4</v>
      </c>
      <c r="J1412" t="inlineStr">
        <is>
          <t>Terraplenagem</t>
        </is>
      </c>
      <c r="K1412" t="inlineStr">
        <is>
          <t>4.24</t>
        </is>
      </c>
      <c r="L1412" t="inlineStr">
        <is>
          <t>Talude</t>
        </is>
      </c>
      <c r="M1412" t="inlineStr">
        <is>
          <t>Revegetação/ Hidrossemeadura</t>
        </is>
      </c>
      <c r="N1412" t="inlineStr">
        <is>
          <t>Ausência de Revegetação no Talude do Acesso LE</t>
        </is>
      </c>
      <c r="O1412" t="inlineStr">
        <is>
          <t>Tipo A</t>
        </is>
      </c>
      <c r="P1412" t="inlineStr">
        <is>
          <t>75+800</t>
        </is>
      </c>
      <c r="Q1412">
        <v>75900</v>
      </c>
      <c r="R1412" t="inlineStr">
        <is>
          <t>Aberta</t>
        </is>
      </c>
      <c r="T1412" t="inlineStr">
        <is>
          <t>Aline Batista</t>
        </is>
      </c>
      <c r="U1412" t="inlineStr">
        <is>
          <t>15/05/2026</t>
        </is>
      </c>
      <c r="V1412" t="inlineStr">
        <is>
          <t>22/05/2026</t>
        </is>
      </c>
      <c r="W1412">
        <v>19</v>
      </c>
      <c r="AA1412" t="inlineStr">
        <is>
          <t>Aberta -30 dias</t>
        </is>
      </c>
    </row>
    <row r="1413">
      <c r="A1413">
        <v>1411</v>
      </c>
      <c r="B1413">
        <v>3</v>
      </c>
      <c r="C1413" t="inlineStr">
        <is>
          <t>1.7</t>
        </is>
      </c>
      <c r="D1413" t="inlineStr">
        <is>
          <t>C06</t>
        </is>
      </c>
      <c r="E1413" t="inlineStr">
        <is>
          <t>LD</t>
        </is>
      </c>
      <c r="F1413" t="inlineStr">
        <is>
          <t>APIA</t>
        </is>
      </c>
      <c r="G1413" t="inlineStr">
        <is>
          <t>CLP-018</t>
        </is>
      </c>
      <c r="H1413" t="inlineStr">
        <is>
          <t>Implantação</t>
        </is>
      </c>
      <c r="I1413">
        <v>4</v>
      </c>
      <c r="J1413" t="inlineStr">
        <is>
          <t>Terraplenagem</t>
        </is>
      </c>
      <c r="K1413" t="inlineStr">
        <is>
          <t>4.20</t>
        </is>
      </c>
      <c r="L1413" t="inlineStr">
        <is>
          <t>Acesso</t>
        </is>
      </c>
      <c r="M1413" t="inlineStr">
        <is>
          <t>Erosões</t>
        </is>
      </c>
      <c r="N1413" t="inlineStr">
        <is>
          <t>Erosão no Acesso LD (Drenagem)</t>
        </is>
      </c>
      <c r="O1413" t="inlineStr">
        <is>
          <t>Tipo A</t>
        </is>
      </c>
      <c r="P1413" t="inlineStr">
        <is>
          <t>76+750</t>
        </is>
      </c>
      <c r="Q1413">
        <v>76800</v>
      </c>
      <c r="R1413" t="inlineStr">
        <is>
          <t>Aberta</t>
        </is>
      </c>
      <c r="T1413" t="inlineStr">
        <is>
          <t>Aline Batista</t>
        </is>
      </c>
      <c r="U1413" t="inlineStr">
        <is>
          <t>15/05/2026</t>
        </is>
      </c>
      <c r="V1413" t="inlineStr">
        <is>
          <t>22/05/2026</t>
        </is>
      </c>
      <c r="W1413">
        <v>19</v>
      </c>
      <c r="AA1413" t="inlineStr">
        <is>
          <t>Aberta -30 dias</t>
        </is>
      </c>
    </row>
    <row r="1414">
      <c r="A1414">
        <v>1412</v>
      </c>
      <c r="B1414">
        <v>3</v>
      </c>
      <c r="C1414" t="inlineStr">
        <is>
          <t>1.7</t>
        </is>
      </c>
      <c r="D1414" t="inlineStr">
        <is>
          <t>C06</t>
        </is>
      </c>
      <c r="E1414" t="inlineStr">
        <is>
          <t>LE</t>
        </is>
      </c>
      <c r="F1414" t="inlineStr">
        <is>
          <t>APIA</t>
        </is>
      </c>
      <c r="G1414" t="inlineStr">
        <is>
          <t>CLP-018</t>
        </is>
      </c>
      <c r="H1414" t="inlineStr">
        <is>
          <t>Implantação</t>
        </is>
      </c>
      <c r="I1414">
        <v>4</v>
      </c>
      <c r="J1414" t="inlineStr">
        <is>
          <t>Terraplenagem</t>
        </is>
      </c>
      <c r="K1414" t="inlineStr">
        <is>
          <t>4.24</t>
        </is>
      </c>
      <c r="L1414" t="inlineStr">
        <is>
          <t>Berma do Talude</t>
        </is>
      </c>
      <c r="M1414" t="inlineStr">
        <is>
          <t>Revegetação/ Hidrossemeadura</t>
        </is>
      </c>
      <c r="N1414" t="inlineStr">
        <is>
          <t>Ausência de Revegetação na Berma do Talude LE</t>
        </is>
      </c>
      <c r="O1414" t="inlineStr">
        <is>
          <t>Tipo A</t>
        </is>
      </c>
      <c r="P1414" t="inlineStr">
        <is>
          <t>76+850</t>
        </is>
      </c>
      <c r="Q1414">
        <v>76950</v>
      </c>
      <c r="R1414" t="inlineStr">
        <is>
          <t>Aberta</t>
        </is>
      </c>
      <c r="T1414" t="inlineStr">
        <is>
          <t>Aline Batista</t>
        </is>
      </c>
      <c r="U1414" t="inlineStr">
        <is>
          <t>15/05/2026</t>
        </is>
      </c>
      <c r="V1414" t="inlineStr">
        <is>
          <t>22/05/2026</t>
        </is>
      </c>
      <c r="W1414">
        <v>19</v>
      </c>
      <c r="AA1414" t="inlineStr">
        <is>
          <t>Aberta -30 dias</t>
        </is>
      </c>
    </row>
    <row r="1415">
      <c r="A1415">
        <v>1413</v>
      </c>
      <c r="B1415">
        <v>3</v>
      </c>
      <c r="C1415" t="inlineStr">
        <is>
          <t>1.7</t>
        </is>
      </c>
      <c r="D1415" t="inlineStr">
        <is>
          <t>C06</t>
        </is>
      </c>
      <c r="E1415" t="inlineStr">
        <is>
          <t>LE</t>
        </is>
      </c>
      <c r="F1415" t="inlineStr">
        <is>
          <t>APIA</t>
        </is>
      </c>
      <c r="G1415" t="inlineStr">
        <is>
          <t>CLP-018</t>
        </is>
      </c>
      <c r="H1415" t="inlineStr">
        <is>
          <t>Implantação</t>
        </is>
      </c>
      <c r="I1415">
        <v>4</v>
      </c>
      <c r="J1415" t="inlineStr">
        <is>
          <t>Terraplenagem</t>
        </is>
      </c>
      <c r="K1415" t="inlineStr">
        <is>
          <t>4.20</t>
        </is>
      </c>
      <c r="L1415" t="inlineStr">
        <is>
          <t>Talude</t>
        </is>
      </c>
      <c r="M1415" t="inlineStr">
        <is>
          <t>Erosões</t>
        </is>
      </c>
      <c r="N1415" t="inlineStr">
        <is>
          <t>Erosão do Talude LE</t>
        </is>
      </c>
      <c r="O1415" t="inlineStr">
        <is>
          <t>Tipo A</t>
        </is>
      </c>
      <c r="P1415" t="inlineStr">
        <is>
          <t>76+920</t>
        </is>
      </c>
      <c r="Q1415">
        <v>77000</v>
      </c>
      <c r="R1415" t="inlineStr">
        <is>
          <t>Aberta</t>
        </is>
      </c>
      <c r="T1415" t="inlineStr">
        <is>
          <t>Aline Batista</t>
        </is>
      </c>
      <c r="U1415" t="inlineStr">
        <is>
          <t>15/05/2026</t>
        </is>
      </c>
      <c r="V1415" t="inlineStr">
        <is>
          <t>22/05/2026</t>
        </is>
      </c>
      <c r="W1415">
        <v>19</v>
      </c>
      <c r="AA1415" t="inlineStr">
        <is>
          <t>Aberta -30 dias</t>
        </is>
      </c>
    </row>
    <row r="1416">
      <c r="A1416">
        <v>1414</v>
      </c>
      <c r="B1416">
        <v>3</v>
      </c>
      <c r="C1416" t="inlineStr">
        <is>
          <t>1.7</t>
        </is>
      </c>
      <c r="D1416" t="inlineStr">
        <is>
          <t>C06</t>
        </is>
      </c>
      <c r="E1416" t="inlineStr">
        <is>
          <t>LE</t>
        </is>
      </c>
      <c r="F1416" t="inlineStr">
        <is>
          <t>APIA</t>
        </is>
      </c>
      <c r="G1416" t="inlineStr">
        <is>
          <t>CLP-018</t>
        </is>
      </c>
      <c r="H1416" t="inlineStr">
        <is>
          <t>Implantação</t>
        </is>
      </c>
      <c r="I1416">
        <v>4</v>
      </c>
      <c r="J1416" t="inlineStr">
        <is>
          <t>Terraplenagem</t>
        </is>
      </c>
      <c r="K1416" t="inlineStr">
        <is>
          <t>4.20</t>
        </is>
      </c>
      <c r="L1416" t="inlineStr">
        <is>
          <t>Bueiro</t>
        </is>
      </c>
      <c r="M1416" t="inlineStr">
        <is>
          <t>Erosões</t>
        </is>
      </c>
      <c r="N1416" t="inlineStr">
        <is>
          <t>Erosão em Bueiro LE</t>
        </is>
      </c>
      <c r="O1416" t="inlineStr">
        <is>
          <t>Tipo A</t>
        </is>
      </c>
      <c r="P1416" t="inlineStr">
        <is>
          <t>77+500</t>
        </is>
      </c>
      <c r="Q1416">
        <v>77600</v>
      </c>
      <c r="R1416" t="inlineStr">
        <is>
          <t>Aberta</t>
        </is>
      </c>
      <c r="T1416" t="inlineStr">
        <is>
          <t>Aline Batista</t>
        </is>
      </c>
      <c r="U1416" t="inlineStr">
        <is>
          <t>15/05/2026</t>
        </is>
      </c>
      <c r="V1416" t="inlineStr">
        <is>
          <t>22/05/2026</t>
        </is>
      </c>
      <c r="W1416">
        <v>19</v>
      </c>
      <c r="AA1416" t="inlineStr">
        <is>
          <t>Aberta -30 dias</t>
        </is>
      </c>
    </row>
    <row r="1417">
      <c r="A1417">
        <v>1415</v>
      </c>
      <c r="B1417">
        <v>3</v>
      </c>
      <c r="C1417" t="inlineStr">
        <is>
          <t>1.7</t>
        </is>
      </c>
      <c r="D1417" t="inlineStr">
        <is>
          <t>A07</t>
        </is>
      </c>
      <c r="E1417" t="inlineStr">
        <is>
          <t>-</t>
        </is>
      </c>
      <c r="F1417" t="inlineStr">
        <is>
          <t>APIA</t>
        </is>
      </c>
      <c r="G1417" t="inlineStr">
        <is>
          <t>CLP-018</t>
        </is>
      </c>
      <c r="H1417" t="inlineStr">
        <is>
          <t>Implantação</t>
        </is>
      </c>
      <c r="I1417">
        <v>4</v>
      </c>
      <c r="J1417" t="inlineStr">
        <is>
          <t>Terraplenagem</t>
        </is>
      </c>
      <c r="K1417" t="inlineStr">
        <is>
          <t>4.24</t>
        </is>
      </c>
      <c r="L1417" t="inlineStr">
        <is>
          <t>Bueiro</t>
        </is>
      </c>
      <c r="M1417" t="inlineStr">
        <is>
          <t>Revegetação/ Hidrossemeadura</t>
        </is>
      </c>
      <c r="N1417" t="inlineStr">
        <is>
          <t>Ausência de Revegetação na região do Bueiro</t>
        </is>
      </c>
      <c r="O1417" t="inlineStr">
        <is>
          <t>Tipo A</t>
        </is>
      </c>
      <c r="P1417" t="inlineStr">
        <is>
          <t>78+900</t>
        </is>
      </c>
      <c r="Q1417">
        <v>79000</v>
      </c>
      <c r="R1417" t="inlineStr">
        <is>
          <t>Aberta</t>
        </is>
      </c>
      <c r="T1417" t="inlineStr">
        <is>
          <t>Aline Batista</t>
        </is>
      </c>
      <c r="U1417" t="inlineStr">
        <is>
          <t>15/05/2026</t>
        </is>
      </c>
      <c r="V1417" t="inlineStr">
        <is>
          <t>22/05/2026</t>
        </is>
      </c>
      <c r="W1417">
        <v>19</v>
      </c>
      <c r="AA1417" t="inlineStr">
        <is>
          <t>Aberta -30 dias</t>
        </is>
      </c>
    </row>
    <row r="1418">
      <c r="A1418">
        <v>1416</v>
      </c>
      <c r="B1418">
        <v>3</v>
      </c>
      <c r="C1418" t="inlineStr">
        <is>
          <t>1.7</t>
        </is>
      </c>
      <c r="D1418" t="inlineStr">
        <is>
          <t>A07</t>
        </is>
      </c>
      <c r="E1418" t="inlineStr">
        <is>
          <t>LD</t>
        </is>
      </c>
      <c r="F1418" t="inlineStr">
        <is>
          <t>APIA</t>
        </is>
      </c>
      <c r="G1418" t="inlineStr">
        <is>
          <t>CLP-018</t>
        </is>
      </c>
      <c r="H1418" t="inlineStr">
        <is>
          <t>Implantação</t>
        </is>
      </c>
      <c r="I1418">
        <v>4</v>
      </c>
      <c r="J1418" t="inlineStr">
        <is>
          <t>Terraplenagem</t>
        </is>
      </c>
      <c r="K1418" t="inlineStr">
        <is>
          <t>4.20</t>
        </is>
      </c>
      <c r="L1418" t="inlineStr">
        <is>
          <t>Bueiro</t>
        </is>
      </c>
      <c r="M1418" t="inlineStr">
        <is>
          <t>Erosões</t>
        </is>
      </c>
      <c r="N1418" t="inlineStr">
        <is>
          <t>Erosão em Bueiro LD</t>
        </is>
      </c>
      <c r="O1418" t="inlineStr">
        <is>
          <t>Tipo A</t>
        </is>
      </c>
      <c r="P1418" t="inlineStr">
        <is>
          <t>79+260</t>
        </is>
      </c>
      <c r="Q1418">
        <v>79260</v>
      </c>
      <c r="R1418" t="inlineStr">
        <is>
          <t>Aberta</t>
        </is>
      </c>
      <c r="T1418" t="inlineStr">
        <is>
          <t>Aline Batista</t>
        </is>
      </c>
      <c r="U1418" t="inlineStr">
        <is>
          <t>15/05/2026</t>
        </is>
      </c>
      <c r="V1418" t="inlineStr">
        <is>
          <t>22/05/2026</t>
        </is>
      </c>
      <c r="W1418">
        <v>19</v>
      </c>
      <c r="AA1418" t="inlineStr">
        <is>
          <t>Aberta -30 dias</t>
        </is>
      </c>
    </row>
    <row r="1419">
      <c r="A1419">
        <v>1417</v>
      </c>
      <c r="B1419">
        <v>3</v>
      </c>
      <c r="C1419" t="inlineStr">
        <is>
          <t>1.7</t>
        </is>
      </c>
      <c r="D1419" t="inlineStr">
        <is>
          <t>C09</t>
        </is>
      </c>
      <c r="E1419" t="inlineStr">
        <is>
          <t>LE</t>
        </is>
      </c>
      <c r="F1419" t="inlineStr">
        <is>
          <t>APIA</t>
        </is>
      </c>
      <c r="G1419" t="inlineStr">
        <is>
          <t>CLP-018</t>
        </is>
      </c>
      <c r="H1419" t="inlineStr">
        <is>
          <t>Fiscalização/Implantação</t>
        </is>
      </c>
      <c r="I1419">
        <v>4</v>
      </c>
      <c r="J1419" t="inlineStr">
        <is>
          <t>Terraplenagem</t>
        </is>
      </c>
      <c r="K1419" t="inlineStr">
        <is>
          <t>4.20</t>
        </is>
      </c>
      <c r="L1419" t="inlineStr">
        <is>
          <t>Plataforma</t>
        </is>
      </c>
      <c r="M1419" t="inlineStr">
        <is>
          <t>Erosões</t>
        </is>
      </c>
      <c r="N1419" t="inlineStr">
        <is>
          <t>Erosão na Plataforma LE</t>
        </is>
      </c>
      <c r="O1419" t="inlineStr">
        <is>
          <t>Tipo A</t>
        </is>
      </c>
      <c r="P1419" t="inlineStr">
        <is>
          <t>80+100</t>
        </is>
      </c>
      <c r="Q1419">
        <v>80140</v>
      </c>
      <c r="R1419" t="inlineStr">
        <is>
          <t>Aberta</t>
        </is>
      </c>
      <c r="T1419" t="inlineStr">
        <is>
          <t>Aline Batista</t>
        </is>
      </c>
      <c r="U1419" t="inlineStr">
        <is>
          <t>15/05/2026</t>
        </is>
      </c>
      <c r="V1419" t="inlineStr">
        <is>
          <t>22/05/2026</t>
        </is>
      </c>
      <c r="W1419">
        <v>19</v>
      </c>
      <c r="AA1419" t="inlineStr">
        <is>
          <t>Aberta -30 dias</t>
        </is>
      </c>
    </row>
    <row r="1420">
      <c r="A1420">
        <v>1418</v>
      </c>
      <c r="B1420">
        <v>3</v>
      </c>
      <c r="C1420" t="inlineStr">
        <is>
          <t>1.7</t>
        </is>
      </c>
      <c r="D1420" t="inlineStr">
        <is>
          <t>C09</t>
        </is>
      </c>
      <c r="F1420" t="inlineStr">
        <is>
          <t>APIA</t>
        </is>
      </c>
      <c r="G1420" t="inlineStr">
        <is>
          <t>CLP-018</t>
        </is>
      </c>
      <c r="H1420" t="inlineStr">
        <is>
          <t>Fiscalização/Implantação</t>
        </is>
      </c>
      <c r="I1420">
        <v>4</v>
      </c>
      <c r="J1420" t="inlineStr">
        <is>
          <t>Terraplenagem</t>
        </is>
      </c>
      <c r="K1420" t="inlineStr">
        <is>
          <t>4.20</t>
        </is>
      </c>
      <c r="L1420" t="inlineStr">
        <is>
          <t>ADME</t>
        </is>
      </c>
      <c r="M1420" t="inlineStr">
        <is>
          <t>Erosões</t>
        </is>
      </c>
      <c r="N1420" t="inlineStr">
        <is>
          <t>Erosão em ADME (Cima)</t>
        </is>
      </c>
      <c r="O1420" t="inlineStr">
        <is>
          <t>Tipo A</t>
        </is>
      </c>
      <c r="P1420" t="inlineStr">
        <is>
          <t>80+120</t>
        </is>
      </c>
      <c r="Q1420">
        <v>80120</v>
      </c>
      <c r="R1420" t="inlineStr">
        <is>
          <t>Aberta</t>
        </is>
      </c>
      <c r="T1420" t="inlineStr">
        <is>
          <t>Aline Batista</t>
        </is>
      </c>
      <c r="U1420" t="inlineStr">
        <is>
          <t>15/05/2026</t>
        </is>
      </c>
      <c r="V1420" t="inlineStr">
        <is>
          <t>22/05/2026</t>
        </is>
      </c>
      <c r="W1420">
        <v>19</v>
      </c>
      <c r="AA1420" t="inlineStr">
        <is>
          <t>Aberta -30 dias</t>
        </is>
      </c>
    </row>
    <row r="1421">
      <c r="A1421">
        <v>1419</v>
      </c>
      <c r="B1421">
        <v>3</v>
      </c>
      <c r="C1421" t="inlineStr">
        <is>
          <t>1.7</t>
        </is>
      </c>
      <c r="D1421" t="inlineStr">
        <is>
          <t>C09</t>
        </is>
      </c>
      <c r="F1421" t="inlineStr">
        <is>
          <t>APIA</t>
        </is>
      </c>
      <c r="G1421" t="inlineStr">
        <is>
          <t>CLP-018</t>
        </is>
      </c>
      <c r="H1421" t="inlineStr">
        <is>
          <t>Fiscalização/Implantação</t>
        </is>
      </c>
      <c r="I1421">
        <v>4</v>
      </c>
      <c r="J1421" t="inlineStr">
        <is>
          <t>Terraplenagem</t>
        </is>
      </c>
      <c r="K1421" t="inlineStr">
        <is>
          <t>4.20</t>
        </is>
      </c>
      <c r="L1421" t="inlineStr">
        <is>
          <t>ADME</t>
        </is>
      </c>
      <c r="M1421" t="inlineStr">
        <is>
          <t>Erosões</t>
        </is>
      </c>
      <c r="N1421" t="inlineStr">
        <is>
          <t>Erosão em ADME (Lateral)</t>
        </is>
      </c>
      <c r="O1421" t="inlineStr">
        <is>
          <t>Tipo A</t>
        </is>
      </c>
      <c r="P1421" t="inlineStr">
        <is>
          <t>80+120</t>
        </is>
      </c>
      <c r="Q1421">
        <v>80120</v>
      </c>
      <c r="R1421" t="inlineStr">
        <is>
          <t>Aberta</t>
        </is>
      </c>
      <c r="T1421" t="inlineStr">
        <is>
          <t>Aline Batista</t>
        </is>
      </c>
      <c r="U1421" t="inlineStr">
        <is>
          <t>15/05/2026</t>
        </is>
      </c>
      <c r="V1421" t="inlineStr">
        <is>
          <t>22/05/2026</t>
        </is>
      </c>
      <c r="W1421">
        <v>19</v>
      </c>
      <c r="AA1421" t="inlineStr">
        <is>
          <t>Aberta -30 dias</t>
        </is>
      </c>
    </row>
    <row r="1422">
      <c r="A1422">
        <v>1420</v>
      </c>
      <c r="B1422">
        <v>3</v>
      </c>
      <c r="C1422" t="inlineStr">
        <is>
          <t>1.7</t>
        </is>
      </c>
      <c r="D1422" t="inlineStr">
        <is>
          <t>C09</t>
        </is>
      </c>
      <c r="F1422" t="inlineStr">
        <is>
          <t>APIA</t>
        </is>
      </c>
      <c r="G1422" t="inlineStr">
        <is>
          <t>CLP-018</t>
        </is>
      </c>
      <c r="H1422" t="inlineStr">
        <is>
          <t>Fiscalização/Implantação</t>
        </is>
      </c>
      <c r="I1422">
        <v>4</v>
      </c>
      <c r="J1422" t="inlineStr">
        <is>
          <t>Terraplenagem</t>
        </is>
      </c>
      <c r="K1422" t="inlineStr">
        <is>
          <t>4.20</t>
        </is>
      </c>
      <c r="L1422" t="inlineStr">
        <is>
          <t>Talude</t>
        </is>
      </c>
      <c r="M1422" t="inlineStr">
        <is>
          <t>Erosões</t>
        </is>
      </c>
      <c r="N1422" t="inlineStr">
        <is>
          <t>Erosão em Aterro LD</t>
        </is>
      </c>
      <c r="O1422" t="inlineStr">
        <is>
          <t>Tipo A</t>
        </is>
      </c>
      <c r="P1422" t="inlineStr">
        <is>
          <t>80+165</t>
        </is>
      </c>
      <c r="Q1422">
        <v>80165</v>
      </c>
      <c r="R1422" t="inlineStr">
        <is>
          <t>Aberta</t>
        </is>
      </c>
      <c r="T1422" t="inlineStr">
        <is>
          <t>Aline Batista</t>
        </is>
      </c>
      <c r="U1422" t="inlineStr">
        <is>
          <t>15/05/2026</t>
        </is>
      </c>
      <c r="V1422" t="inlineStr">
        <is>
          <t>22/05/2026</t>
        </is>
      </c>
      <c r="W1422">
        <v>19</v>
      </c>
      <c r="AA1422" t="inlineStr">
        <is>
          <t>Aberta -30 dias</t>
        </is>
      </c>
    </row>
    <row r="1423">
      <c r="A1423">
        <v>1421</v>
      </c>
      <c r="B1423">
        <v>3</v>
      </c>
      <c r="C1423" t="inlineStr">
        <is>
          <t>1.7</t>
        </is>
      </c>
      <c r="D1423" t="inlineStr">
        <is>
          <t>A04</t>
        </is>
      </c>
      <c r="F1423" t="inlineStr">
        <is>
          <t>APIA</t>
        </is>
      </c>
      <c r="G1423" t="inlineStr">
        <is>
          <t>CLP-018</t>
        </is>
      </c>
      <c r="H1423" t="inlineStr">
        <is>
          <t>Protocolo</t>
        </is>
      </c>
      <c r="I1423">
        <v>4</v>
      </c>
      <c r="J1423" t="inlineStr">
        <is>
          <t>Terraplenagem</t>
        </is>
      </c>
      <c r="K1423" t="inlineStr">
        <is>
          <t>4.20</t>
        </is>
      </c>
      <c r="L1423" t="inlineStr">
        <is>
          <t>Drenagem</t>
        </is>
      </c>
      <c r="M1423" t="inlineStr">
        <is>
          <t>Erosões</t>
        </is>
      </c>
      <c r="N1423" t="inlineStr">
        <is>
          <t>Manutenir a bacia de infiltração e tratar a erosão na saída da drenagem.</t>
        </is>
      </c>
      <c r="O1423" t="inlineStr">
        <is>
          <t>Tipo A</t>
        </is>
      </c>
      <c r="P1423" t="inlineStr">
        <is>
          <t>75+400</t>
        </is>
      </c>
      <c r="Q1423">
        <v>75400</v>
      </c>
      <c r="R1423" t="inlineStr">
        <is>
          <t>Aberta</t>
        </is>
      </c>
      <c r="T1423" t="inlineStr">
        <is>
          <t>Aline Batista</t>
        </is>
      </c>
      <c r="U1423" t="inlineStr">
        <is>
          <t>15/05/2026</t>
        </is>
      </c>
      <c r="V1423" t="inlineStr">
        <is>
          <t>22/05/2026</t>
        </is>
      </c>
      <c r="W1423">
        <v>19</v>
      </c>
      <c r="AA1423" t="inlineStr">
        <is>
          <t>Aberta -30 dias</t>
        </is>
      </c>
    </row>
    <row r="1424">
      <c r="A1424">
        <v>1422</v>
      </c>
      <c r="B1424">
        <v>3</v>
      </c>
      <c r="C1424" t="inlineStr">
        <is>
          <t>1.7</t>
        </is>
      </c>
      <c r="D1424" t="inlineStr">
        <is>
          <t>C03</t>
        </is>
      </c>
      <c r="E1424" t="inlineStr">
        <is>
          <t>LD/LE</t>
        </is>
      </c>
      <c r="F1424" t="inlineStr">
        <is>
          <t>APIA</t>
        </is>
      </c>
      <c r="G1424" t="inlineStr">
        <is>
          <t>CLP-018</t>
        </is>
      </c>
      <c r="H1424" t="inlineStr">
        <is>
          <t>Implantação</t>
        </is>
      </c>
      <c r="I1424">
        <v>6</v>
      </c>
      <c r="J1424" t="inlineStr">
        <is>
          <t>Drenagem Superficial</t>
        </is>
      </c>
      <c r="K1424" t="inlineStr">
        <is>
          <t>6.1</t>
        </is>
      </c>
      <c r="L1424" t="inlineStr">
        <is>
          <t>VPC</t>
        </is>
      </c>
      <c r="M1424" t="inlineStr">
        <is>
          <t>Drenagem danificadas</t>
        </is>
      </c>
      <c r="N1424" t="inlineStr">
        <is>
          <t>Drenagem danificada, apresentando descalçamento e comprometimento do suporte estrutural.</t>
        </is>
      </c>
      <c r="O1424" t="inlineStr">
        <is>
          <t>Tipo A</t>
        </is>
      </c>
      <c r="P1424" t="inlineStr">
        <is>
          <t>72+700</t>
        </is>
      </c>
      <c r="Q1424">
        <v>72700</v>
      </c>
      <c r="R1424" t="inlineStr">
        <is>
          <t>Aberta</t>
        </is>
      </c>
      <c r="T1424" t="inlineStr">
        <is>
          <t>Aline Batista</t>
        </is>
      </c>
      <c r="U1424" t="inlineStr">
        <is>
          <t>15/05/2026</t>
        </is>
      </c>
      <c r="V1424" t="inlineStr">
        <is>
          <t>22/05/2026</t>
        </is>
      </c>
      <c r="W1424">
        <v>19</v>
      </c>
      <c r="AA1424" t="inlineStr">
        <is>
          <t>Aberta -30 dias</t>
        </is>
      </c>
    </row>
    <row r="1425">
      <c r="A1425">
        <v>1423</v>
      </c>
      <c r="B1425">
        <v>3</v>
      </c>
      <c r="C1425" t="inlineStr">
        <is>
          <t>1.7</t>
        </is>
      </c>
      <c r="D1425" t="inlineStr">
        <is>
          <t>A02</t>
        </is>
      </c>
      <c r="F1425" t="inlineStr">
        <is>
          <t>APIA</t>
        </is>
      </c>
      <c r="G1425" t="inlineStr">
        <is>
          <t>CLP-018</t>
        </is>
      </c>
      <c r="H1425" t="inlineStr">
        <is>
          <t>Protocolo</t>
        </is>
      </c>
      <c r="I1425">
        <v>6</v>
      </c>
      <c r="J1425" t="inlineStr">
        <is>
          <t>Drenagem Superficial</t>
        </is>
      </c>
      <c r="K1425" t="inlineStr">
        <is>
          <t>6.10</t>
        </is>
      </c>
      <c r="L1425" t="inlineStr">
        <is>
          <t>ATERRO</t>
        </is>
      </c>
      <c r="M1425" t="inlineStr">
        <is>
          <t>Regularização e recuperação de área</t>
        </is>
      </c>
      <c r="N1425" t="inlineStr">
        <is>
          <t>ÁREA DE EMPRÉSTIMO: Manutenção dos terraços do canal de direcionamento do escoamento superficial.</t>
        </is>
      </c>
      <c r="O1425" t="inlineStr">
        <is>
          <t>Tipo A</t>
        </is>
      </c>
      <c r="P1425" t="inlineStr">
        <is>
          <t>74+800</t>
        </is>
      </c>
      <c r="Q1425" t="inlineStr">
        <is>
          <t>75+000</t>
        </is>
      </c>
      <c r="R1425" t="inlineStr">
        <is>
          <t>Aberta</t>
        </is>
      </c>
      <c r="T1425" t="inlineStr">
        <is>
          <t>Aline Batista</t>
        </is>
      </c>
      <c r="U1425" t="inlineStr">
        <is>
          <t>15/05/2026</t>
        </is>
      </c>
      <c r="V1425" t="inlineStr">
        <is>
          <t>22/05/2026</t>
        </is>
      </c>
      <c r="W1425">
        <v>19</v>
      </c>
      <c r="AA1425" t="inlineStr">
        <is>
          <t>Aberta -30 dias</t>
        </is>
      </c>
    </row>
    <row r="1426">
      <c r="A1426">
        <v>1424</v>
      </c>
      <c r="B1426">
        <v>3</v>
      </c>
      <c r="C1426" t="inlineStr">
        <is>
          <t>1.7</t>
        </is>
      </c>
      <c r="D1426" t="inlineStr">
        <is>
          <t>C03</t>
        </is>
      </c>
      <c r="E1426" t="inlineStr">
        <is>
          <t>LD</t>
        </is>
      </c>
      <c r="F1426" t="inlineStr">
        <is>
          <t>APIA</t>
        </is>
      </c>
      <c r="G1426" t="inlineStr">
        <is>
          <t>CLP-018</t>
        </is>
      </c>
      <c r="H1426" t="inlineStr">
        <is>
          <t>Protocolo</t>
        </is>
      </c>
      <c r="I1426">
        <v>6</v>
      </c>
      <c r="J1426" t="inlineStr">
        <is>
          <t>Drenagem Superficial</t>
        </is>
      </c>
      <c r="K1426" t="inlineStr">
        <is>
          <t>6.1</t>
        </is>
      </c>
      <c r="L1426" t="inlineStr">
        <is>
          <t>VPC</t>
        </is>
      </c>
      <c r="M1426" t="inlineStr">
        <is>
          <t>Dispositivo descalçado</t>
        </is>
      </c>
      <c r="N1426" t="inlineStr">
        <is>
          <t>O dispositivo de drenagem encontra-se descalçado. É necessário verificar se houve descolamento no fundo, realizar o devido tratamento e proceder com a vedação, garantindo o direcionamento adequado do fluxo para a sarjeta.</t>
        </is>
      </c>
      <c r="O1426" t="inlineStr">
        <is>
          <t>Tipo A</t>
        </is>
      </c>
      <c r="P1426" t="inlineStr">
        <is>
          <t>72+700</t>
        </is>
      </c>
      <c r="Q1426">
        <v>72700</v>
      </c>
      <c r="R1426" t="inlineStr">
        <is>
          <t>Aberta</t>
        </is>
      </c>
      <c r="T1426" t="inlineStr">
        <is>
          <t>Aline Batista</t>
        </is>
      </c>
      <c r="U1426" t="inlineStr">
        <is>
          <t>15/05/2026</t>
        </is>
      </c>
      <c r="V1426" t="inlineStr">
        <is>
          <t>22/05/2026</t>
        </is>
      </c>
      <c r="W1426">
        <v>19</v>
      </c>
      <c r="AA1426" t="inlineStr">
        <is>
          <t>Aberta -30 dias</t>
        </is>
      </c>
    </row>
    <row r="1427">
      <c r="A1427">
        <v>1425</v>
      </c>
      <c r="B1427">
        <v>3</v>
      </c>
      <c r="C1427" t="inlineStr">
        <is>
          <t>1.7</t>
        </is>
      </c>
      <c r="D1427" t="inlineStr">
        <is>
          <t>C06</t>
        </is>
      </c>
      <c r="E1427" t="inlineStr">
        <is>
          <t>LE</t>
        </is>
      </c>
      <c r="F1427" t="inlineStr">
        <is>
          <t>APIA</t>
        </is>
      </c>
      <c r="G1427" t="inlineStr">
        <is>
          <t>CLP-018</t>
        </is>
      </c>
      <c r="H1427" t="inlineStr">
        <is>
          <t>Protocolo</t>
        </is>
      </c>
      <c r="I1427">
        <v>6</v>
      </c>
      <c r="J1427" t="inlineStr">
        <is>
          <t>Drenagem Superficial</t>
        </is>
      </c>
      <c r="K1427" t="inlineStr">
        <is>
          <t>6.1</t>
        </is>
      </c>
      <c r="L1427" t="inlineStr">
        <is>
          <t>VPC</t>
        </is>
      </c>
      <c r="M1427" t="inlineStr">
        <is>
          <t>Dispositivo descalçado</t>
        </is>
      </c>
      <c r="N1427" t="inlineStr">
        <is>
          <t>O dispositivo de drenagem encontra-se descalçado. É necessário verificar se houve descolamento no fundo, realizar o devido tratamento e proceder com a vedação, garantindo o direcionamento adequado do fluxo para a sarjeta.</t>
        </is>
      </c>
      <c r="O1427" t="inlineStr">
        <is>
          <t>Tipo A</t>
        </is>
      </c>
      <c r="P1427" t="inlineStr">
        <is>
          <t xml:space="preserve">74+780 </t>
        </is>
      </c>
      <c r="Q1427" t="inlineStr">
        <is>
          <t xml:space="preserve"> 74+840</t>
        </is>
      </c>
      <c r="R1427" t="inlineStr">
        <is>
          <t>Aberta</t>
        </is>
      </c>
      <c r="T1427" t="inlineStr">
        <is>
          <t>Aline Batista</t>
        </is>
      </c>
      <c r="U1427" t="inlineStr">
        <is>
          <t>15/05/2026</t>
        </is>
      </c>
      <c r="V1427" t="inlineStr">
        <is>
          <t>22/05/2026</t>
        </is>
      </c>
      <c r="W1427">
        <v>19</v>
      </c>
      <c r="AA1427" t="inlineStr">
        <is>
          <t>Aberta -30 dias</t>
        </is>
      </c>
    </row>
    <row r="1428">
      <c r="A1428">
        <v>1426</v>
      </c>
      <c r="B1428">
        <v>3</v>
      </c>
      <c r="C1428" t="inlineStr">
        <is>
          <t>1.7</t>
        </is>
      </c>
      <c r="D1428" t="inlineStr">
        <is>
          <t>C03</t>
        </is>
      </c>
      <c r="E1428" t="inlineStr">
        <is>
          <t>LD/LE</t>
        </is>
      </c>
      <c r="F1428" t="inlineStr">
        <is>
          <t>APIA</t>
        </is>
      </c>
      <c r="G1428" t="inlineStr">
        <is>
          <t>CLP-018</t>
        </is>
      </c>
      <c r="H1428" t="inlineStr">
        <is>
          <t>Protocolo</t>
        </is>
      </c>
      <c r="I1428">
        <v>6</v>
      </c>
      <c r="J1428" t="inlineStr">
        <is>
          <t>Drenagem Superficial</t>
        </is>
      </c>
      <c r="K1428" t="inlineStr">
        <is>
          <t>6.1</t>
        </is>
      </c>
      <c r="L1428" t="inlineStr">
        <is>
          <t>VPC</t>
        </is>
      </c>
      <c r="M1428" t="inlineStr">
        <is>
          <t>Dispositivo descalçado</t>
        </is>
      </c>
      <c r="N1428" t="inlineStr">
        <is>
          <t>Drenagem descalçada</t>
        </is>
      </c>
      <c r="O1428" t="inlineStr">
        <is>
          <t>Tipo A</t>
        </is>
      </c>
      <c r="P1428" t="inlineStr">
        <is>
          <t>76+800</t>
        </is>
      </c>
      <c r="Q1428" t="inlineStr">
        <is>
          <t>76+800</t>
        </is>
      </c>
      <c r="R1428" t="inlineStr">
        <is>
          <t>Aberta</t>
        </is>
      </c>
      <c r="T1428" t="inlineStr">
        <is>
          <t>Aline Batista</t>
        </is>
      </c>
      <c r="U1428" t="inlineStr">
        <is>
          <t>15/05/2026</t>
        </is>
      </c>
      <c r="V1428" t="inlineStr">
        <is>
          <t>22/05/2026</t>
        </is>
      </c>
      <c r="W1428">
        <v>19</v>
      </c>
      <c r="AA1428" t="inlineStr">
        <is>
          <t>Aberta -30 dias</t>
        </is>
      </c>
    </row>
    <row r="1429">
      <c r="A1429">
        <v>1427</v>
      </c>
      <c r="B1429">
        <v>3</v>
      </c>
      <c r="C1429" t="inlineStr">
        <is>
          <t>1.7</t>
        </is>
      </c>
      <c r="D1429" t="inlineStr">
        <is>
          <t>A03</t>
        </is>
      </c>
      <c r="E1429" t="inlineStr">
        <is>
          <t>LD/LE</t>
        </is>
      </c>
      <c r="F1429" t="inlineStr">
        <is>
          <t>APIA</t>
        </is>
      </c>
      <c r="G1429" t="inlineStr">
        <is>
          <t>CLP-018</t>
        </is>
      </c>
      <c r="H1429" t="inlineStr">
        <is>
          <t>Protocolo</t>
        </is>
      </c>
      <c r="I1429">
        <v>6</v>
      </c>
      <c r="J1429" t="inlineStr">
        <is>
          <t>Drenagem Superficial</t>
        </is>
      </c>
      <c r="K1429" t="inlineStr">
        <is>
          <t>6.10</t>
        </is>
      </c>
      <c r="L1429" t="inlineStr">
        <is>
          <t>VPC</t>
        </is>
      </c>
      <c r="M1429" t="inlineStr">
        <is>
          <t>Obstrução do dispositivo</t>
        </is>
      </c>
      <c r="N1429" t="inlineStr">
        <is>
          <t>Drenagem obstruída por acúmulo de material</t>
        </is>
      </c>
      <c r="O1429" t="inlineStr">
        <is>
          <t>Tipo A</t>
        </is>
      </c>
      <c r="P1429" t="inlineStr">
        <is>
          <t>74+540</t>
        </is>
      </c>
      <c r="Q1429" t="inlineStr">
        <is>
          <t>77+750</t>
        </is>
      </c>
      <c r="R1429" t="inlineStr">
        <is>
          <t>Aberta</t>
        </is>
      </c>
      <c r="T1429" t="inlineStr">
        <is>
          <t>Aline Batista</t>
        </is>
      </c>
      <c r="U1429" t="inlineStr">
        <is>
          <t>15/05/2026</t>
        </is>
      </c>
      <c r="V1429" t="inlineStr">
        <is>
          <t>22/05/2026</t>
        </is>
      </c>
      <c r="W1429">
        <v>19</v>
      </c>
      <c r="AA1429" t="inlineStr">
        <is>
          <t>Aberta -30 dias</t>
        </is>
      </c>
    </row>
    <row r="1430">
      <c r="A1430">
        <v>1428</v>
      </c>
      <c r="B1430">
        <v>3</v>
      </c>
      <c r="C1430" t="inlineStr">
        <is>
          <t>1.7</t>
        </is>
      </c>
      <c r="D1430" t="inlineStr">
        <is>
          <t>C03</t>
        </is>
      </c>
      <c r="E1430" t="inlineStr">
        <is>
          <t>LD/LE</t>
        </is>
      </c>
      <c r="F1430" t="inlineStr">
        <is>
          <t>APIA</t>
        </is>
      </c>
      <c r="G1430" t="inlineStr">
        <is>
          <t>CLP-018</t>
        </is>
      </c>
      <c r="H1430" t="inlineStr">
        <is>
          <t>Protocolo</t>
        </is>
      </c>
      <c r="I1430">
        <v>6</v>
      </c>
      <c r="J1430" t="inlineStr">
        <is>
          <t>Drenagem Superficial</t>
        </is>
      </c>
      <c r="K1430" t="inlineStr">
        <is>
          <t>6.10</t>
        </is>
      </c>
      <c r="L1430" t="inlineStr">
        <is>
          <t>VPC</t>
        </is>
      </c>
      <c r="M1430" t="inlineStr">
        <is>
          <t>Obstrução do dispositivo</t>
        </is>
      </c>
      <c r="N1430" t="inlineStr">
        <is>
          <t>Drenagem obstruída por acúmulo de material</t>
        </is>
      </c>
      <c r="O1430" t="inlineStr">
        <is>
          <t>Tipo A</t>
        </is>
      </c>
      <c r="P1430" t="inlineStr">
        <is>
          <t>73+900</t>
        </is>
      </c>
      <c r="Q1430" t="inlineStr">
        <is>
          <t>74+000</t>
        </is>
      </c>
      <c r="R1430" t="inlineStr">
        <is>
          <t>Aberta</t>
        </is>
      </c>
      <c r="T1430" t="inlineStr">
        <is>
          <t>Aline Batista</t>
        </is>
      </c>
      <c r="U1430" t="inlineStr">
        <is>
          <t>15/05/2026</t>
        </is>
      </c>
      <c r="V1430" t="inlineStr">
        <is>
          <t>22/05/2026</t>
        </is>
      </c>
      <c r="W1430">
        <v>19</v>
      </c>
      <c r="AA1430" t="inlineStr">
        <is>
          <t>Aberta -30 dias</t>
        </is>
      </c>
    </row>
    <row r="1431">
      <c r="A1431">
        <v>1429</v>
      </c>
      <c r="B1431">
        <v>3</v>
      </c>
      <c r="C1431" t="inlineStr">
        <is>
          <t>1.7</t>
        </is>
      </c>
      <c r="D1431" t="inlineStr">
        <is>
          <t>A04</t>
        </is>
      </c>
      <c r="E1431" t="inlineStr">
        <is>
          <t>LD/LE</t>
        </is>
      </c>
      <c r="F1431" t="inlineStr">
        <is>
          <t>APIA</t>
        </is>
      </c>
      <c r="G1431" t="inlineStr">
        <is>
          <t>CLP-018</t>
        </is>
      </c>
      <c r="H1431" t="inlineStr">
        <is>
          <t>Protocolo</t>
        </is>
      </c>
      <c r="I1431">
        <v>6</v>
      </c>
      <c r="J1431" t="inlineStr">
        <is>
          <t>Drenagem Superficial</t>
        </is>
      </c>
      <c r="K1431" t="inlineStr">
        <is>
          <t>6.10</t>
        </is>
      </c>
      <c r="L1431" t="inlineStr">
        <is>
          <t>VPC</t>
        </is>
      </c>
      <c r="M1431" t="inlineStr">
        <is>
          <t>Obstrução do dispositivo</t>
        </is>
      </c>
      <c r="N1431" t="inlineStr">
        <is>
          <t>Drenagem obstruída por acúmulo de material</t>
        </is>
      </c>
      <c r="O1431" t="inlineStr">
        <is>
          <t>Tipo A</t>
        </is>
      </c>
      <c r="P1431" t="inlineStr">
        <is>
          <t>74+340</t>
        </is>
      </c>
      <c r="Q1431">
        <v>75080</v>
      </c>
      <c r="R1431" t="inlineStr">
        <is>
          <t>Aberta</t>
        </is>
      </c>
      <c r="T1431" t="inlineStr">
        <is>
          <t>Aline Batista</t>
        </is>
      </c>
      <c r="U1431" t="inlineStr">
        <is>
          <t>15/05/2026</t>
        </is>
      </c>
      <c r="V1431" t="inlineStr">
        <is>
          <t>22/05/2026</t>
        </is>
      </c>
      <c r="W1431">
        <v>19</v>
      </c>
      <c r="AA1431" t="inlineStr">
        <is>
          <t>Aberta -30 dias</t>
        </is>
      </c>
    </row>
    <row r="1432">
      <c r="A1432">
        <v>1430</v>
      </c>
      <c r="B1432">
        <v>3</v>
      </c>
      <c r="C1432" t="inlineStr">
        <is>
          <t>1.7</t>
        </is>
      </c>
      <c r="D1432" t="inlineStr">
        <is>
          <t>A05</t>
        </is>
      </c>
      <c r="E1432" t="inlineStr">
        <is>
          <t>LD/LE</t>
        </is>
      </c>
      <c r="F1432" t="inlineStr">
        <is>
          <t>APIA</t>
        </is>
      </c>
      <c r="G1432" t="inlineStr">
        <is>
          <t>CLP-018</t>
        </is>
      </c>
      <c r="H1432" t="inlineStr">
        <is>
          <t>Protocolo</t>
        </is>
      </c>
      <c r="I1432">
        <v>6</v>
      </c>
      <c r="J1432" t="inlineStr">
        <is>
          <t>Drenagem Superficial</t>
        </is>
      </c>
      <c r="K1432" t="inlineStr">
        <is>
          <t>6.10</t>
        </is>
      </c>
      <c r="L1432" t="inlineStr">
        <is>
          <t>VPC</t>
        </is>
      </c>
      <c r="M1432" t="inlineStr">
        <is>
          <t>Obstrução do dispositivo</t>
        </is>
      </c>
      <c r="N1432" t="inlineStr">
        <is>
          <t>Drenagem obstruída por acúmulo de material</t>
        </is>
      </c>
      <c r="O1432" t="inlineStr">
        <is>
          <t>Tipo A</t>
        </is>
      </c>
      <c r="P1432" t="inlineStr">
        <is>
          <t>75+100</t>
        </is>
      </c>
      <c r="Q1432">
        <v>76260</v>
      </c>
      <c r="R1432" t="inlineStr">
        <is>
          <t>Aberta</t>
        </is>
      </c>
      <c r="T1432" t="inlineStr">
        <is>
          <t>Aline Batista</t>
        </is>
      </c>
      <c r="U1432" t="inlineStr">
        <is>
          <t>15/05/2026</t>
        </is>
      </c>
      <c r="V1432" t="inlineStr">
        <is>
          <t>22/05/2026</t>
        </is>
      </c>
      <c r="W1432">
        <v>19</v>
      </c>
      <c r="AA1432" t="inlineStr">
        <is>
          <t>Aberta -30 dias</t>
        </is>
      </c>
    </row>
    <row r="1433">
      <c r="A1433">
        <v>1431</v>
      </c>
      <c r="B1433">
        <v>3</v>
      </c>
      <c r="C1433" t="inlineStr">
        <is>
          <t>1.7</t>
        </is>
      </c>
      <c r="D1433" t="inlineStr">
        <is>
          <t>A03</t>
        </is>
      </c>
      <c r="E1433" t="inlineStr">
        <is>
          <t>LD/LE</t>
        </is>
      </c>
      <c r="F1433" t="inlineStr">
        <is>
          <t>APIA</t>
        </is>
      </c>
      <c r="G1433" t="inlineStr">
        <is>
          <t>CLP-018</t>
        </is>
      </c>
      <c r="H1433" t="inlineStr">
        <is>
          <t>Protocolo</t>
        </is>
      </c>
      <c r="I1433">
        <v>6</v>
      </c>
      <c r="J1433" t="inlineStr">
        <is>
          <t>Drenagem Superficial</t>
        </is>
      </c>
      <c r="K1433" t="inlineStr">
        <is>
          <t>6.10</t>
        </is>
      </c>
      <c r="L1433" t="inlineStr">
        <is>
          <t>VPC</t>
        </is>
      </c>
      <c r="M1433" t="inlineStr">
        <is>
          <t>Obstrução do dispositivo</t>
        </is>
      </c>
      <c r="N1433" t="inlineStr">
        <is>
          <t>A drenagem da plataforma encontra-se assoreada, sendo necessária a limpeza para restabelecer o escoamento.</t>
        </is>
      </c>
      <c r="O1433" t="inlineStr">
        <is>
          <t>Tipo A</t>
        </is>
      </c>
      <c r="P1433" t="inlineStr">
        <is>
          <t>76+500</t>
        </is>
      </c>
      <c r="Q1433">
        <v>76720</v>
      </c>
      <c r="R1433" t="inlineStr">
        <is>
          <t>Aberta</t>
        </is>
      </c>
      <c r="T1433" t="inlineStr">
        <is>
          <t>Aline Batista</t>
        </is>
      </c>
      <c r="U1433" t="inlineStr">
        <is>
          <t>15/05/2026</t>
        </is>
      </c>
      <c r="V1433" t="inlineStr">
        <is>
          <t>22/05/2026</t>
        </is>
      </c>
      <c r="W1433">
        <v>19</v>
      </c>
      <c r="AA1433" t="inlineStr">
        <is>
          <t>Aberta -30 dias</t>
        </is>
      </c>
    </row>
    <row r="1434">
      <c r="A1434">
        <v>1432</v>
      </c>
      <c r="B1434">
        <v>3</v>
      </c>
      <c r="C1434" t="inlineStr">
        <is>
          <t>1.7</t>
        </is>
      </c>
      <c r="D1434" t="inlineStr">
        <is>
          <t>A07</t>
        </is>
      </c>
      <c r="E1434" t="inlineStr">
        <is>
          <t>LD</t>
        </is>
      </c>
      <c r="F1434" t="inlineStr">
        <is>
          <t>APIA</t>
        </is>
      </c>
      <c r="G1434" t="inlineStr">
        <is>
          <t>CLP-018</t>
        </is>
      </c>
      <c r="H1434" t="inlineStr">
        <is>
          <t>Protocolo</t>
        </is>
      </c>
      <c r="I1434">
        <v>6</v>
      </c>
      <c r="J1434" t="inlineStr">
        <is>
          <t>Drenagem Superficial</t>
        </is>
      </c>
      <c r="K1434" t="inlineStr">
        <is>
          <t>6.10</t>
        </is>
      </c>
      <c r="L1434" t="inlineStr">
        <is>
          <t>VPC</t>
        </is>
      </c>
      <c r="M1434" t="inlineStr">
        <is>
          <t>Obstrução do dispositivo</t>
        </is>
      </c>
      <c r="N1434" t="inlineStr">
        <is>
          <t>Canaletas obstruídas; necessária limpeza e desobstrução para restabelecimento da drenagem.</t>
        </is>
      </c>
      <c r="O1434" t="inlineStr">
        <is>
          <t>Tipo A</t>
        </is>
      </c>
      <c r="P1434" t="inlineStr">
        <is>
          <t xml:space="preserve">73+800 </t>
        </is>
      </c>
      <c r="Q1434" t="inlineStr">
        <is>
          <t>74+260</t>
        </is>
      </c>
      <c r="R1434" t="inlineStr">
        <is>
          <t>Aberta</t>
        </is>
      </c>
      <c r="T1434" t="inlineStr">
        <is>
          <t>Aline Batista</t>
        </is>
      </c>
      <c r="U1434" t="inlineStr">
        <is>
          <t>15/05/2026</t>
        </is>
      </c>
      <c r="V1434" t="inlineStr">
        <is>
          <t>22/05/2026</t>
        </is>
      </c>
      <c r="W1434">
        <v>19</v>
      </c>
      <c r="AA1434" t="inlineStr">
        <is>
          <t>Aberta -30 dias</t>
        </is>
      </c>
    </row>
    <row r="1435">
      <c r="A1435">
        <v>1433</v>
      </c>
      <c r="B1435">
        <v>3</v>
      </c>
      <c r="C1435" t="inlineStr">
        <is>
          <t>1.7</t>
        </is>
      </c>
      <c r="D1435" t="inlineStr">
        <is>
          <t>A07</t>
        </is>
      </c>
      <c r="E1435" t="inlineStr">
        <is>
          <t>LD/LE</t>
        </is>
      </c>
      <c r="F1435" t="inlineStr">
        <is>
          <t>APIA</t>
        </is>
      </c>
      <c r="G1435" t="inlineStr">
        <is>
          <t>CLP-018</t>
        </is>
      </c>
      <c r="H1435" t="inlineStr">
        <is>
          <t>Protocolo</t>
        </is>
      </c>
      <c r="I1435">
        <v>6</v>
      </c>
      <c r="J1435" t="inlineStr">
        <is>
          <t>Drenagem Superficial</t>
        </is>
      </c>
      <c r="K1435" t="inlineStr">
        <is>
          <t>6.10</t>
        </is>
      </c>
      <c r="L1435" t="inlineStr">
        <is>
          <t>Drenagem</t>
        </is>
      </c>
      <c r="M1435" t="inlineStr">
        <is>
          <t>Obstrução do dispositivo</t>
        </is>
      </c>
      <c r="N1435" t="inlineStr">
        <is>
          <t>Alta vegetação impedindo a inspeção dos ativos laterais a plataforma .</t>
        </is>
      </c>
      <c r="O1435" t="inlineStr">
        <is>
          <t>Tipo B</t>
        </is>
      </c>
      <c r="P1435" t="inlineStr">
        <is>
          <t>79+000</t>
        </is>
      </c>
      <c r="Q1435" t="inlineStr">
        <is>
          <t>79+000</t>
        </is>
      </c>
      <c r="R1435" t="inlineStr">
        <is>
          <t>Aberta</t>
        </is>
      </c>
      <c r="T1435" t="inlineStr">
        <is>
          <t>Aline Batista</t>
        </is>
      </c>
      <c r="U1435" t="inlineStr">
        <is>
          <t>15/05/2026</t>
        </is>
      </c>
      <c r="V1435" t="inlineStr">
        <is>
          <t>30/05/2026</t>
        </is>
      </c>
      <c r="W1435">
        <v>11</v>
      </c>
      <c r="AA1435" t="inlineStr">
        <is>
          <t>Aberta -30 dias</t>
        </is>
      </c>
    </row>
    <row r="1436">
      <c r="A1436">
        <v>1434</v>
      </c>
      <c r="B1436">
        <v>3</v>
      </c>
      <c r="C1436" t="inlineStr">
        <is>
          <t>1.7</t>
        </is>
      </c>
      <c r="D1436" t="inlineStr">
        <is>
          <t>A03</t>
        </is>
      </c>
      <c r="E1436" t="inlineStr">
        <is>
          <t>LD</t>
        </is>
      </c>
      <c r="F1436" t="inlineStr">
        <is>
          <t>APIA</t>
        </is>
      </c>
      <c r="G1436" t="inlineStr">
        <is>
          <t>CLP-018</t>
        </is>
      </c>
      <c r="H1436" t="inlineStr">
        <is>
          <t>Protocolo</t>
        </is>
      </c>
      <c r="I1436">
        <v>6</v>
      </c>
      <c r="J1436" t="inlineStr">
        <is>
          <t>Drenagem Superficial</t>
        </is>
      </c>
      <c r="K1436" t="inlineStr">
        <is>
          <t>6.10</t>
        </is>
      </c>
      <c r="L1436" t="inlineStr">
        <is>
          <t>VPC</t>
        </is>
      </c>
      <c r="M1436" t="inlineStr">
        <is>
          <t>Obstrução do dispositivo</t>
        </is>
      </c>
      <c r="N1436" t="inlineStr">
        <is>
          <t xml:space="preserve">Descidas d'água obstruídas </t>
        </is>
      </c>
      <c r="O1436" t="inlineStr">
        <is>
          <t>Tipo B</t>
        </is>
      </c>
      <c r="P1436" t="inlineStr">
        <is>
          <t>73+800</t>
        </is>
      </c>
      <c r="Q1436">
        <v>80180</v>
      </c>
      <c r="R1436" t="inlineStr">
        <is>
          <t>Aberta</t>
        </is>
      </c>
      <c r="T1436" t="inlineStr">
        <is>
          <t>Aline Batista</t>
        </is>
      </c>
      <c r="U1436" t="inlineStr">
        <is>
          <t>15/05/2026</t>
        </is>
      </c>
      <c r="V1436" t="inlineStr">
        <is>
          <t>30/05/2026</t>
        </is>
      </c>
      <c r="W1436">
        <v>11</v>
      </c>
      <c r="AA1436" t="inlineStr">
        <is>
          <t>Aberta -30 dias</t>
        </is>
      </c>
    </row>
    <row r="1437">
      <c r="A1437">
        <v>1435</v>
      </c>
      <c r="B1437">
        <v>3</v>
      </c>
      <c r="C1437" t="inlineStr">
        <is>
          <t>1.7</t>
        </is>
      </c>
      <c r="D1437" t="inlineStr">
        <is>
          <t>C07</t>
        </is>
      </c>
      <c r="E1437" t="inlineStr">
        <is>
          <t>E</t>
        </is>
      </c>
      <c r="F1437" t="inlineStr">
        <is>
          <t>APIA</t>
        </is>
      </c>
      <c r="G1437" t="inlineStr">
        <is>
          <t>CLP-018</t>
        </is>
      </c>
      <c r="H1437" t="inlineStr">
        <is>
          <t>Protocolo</t>
        </is>
      </c>
      <c r="I1437">
        <v>6</v>
      </c>
      <c r="J1437" t="inlineStr">
        <is>
          <t>Drenagem Superficial</t>
        </is>
      </c>
      <c r="K1437" t="inlineStr">
        <is>
          <t>6.2</t>
        </is>
      </c>
      <c r="L1437" t="inlineStr">
        <is>
          <t>SZC 01</t>
        </is>
      </c>
      <c r="M1437" t="inlineStr">
        <is>
          <t>Dispositivo não executado</t>
        </is>
      </c>
      <c r="N1437" t="inlineStr">
        <is>
          <t>Sarjeta não executada.</t>
        </is>
      </c>
      <c r="O1437" t="inlineStr">
        <is>
          <t>Tipo A</t>
        </is>
      </c>
      <c r="P1437" t="inlineStr">
        <is>
          <t>74+200</t>
        </is>
      </c>
      <c r="Q1437">
        <v>76000</v>
      </c>
      <c r="R1437" t="inlineStr">
        <is>
          <t>Aberta</t>
        </is>
      </c>
      <c r="T1437" t="inlineStr">
        <is>
          <t>Aline Batista</t>
        </is>
      </c>
      <c r="U1437" t="inlineStr">
        <is>
          <t>15/05/2026</t>
        </is>
      </c>
      <c r="V1437" t="inlineStr">
        <is>
          <t>22/05/2026</t>
        </is>
      </c>
      <c r="W1437">
        <v>19</v>
      </c>
      <c r="AA1437" t="inlineStr">
        <is>
          <t>Aberta -30 dias</t>
        </is>
      </c>
    </row>
    <row r="1438">
      <c r="A1438">
        <v>1436</v>
      </c>
      <c r="B1438">
        <v>3</v>
      </c>
      <c r="C1438" t="inlineStr">
        <is>
          <t>1.7</t>
        </is>
      </c>
      <c r="D1438" t="inlineStr">
        <is>
          <t>C07</t>
        </is>
      </c>
      <c r="E1438" t="inlineStr">
        <is>
          <t>D</t>
        </is>
      </c>
      <c r="F1438" t="inlineStr">
        <is>
          <t>APIA</t>
        </is>
      </c>
      <c r="G1438" t="inlineStr">
        <is>
          <t>CLP-018</t>
        </is>
      </c>
      <c r="H1438" t="inlineStr">
        <is>
          <t>Protocolo</t>
        </is>
      </c>
      <c r="I1438">
        <v>6</v>
      </c>
      <c r="J1438" t="inlineStr">
        <is>
          <t>Drenagem Superficial</t>
        </is>
      </c>
      <c r="K1438" t="inlineStr">
        <is>
          <t>6.2</t>
        </is>
      </c>
      <c r="L1438" t="inlineStr">
        <is>
          <t>SZC 01</t>
        </is>
      </c>
      <c r="M1438" t="inlineStr">
        <is>
          <t>Dispositivo não executado</t>
        </is>
      </c>
      <c r="N1438" t="inlineStr">
        <is>
          <t>Sarjeta não executada.</t>
        </is>
      </c>
      <c r="O1438" t="inlineStr">
        <is>
          <t>Tipo A</t>
        </is>
      </c>
      <c r="P1438" t="inlineStr">
        <is>
          <t>78+860</t>
        </is>
      </c>
      <c r="Q1438" t="inlineStr">
        <is>
          <t>78+750</t>
        </is>
      </c>
      <c r="R1438" t="inlineStr">
        <is>
          <t>Aberta</t>
        </is>
      </c>
      <c r="T1438" t="inlineStr">
        <is>
          <t>Aline Batista</t>
        </is>
      </c>
      <c r="U1438" t="inlineStr">
        <is>
          <t>15/05/2026</t>
        </is>
      </c>
      <c r="V1438" t="inlineStr">
        <is>
          <t>22/05/2026</t>
        </is>
      </c>
      <c r="W1438">
        <v>19</v>
      </c>
      <c r="AA1438" t="inlineStr">
        <is>
          <t>Aberta -30 dias</t>
        </is>
      </c>
    </row>
    <row r="1439">
      <c r="A1439">
        <v>1437</v>
      </c>
      <c r="B1439">
        <v>3</v>
      </c>
      <c r="C1439" t="inlineStr">
        <is>
          <t>1.7</t>
        </is>
      </c>
      <c r="D1439" t="inlineStr">
        <is>
          <t>A03</t>
        </is>
      </c>
      <c r="E1439" t="inlineStr">
        <is>
          <t>LE</t>
        </is>
      </c>
      <c r="F1439" t="inlineStr">
        <is>
          <t>APIA</t>
        </is>
      </c>
      <c r="G1439" t="inlineStr">
        <is>
          <t>CLP-018</t>
        </is>
      </c>
      <c r="H1439" t="inlineStr">
        <is>
          <t>Protocolo</t>
        </is>
      </c>
      <c r="I1439">
        <v>6</v>
      </c>
      <c r="J1439" t="inlineStr">
        <is>
          <t>Drenagem Superficial</t>
        </is>
      </c>
      <c r="K1439" t="inlineStr">
        <is>
          <t>6.2</t>
        </is>
      </c>
      <c r="L1439" t="inlineStr">
        <is>
          <t>SZC 01</t>
        </is>
      </c>
      <c r="M1439" t="inlineStr">
        <is>
          <t>Execuçao divergente do projeto</t>
        </is>
      </c>
      <c r="N1439" t="inlineStr">
        <is>
          <t xml:space="preserve">A sarjeta de aterro foi prolongada e conectada à sarjeta de corte. É necessário remover essa ligação e direcionar o deságue da sarjeta de aterro por meio de descida adequada.
A drenagem da plataforma encontra-se assoreada, sendo necessária a limpeza para restabelecer o escoamento.</t>
        </is>
      </c>
      <c r="O1439" t="inlineStr">
        <is>
          <t>Tipo A</t>
        </is>
      </c>
      <c r="P1439" t="inlineStr">
        <is>
          <t>78+870</t>
        </is>
      </c>
      <c r="Q1439" t="inlineStr">
        <is>
          <t>78+735</t>
        </is>
      </c>
      <c r="R1439" t="inlineStr">
        <is>
          <t>Aberta</t>
        </is>
      </c>
      <c r="T1439" t="inlineStr">
        <is>
          <t>Aline Batista</t>
        </is>
      </c>
      <c r="U1439" t="inlineStr">
        <is>
          <t>15/05/2026</t>
        </is>
      </c>
      <c r="V1439" t="inlineStr">
        <is>
          <t>22/05/2026</t>
        </is>
      </c>
      <c r="W1439">
        <v>19</v>
      </c>
      <c r="AA1439" t="inlineStr">
        <is>
          <t>Aberta -30 dias</t>
        </is>
      </c>
    </row>
    <row r="1440">
      <c r="A1440">
        <v>1438</v>
      </c>
      <c r="B1440">
        <v>3</v>
      </c>
      <c r="C1440" t="inlineStr">
        <is>
          <t>1.7</t>
        </is>
      </c>
      <c r="D1440" t="inlineStr">
        <is>
          <t>C03</t>
        </is>
      </c>
      <c r="E1440" t="inlineStr">
        <is>
          <t>LD/LE</t>
        </is>
      </c>
      <c r="F1440" t="inlineStr">
        <is>
          <t>APIA</t>
        </is>
      </c>
      <c r="G1440" t="inlineStr">
        <is>
          <t>CLP-018</t>
        </is>
      </c>
      <c r="H1440" t="inlineStr">
        <is>
          <t>Protocolo</t>
        </is>
      </c>
      <c r="I1440">
        <v>6</v>
      </c>
      <c r="J1440" t="inlineStr">
        <is>
          <t>Drenagem Superficial</t>
        </is>
      </c>
      <c r="K1440" t="inlineStr">
        <is>
          <t>6.2</t>
        </is>
      </c>
      <c r="L1440" t="inlineStr">
        <is>
          <t>CID</t>
        </is>
      </c>
      <c r="M1440" t="inlineStr">
        <is>
          <t>Execuçao divergente do projeto</t>
        </is>
      </c>
      <c r="N1440" t="inlineStr">
        <is>
          <t>A caixa de inspeção de drenagem (CID) está implantada no interior da sarjeta de plataforma, em ambos os lados. É necessário readequar o dispositivo, de forma a não comprometer a seção hidráulica da sarjeta.</t>
        </is>
      </c>
      <c r="O1440" t="inlineStr">
        <is>
          <t>Tipo A</t>
        </is>
      </c>
      <c r="P1440" t="inlineStr">
        <is>
          <t>74+260</t>
        </is>
      </c>
      <c r="Q1440" t="inlineStr">
        <is>
          <t xml:space="preserve"> 74+320</t>
        </is>
      </c>
      <c r="R1440" t="inlineStr">
        <is>
          <t>Aberta</t>
        </is>
      </c>
      <c r="T1440" t="inlineStr">
        <is>
          <t>Aline Batista</t>
        </is>
      </c>
      <c r="U1440" t="inlineStr">
        <is>
          <t>15/05/2026</t>
        </is>
      </c>
      <c r="V1440" t="inlineStr">
        <is>
          <t>22/05/2026</t>
        </is>
      </c>
      <c r="W1440">
        <v>19</v>
      </c>
      <c r="AA1440" t="inlineStr">
        <is>
          <t>Aberta -30 dias</t>
        </is>
      </c>
    </row>
    <row r="1441">
      <c r="A1441">
        <v>1439</v>
      </c>
      <c r="B1441">
        <v>3</v>
      </c>
      <c r="C1441" t="inlineStr">
        <is>
          <t>1.7</t>
        </is>
      </c>
      <c r="D1441" t="inlineStr">
        <is>
          <t>A06</t>
        </is>
      </c>
      <c r="E1441" t="inlineStr">
        <is>
          <t>E</t>
        </is>
      </c>
      <c r="F1441" t="inlineStr">
        <is>
          <t>APIA</t>
        </is>
      </c>
      <c r="G1441" t="inlineStr">
        <is>
          <t>CLP-018</t>
        </is>
      </c>
      <c r="H1441" t="inlineStr">
        <is>
          <t>Protocolo</t>
        </is>
      </c>
      <c r="I1441">
        <v>6</v>
      </c>
      <c r="J1441" t="inlineStr">
        <is>
          <t>Drenagem Superficial</t>
        </is>
      </c>
      <c r="K1441" t="inlineStr">
        <is>
          <t>6.4</t>
        </is>
      </c>
      <c r="L1441" t="inlineStr">
        <is>
          <t>DVS 01</t>
        </is>
      </c>
      <c r="M1441" t="inlineStr">
        <is>
          <t>Dispositivo não executado</t>
        </is>
      </c>
      <c r="N1441" t="inlineStr">
        <is>
          <t>Dissipador não executado.</t>
        </is>
      </c>
      <c r="O1441" t="inlineStr">
        <is>
          <t>Tipo A</t>
        </is>
      </c>
      <c r="P1441" t="inlineStr">
        <is>
          <t>74+920</t>
        </is>
      </c>
      <c r="Q1441" t="inlineStr">
        <is>
          <t>74+920</t>
        </is>
      </c>
      <c r="R1441" t="inlineStr">
        <is>
          <t>Aberta</t>
        </is>
      </c>
      <c r="T1441" t="inlineStr">
        <is>
          <t>Aline Batista</t>
        </is>
      </c>
      <c r="U1441" t="inlineStr">
        <is>
          <t>15/05/2026</t>
        </is>
      </c>
      <c r="V1441" t="inlineStr">
        <is>
          <t>22/05/2026</t>
        </is>
      </c>
      <c r="W1441">
        <v>19</v>
      </c>
      <c r="AA1441" t="inlineStr">
        <is>
          <t>Aberta -30 dias</t>
        </is>
      </c>
    </row>
    <row r="1442">
      <c r="A1442">
        <v>1440</v>
      </c>
      <c r="B1442">
        <v>3</v>
      </c>
      <c r="C1442" t="inlineStr">
        <is>
          <t>1.7</t>
        </is>
      </c>
      <c r="D1442" t="inlineStr">
        <is>
          <t>A03</t>
        </is>
      </c>
      <c r="E1442" t="inlineStr">
        <is>
          <t xml:space="preserve">LD/LE </t>
        </is>
      </c>
      <c r="F1442" t="inlineStr">
        <is>
          <t>APIA</t>
        </is>
      </c>
      <c r="G1442" t="inlineStr">
        <is>
          <t>CLP-018</t>
        </is>
      </c>
      <c r="H1442" t="inlineStr">
        <is>
          <t>Protocolo</t>
        </is>
      </c>
      <c r="I1442">
        <v>6</v>
      </c>
      <c r="J1442" t="inlineStr">
        <is>
          <t>Drenagem Superficial</t>
        </is>
      </c>
      <c r="K1442" t="inlineStr">
        <is>
          <t>6.5</t>
        </is>
      </c>
      <c r="L1442" t="inlineStr">
        <is>
          <t>Dissipador de energia</t>
        </is>
      </c>
      <c r="M1442" t="inlineStr">
        <is>
          <t>Patologias no Concreto</t>
        </is>
      </c>
      <c r="N1442" t="inlineStr">
        <is>
          <t>Tratamentos contra fissuras não eficiente, perca do material aplicado sobre a superfície, verificado fissuras nos dispositivos.</t>
        </is>
      </c>
      <c r="O1442" t="inlineStr">
        <is>
          <t>Tipo A</t>
        </is>
      </c>
      <c r="P1442" t="inlineStr">
        <is>
          <t>78+750</t>
        </is>
      </c>
      <c r="Q1442" t="inlineStr">
        <is>
          <t>78+750</t>
        </is>
      </c>
      <c r="R1442" t="inlineStr">
        <is>
          <t>Aberta</t>
        </is>
      </c>
      <c r="T1442" t="inlineStr">
        <is>
          <t>Aline Batista</t>
        </is>
      </c>
      <c r="U1442" t="inlineStr">
        <is>
          <t>15/05/2026</t>
        </is>
      </c>
      <c r="V1442" t="inlineStr">
        <is>
          <t>22/05/2026</t>
        </is>
      </c>
      <c r="W1442">
        <v>19</v>
      </c>
      <c r="AA1442" t="inlineStr">
        <is>
          <t>Aberta -30 dias</t>
        </is>
      </c>
    </row>
    <row r="1443">
      <c r="A1443">
        <v>1441</v>
      </c>
      <c r="B1443">
        <v>3</v>
      </c>
      <c r="C1443" t="inlineStr">
        <is>
          <t>1.7</t>
        </is>
      </c>
      <c r="D1443" t="inlineStr">
        <is>
          <t>C03</t>
        </is>
      </c>
      <c r="E1443" t="inlineStr">
        <is>
          <t>LD/LE</t>
        </is>
      </c>
      <c r="F1443" t="inlineStr">
        <is>
          <t>APIA</t>
        </is>
      </c>
      <c r="G1443" t="inlineStr">
        <is>
          <t>CLP-018</t>
        </is>
      </c>
      <c r="H1443" t="inlineStr">
        <is>
          <t>Protocolo</t>
        </is>
      </c>
      <c r="I1443">
        <v>6</v>
      </c>
      <c r="J1443" t="inlineStr">
        <is>
          <t>Drenagem Superficial</t>
        </is>
      </c>
      <c r="K1443" t="inlineStr">
        <is>
          <t>6.7</t>
        </is>
      </c>
      <c r="L1443" t="inlineStr">
        <is>
          <t>VPC</t>
        </is>
      </c>
      <c r="M1443" t="inlineStr">
        <is>
          <t>Patologias no Concreto</t>
        </is>
      </c>
      <c r="N1443" t="inlineStr">
        <is>
          <t>Presença de fissuras nos dispositivos de drenagem.</t>
        </is>
      </c>
      <c r="O1443" t="inlineStr">
        <is>
          <t>Tipo A</t>
        </is>
      </c>
      <c r="P1443" t="inlineStr">
        <is>
          <t>73+800</t>
        </is>
      </c>
      <c r="Q1443">
        <v>74320</v>
      </c>
      <c r="R1443" t="inlineStr">
        <is>
          <t>Aberta</t>
        </is>
      </c>
      <c r="T1443" t="inlineStr">
        <is>
          <t>Aline Batista</t>
        </is>
      </c>
      <c r="U1443" t="inlineStr">
        <is>
          <t>15/05/2026</t>
        </is>
      </c>
      <c r="V1443" t="inlineStr">
        <is>
          <t>22/05/2026</t>
        </is>
      </c>
      <c r="W1443">
        <v>19</v>
      </c>
      <c r="AA1443" t="inlineStr">
        <is>
          <t>Aberta -30 dias</t>
        </is>
      </c>
    </row>
    <row r="1444">
      <c r="A1444">
        <v>1442</v>
      </c>
      <c r="B1444">
        <v>3</v>
      </c>
      <c r="C1444" t="inlineStr">
        <is>
          <t>1.7</t>
        </is>
      </c>
      <c r="D1444" t="inlineStr">
        <is>
          <t>C06</t>
        </is>
      </c>
      <c r="E1444" t="inlineStr">
        <is>
          <t>LD/LE</t>
        </is>
      </c>
      <c r="F1444" t="inlineStr">
        <is>
          <t>APIA</t>
        </is>
      </c>
      <c r="G1444" t="inlineStr">
        <is>
          <t>CLP-018</t>
        </is>
      </c>
      <c r="H1444" t="inlineStr">
        <is>
          <t>Protocolo</t>
        </is>
      </c>
      <c r="I1444">
        <v>6</v>
      </c>
      <c r="J1444" t="inlineStr">
        <is>
          <t>Drenagem Superficial</t>
        </is>
      </c>
      <c r="K1444" t="inlineStr">
        <is>
          <t>6.7</t>
        </is>
      </c>
      <c r="L1444" t="inlineStr">
        <is>
          <t>VPC</t>
        </is>
      </c>
      <c r="M1444" t="inlineStr">
        <is>
          <t>Drenagem danificadas</t>
        </is>
      </c>
      <c r="N1444" t="inlineStr">
        <is>
          <t xml:space="preserve">Presença de avarias ao longo do dispositivo de drenagem </t>
        </is>
      </c>
      <c r="O1444" t="inlineStr">
        <is>
          <t>Tipo A</t>
        </is>
      </c>
      <c r="P1444" t="inlineStr">
        <is>
          <t>74+340</t>
        </is>
      </c>
      <c r="Q1444">
        <v>75080</v>
      </c>
      <c r="R1444" t="inlineStr">
        <is>
          <t>Aberta</t>
        </is>
      </c>
      <c r="T1444" t="inlineStr">
        <is>
          <t>Aline Batista</t>
        </is>
      </c>
      <c r="U1444" t="inlineStr">
        <is>
          <t>15/05/2026</t>
        </is>
      </c>
      <c r="V1444" t="inlineStr">
        <is>
          <t>22/05/2026</t>
        </is>
      </c>
      <c r="W1444">
        <v>19</v>
      </c>
      <c r="AA1444" t="inlineStr">
        <is>
          <t>Aberta -30 dias</t>
        </is>
      </c>
    </row>
    <row r="1445">
      <c r="A1445">
        <v>1443</v>
      </c>
      <c r="B1445">
        <v>3</v>
      </c>
      <c r="C1445" t="inlineStr">
        <is>
          <t>1.7</t>
        </is>
      </c>
      <c r="D1445" t="inlineStr">
        <is>
          <t>A03</t>
        </is>
      </c>
      <c r="E1445" t="inlineStr">
        <is>
          <t>LD</t>
        </is>
      </c>
      <c r="F1445" t="inlineStr">
        <is>
          <t>APIA</t>
        </is>
      </c>
      <c r="G1445" t="inlineStr">
        <is>
          <t>CLP-018</t>
        </is>
      </c>
      <c r="H1445" t="inlineStr">
        <is>
          <t>Protocolo</t>
        </is>
      </c>
      <c r="I1445">
        <v>6</v>
      </c>
      <c r="J1445" t="inlineStr">
        <is>
          <t>Drenagem Superficial</t>
        </is>
      </c>
      <c r="K1445" t="inlineStr">
        <is>
          <t>6.9</t>
        </is>
      </c>
      <c r="L1445" t="inlineStr">
        <is>
          <t>EDA</t>
        </is>
      </c>
      <c r="M1445" t="inlineStr">
        <is>
          <t>Drenagem danificadas</t>
        </is>
      </c>
      <c r="N1445" t="inlineStr">
        <is>
          <t>EDA danificada.</t>
        </is>
      </c>
      <c r="O1445" t="inlineStr">
        <is>
          <t>Tipo B</t>
        </is>
      </c>
      <c r="P1445" t="inlineStr">
        <is>
          <t>77+100</t>
        </is>
      </c>
      <c r="Q1445">
        <v>77100</v>
      </c>
      <c r="R1445" t="inlineStr">
        <is>
          <t>Aberta</t>
        </is>
      </c>
      <c r="T1445" t="inlineStr">
        <is>
          <t>Aline Batista</t>
        </is>
      </c>
      <c r="U1445" t="inlineStr">
        <is>
          <t>15/05/2026</t>
        </is>
      </c>
      <c r="V1445" t="inlineStr">
        <is>
          <t>30/05/2026</t>
        </is>
      </c>
      <c r="W1445">
        <v>11</v>
      </c>
      <c r="AA1445" t="inlineStr">
        <is>
          <t>Aberta -30 dias</t>
        </is>
      </c>
    </row>
    <row r="1446">
      <c r="A1446">
        <v>1444</v>
      </c>
      <c r="B1446">
        <v>3</v>
      </c>
      <c r="C1446" t="inlineStr">
        <is>
          <t>1.7</t>
        </is>
      </c>
      <c r="D1446" t="inlineStr">
        <is>
          <t>A02</t>
        </is>
      </c>
      <c r="F1446" t="inlineStr">
        <is>
          <t>APIA</t>
        </is>
      </c>
      <c r="G1446" t="inlineStr">
        <is>
          <t>CLP-018</t>
        </is>
      </c>
      <c r="H1446" t="inlineStr">
        <is>
          <t>Protocolo</t>
        </is>
      </c>
      <c r="I1446">
        <v>6</v>
      </c>
      <c r="J1446" t="inlineStr">
        <is>
          <t>Drenagem Superficial</t>
        </is>
      </c>
      <c r="K1446" t="inlineStr">
        <is>
          <t>6.10</t>
        </is>
      </c>
      <c r="L1446" t="inlineStr">
        <is>
          <t>ATERRO</t>
        </is>
      </c>
      <c r="M1446" t="inlineStr">
        <is>
          <t>Regularização e recuperação de área</t>
        </is>
      </c>
      <c r="N1446" t="inlineStr">
        <is>
          <t>ÁREA DE EMPRÉSTIMO: Manutenção dos terraços do canal de direcionamento do escoamento superficial.</t>
        </is>
      </c>
      <c r="O1446" t="inlineStr">
        <is>
          <t>Tipo A</t>
        </is>
      </c>
      <c r="P1446" t="inlineStr">
        <is>
          <t>74+280</t>
        </is>
      </c>
      <c r="Q1446">
        <v>74280</v>
      </c>
      <c r="R1446" t="inlineStr">
        <is>
          <t>Aberta</t>
        </is>
      </c>
      <c r="T1446" t="inlineStr">
        <is>
          <t>Aline Batista</t>
        </is>
      </c>
      <c r="U1446" t="inlineStr">
        <is>
          <t>15/05/2026</t>
        </is>
      </c>
      <c r="V1446" t="inlineStr">
        <is>
          <t>22/05/2026</t>
        </is>
      </c>
      <c r="W1446">
        <v>19</v>
      </c>
      <c r="AA1446" t="inlineStr">
        <is>
          <t>Aberta -30 dias</t>
        </is>
      </c>
    </row>
    <row r="1447">
      <c r="A1447">
        <v>1445</v>
      </c>
      <c r="B1447">
        <v>3</v>
      </c>
      <c r="C1447" t="inlineStr">
        <is>
          <t>1.7</t>
        </is>
      </c>
      <c r="D1447" t="inlineStr">
        <is>
          <t>A04</t>
        </is>
      </c>
      <c r="E1447" t="inlineStr">
        <is>
          <t>LD/LE</t>
        </is>
      </c>
      <c r="F1447" t="inlineStr">
        <is>
          <t>APIA</t>
        </is>
      </c>
      <c r="G1447" t="inlineStr">
        <is>
          <t>CLP-018</t>
        </is>
      </c>
      <c r="H1447" t="inlineStr">
        <is>
          <t>Protocolo</t>
        </is>
      </c>
      <c r="I1447">
        <v>6</v>
      </c>
      <c r="J1447" t="inlineStr">
        <is>
          <t>Drenagem Superficial</t>
        </is>
      </c>
      <c r="K1447" t="inlineStr">
        <is>
          <t>6.7</t>
        </is>
      </c>
      <c r="L1447" t="inlineStr">
        <is>
          <t>VPC</t>
        </is>
      </c>
      <c r="M1447" t="inlineStr">
        <is>
          <t>Patologias no Concreto</t>
        </is>
      </c>
      <c r="N1447" t="inlineStr">
        <is>
          <t>Presença de fissuras no dispositivo de drenagem</t>
        </is>
      </c>
      <c r="O1447" t="inlineStr">
        <is>
          <t>Tipo A</t>
        </is>
      </c>
      <c r="P1447" t="inlineStr">
        <is>
          <t>72+700</t>
        </is>
      </c>
      <c r="Q1447">
        <v>72700</v>
      </c>
      <c r="R1447" t="inlineStr">
        <is>
          <t>Aberta</t>
        </is>
      </c>
      <c r="T1447" t="inlineStr">
        <is>
          <t>Aline Batista</t>
        </is>
      </c>
      <c r="U1447" t="inlineStr">
        <is>
          <t>15/05/2026</t>
        </is>
      </c>
      <c r="V1447" t="inlineStr">
        <is>
          <t>22/05/2026</t>
        </is>
      </c>
      <c r="W1447">
        <v>19</v>
      </c>
      <c r="AA1447" t="inlineStr">
        <is>
          <t>Aberta -30 dias</t>
        </is>
      </c>
    </row>
    <row r="1448">
      <c r="A1448">
        <v>1446</v>
      </c>
      <c r="B1448">
        <v>3</v>
      </c>
      <c r="C1448" t="inlineStr">
        <is>
          <t>1.7</t>
        </is>
      </c>
      <c r="D1448" t="inlineStr">
        <is>
          <t>A07</t>
        </is>
      </c>
      <c r="E1448" t="inlineStr">
        <is>
          <t>LD</t>
        </is>
      </c>
      <c r="F1448" t="inlineStr">
        <is>
          <t>APIA</t>
        </is>
      </c>
      <c r="G1448" t="inlineStr">
        <is>
          <t>CLP-018</t>
        </is>
      </c>
      <c r="H1448" t="inlineStr">
        <is>
          <t>Protocolo</t>
        </is>
      </c>
      <c r="I1448">
        <v>6</v>
      </c>
      <c r="J1448" t="inlineStr">
        <is>
          <t>Drenagem Superficial</t>
        </is>
      </c>
      <c r="K1448" t="inlineStr">
        <is>
          <t>6.7</t>
        </is>
      </c>
      <c r="L1448" t="inlineStr">
        <is>
          <t>VPC</t>
        </is>
      </c>
      <c r="M1448" t="inlineStr">
        <is>
          <t>Patologias no Concreto</t>
        </is>
      </c>
      <c r="N1448" t="inlineStr">
        <is>
          <t>Presença de fissuras no dispositivo de drenagem</t>
        </is>
      </c>
      <c r="O1448" t="inlineStr">
        <is>
          <t>Tipo A</t>
        </is>
      </c>
      <c r="P1448" t="inlineStr">
        <is>
          <t>75+100</t>
        </is>
      </c>
      <c r="Q1448">
        <v>76260</v>
      </c>
      <c r="R1448" t="inlineStr">
        <is>
          <t>Aberta</t>
        </is>
      </c>
      <c r="T1448" t="inlineStr">
        <is>
          <t>Aline Batista</t>
        </is>
      </c>
      <c r="U1448" t="inlineStr">
        <is>
          <t>15/05/2026</t>
        </is>
      </c>
      <c r="V1448" t="inlineStr">
        <is>
          <t>22/05/2026</t>
        </is>
      </c>
      <c r="W1448">
        <v>19</v>
      </c>
      <c r="AA1448" t="inlineStr">
        <is>
          <t>Aberta -30 dias</t>
        </is>
      </c>
    </row>
    <row r="1449">
      <c r="A1449">
        <v>1447</v>
      </c>
      <c r="B1449">
        <v>3</v>
      </c>
      <c r="C1449" t="inlineStr">
        <is>
          <t>1.7</t>
        </is>
      </c>
      <c r="D1449" t="inlineStr">
        <is>
          <t>C09</t>
        </is>
      </c>
      <c r="E1449" t="inlineStr">
        <is>
          <t>LD</t>
        </is>
      </c>
      <c r="F1449" t="inlineStr">
        <is>
          <t>APIA</t>
        </is>
      </c>
      <c r="G1449" t="inlineStr">
        <is>
          <t>CLP-018</t>
        </is>
      </c>
      <c r="H1449" t="inlineStr">
        <is>
          <t>Protocolo</t>
        </is>
      </c>
      <c r="I1449">
        <v>6</v>
      </c>
      <c r="J1449" t="inlineStr">
        <is>
          <t>Drenagem Superficial</t>
        </is>
      </c>
      <c r="K1449" t="inlineStr">
        <is>
          <t>6.7</t>
        </is>
      </c>
      <c r="L1449" t="inlineStr">
        <is>
          <t>VPC</t>
        </is>
      </c>
      <c r="M1449" t="inlineStr">
        <is>
          <t>Drenagem danificadas</t>
        </is>
      </c>
      <c r="N1449" t="inlineStr">
        <is>
          <t>Dispositivo de drenagem danificado.</t>
        </is>
      </c>
      <c r="O1449" t="inlineStr">
        <is>
          <t>Tipo A</t>
        </is>
      </c>
      <c r="P1449" t="inlineStr">
        <is>
          <t>78+760</t>
        </is>
      </c>
      <c r="Q1449">
        <v>79400</v>
      </c>
      <c r="R1449" t="inlineStr">
        <is>
          <t>Aberta</t>
        </is>
      </c>
      <c r="T1449" t="inlineStr">
        <is>
          <t>Aline Batista</t>
        </is>
      </c>
      <c r="U1449" t="inlineStr">
        <is>
          <t>15/05/2026</t>
        </is>
      </c>
      <c r="V1449" t="inlineStr">
        <is>
          <t>22/05/2026</t>
        </is>
      </c>
      <c r="W1449">
        <v>19</v>
      </c>
      <c r="AA1449" t="inlineStr">
        <is>
          <t>Aberta -30 dias</t>
        </is>
      </c>
    </row>
    <row r="1450">
      <c r="A1450">
        <v>1448</v>
      </c>
      <c r="B1450">
        <v>3</v>
      </c>
      <c r="C1450" t="inlineStr">
        <is>
          <t>1.7</t>
        </is>
      </c>
      <c r="D1450" t="inlineStr">
        <is>
          <t>C04</t>
        </is>
      </c>
      <c r="E1450" t="inlineStr">
        <is>
          <t xml:space="preserve">LD </t>
        </is>
      </c>
      <c r="F1450" t="inlineStr">
        <is>
          <t>APIA</t>
        </is>
      </c>
      <c r="G1450" t="inlineStr">
        <is>
          <t>CLP-018</t>
        </is>
      </c>
      <c r="H1450" t="inlineStr">
        <is>
          <t>Protocolo</t>
        </is>
      </c>
      <c r="I1450">
        <v>6</v>
      </c>
      <c r="J1450" t="inlineStr">
        <is>
          <t>Drenagem Superficial</t>
        </is>
      </c>
      <c r="K1450" t="inlineStr">
        <is>
          <t>6.7</t>
        </is>
      </c>
      <c r="L1450" t="inlineStr">
        <is>
          <t>VPC</t>
        </is>
      </c>
      <c r="M1450" t="inlineStr">
        <is>
          <t>Patologias no Concreto</t>
        </is>
      </c>
      <c r="N1450" t="inlineStr">
        <is>
          <t>Tratamento de fissuras ineficiente.</t>
        </is>
      </c>
      <c r="O1450" t="inlineStr">
        <is>
          <t>Tipo A</t>
        </is>
      </c>
      <c r="P1450" t="inlineStr">
        <is>
          <t>79+900</t>
        </is>
      </c>
      <c r="Q1450">
        <v>79920</v>
      </c>
      <c r="R1450" t="inlineStr">
        <is>
          <t>Aberta</t>
        </is>
      </c>
      <c r="T1450" t="inlineStr">
        <is>
          <t>Aline Batista</t>
        </is>
      </c>
      <c r="U1450" t="inlineStr">
        <is>
          <t>15/05/2026</t>
        </is>
      </c>
      <c r="V1450" t="inlineStr">
        <is>
          <t>22/05/2026</t>
        </is>
      </c>
      <c r="W1450">
        <v>19</v>
      </c>
      <c r="AA1450" t="inlineStr">
        <is>
          <t>Aberta -30 dias</t>
        </is>
      </c>
    </row>
    <row r="1451">
      <c r="A1451">
        <v>1449</v>
      </c>
      <c r="B1451">
        <v>3</v>
      </c>
      <c r="C1451" t="inlineStr">
        <is>
          <t>1.8</t>
        </is>
      </c>
      <c r="D1451" t="inlineStr">
        <is>
          <t>GERAL</t>
        </is>
      </c>
      <c r="E1451" t="inlineStr">
        <is>
          <t xml:space="preserve">LD </t>
        </is>
      </c>
      <c r="F1451" t="inlineStr">
        <is>
          <t>APIA</t>
        </is>
      </c>
      <c r="G1451" t="inlineStr">
        <is>
          <t>CLP-018</t>
        </is>
      </c>
      <c r="H1451" t="inlineStr">
        <is>
          <t>Protocolo</t>
        </is>
      </c>
      <c r="I1451">
        <v>6</v>
      </c>
      <c r="J1451" t="inlineStr">
        <is>
          <t>Drenagem Superficial</t>
        </is>
      </c>
      <c r="K1451" t="inlineStr">
        <is>
          <t>6.14</t>
        </is>
      </c>
      <c r="L1451" t="inlineStr">
        <is>
          <t>As Built</t>
        </is>
      </c>
      <c r="M1451" t="inlineStr">
        <is>
          <t>Documental</t>
        </is>
      </c>
      <c r="N1451" t="inlineStr">
        <is>
          <t xml:space="preserve">Pendente aprovação da documentação. </t>
        </is>
      </c>
      <c r="O1451" t="inlineStr">
        <is>
          <t>Tipo A</t>
        </is>
      </c>
      <c r="P1451" t="inlineStr">
        <is>
          <t>75+840</t>
        </is>
      </c>
      <c r="Q1451">
        <v>75860</v>
      </c>
      <c r="R1451" t="inlineStr">
        <is>
          <t>Aberta</t>
        </is>
      </c>
      <c r="T1451" t="inlineStr">
        <is>
          <t>Aline Batista</t>
        </is>
      </c>
      <c r="U1451" t="inlineStr">
        <is>
          <t>15/05/2026</t>
        </is>
      </c>
      <c r="V1451" t="inlineStr">
        <is>
          <t>22/05/2026</t>
        </is>
      </c>
      <c r="W1451">
        <v>19</v>
      </c>
      <c r="AA1451" t="inlineStr">
        <is>
          <t>Aberta -30 dias</t>
        </is>
      </c>
    </row>
    <row r="1452">
      <c r="A1452">
        <v>1450</v>
      </c>
      <c r="B1452">
        <v>3</v>
      </c>
      <c r="C1452" t="inlineStr">
        <is>
          <t>1.9</t>
        </is>
      </c>
      <c r="D1452" t="inlineStr">
        <is>
          <t>GERAL</t>
        </is>
      </c>
      <c r="E1452" t="inlineStr">
        <is>
          <t xml:space="preserve">LD </t>
        </is>
      </c>
      <c r="F1452" t="inlineStr">
        <is>
          <t>APIA</t>
        </is>
      </c>
      <c r="G1452" t="inlineStr">
        <is>
          <t>CLP-018</t>
        </is>
      </c>
      <c r="H1452" t="inlineStr">
        <is>
          <t>Protocolo</t>
        </is>
      </c>
      <c r="I1452">
        <v>6</v>
      </c>
      <c r="J1452" t="inlineStr">
        <is>
          <t>Drenagem Superficial</t>
        </is>
      </c>
      <c r="K1452" t="inlineStr">
        <is>
          <t>6.16</t>
        </is>
      </c>
      <c r="L1452" t="inlineStr">
        <is>
          <t>RNC</t>
        </is>
      </c>
      <c r="M1452" t="inlineStr">
        <is>
          <t>Documental</t>
        </is>
      </c>
      <c r="N1452" t="inlineStr">
        <is>
          <t>Consta em aberto o registro RNC-09848/25.</t>
        </is>
      </c>
      <c r="O1452" t="inlineStr">
        <is>
          <t>Tipo B</t>
        </is>
      </c>
      <c r="P1452" t="inlineStr">
        <is>
          <t>78+300</t>
        </is>
      </c>
      <c r="Q1452">
        <v>80160</v>
      </c>
      <c r="R1452" t="inlineStr">
        <is>
          <t>Aberta</t>
        </is>
      </c>
      <c r="T1452" t="inlineStr">
        <is>
          <t>Aline Batista</t>
        </is>
      </c>
      <c r="U1452" t="inlineStr">
        <is>
          <t>15/05/2026</t>
        </is>
      </c>
      <c r="V1452" t="inlineStr">
        <is>
          <t>30/05/2026</t>
        </is>
      </c>
      <c r="W1452">
        <v>11</v>
      </c>
      <c r="AA1452" t="inlineStr">
        <is>
          <t>Aberta -30 dias</t>
        </is>
      </c>
    </row>
    <row r="1453">
      <c r="A1453">
        <v>1451</v>
      </c>
      <c r="B1453">
        <v>3</v>
      </c>
      <c r="C1453" t="inlineStr">
        <is>
          <t>1.8</t>
        </is>
      </c>
      <c r="D1453" t="inlineStr">
        <is>
          <t>OAE RIO CRIXÁS-AÇU</t>
        </is>
      </c>
      <c r="E1453" t="inlineStr">
        <is>
          <t>E02</t>
        </is>
      </c>
      <c r="F1453" t="inlineStr">
        <is>
          <t>APIA</t>
        </is>
      </c>
      <c r="G1453" t="inlineStr">
        <is>
          <t>CLP-019</t>
        </is>
      </c>
      <c r="H1453" t="inlineStr">
        <is>
          <t>Protocolo</t>
        </is>
      </c>
      <c r="I1453">
        <v>4</v>
      </c>
      <c r="J1453" t="inlineStr">
        <is>
          <t>Terraplenagem</t>
        </is>
      </c>
      <c r="K1453" t="inlineStr">
        <is>
          <t>4.32</t>
        </is>
      </c>
      <c r="L1453" t="inlineStr">
        <is>
          <t>E02</t>
        </is>
      </c>
      <c r="M1453" t="inlineStr">
        <is>
          <t>Limpeza/ remoção de material</t>
        </is>
      </c>
      <c r="N1453" t="inlineStr">
        <is>
          <t>Resíduos de obra, necessário limpeza do local.</t>
        </is>
      </c>
      <c r="O1453" t="inlineStr">
        <is>
          <t>Tipo C</t>
        </is>
      </c>
      <c r="P1453" t="inlineStr">
        <is>
          <t xml:space="preserve">87+775 </t>
        </is>
      </c>
      <c r="Q1453" t="inlineStr">
        <is>
          <t>87+949</t>
        </is>
      </c>
      <c r="R1453" t="inlineStr">
        <is>
          <t>Aberta</t>
        </is>
      </c>
      <c r="T1453" t="inlineStr">
        <is>
          <t>Aline Batista</t>
        </is>
      </c>
      <c r="U1453" t="inlineStr">
        <is>
          <t>25/05/2026</t>
        </is>
      </c>
      <c r="V1453" t="inlineStr">
        <is>
          <t>24/06/2026</t>
        </is>
      </c>
      <c r="W1453">
        <v>-14</v>
      </c>
      <c r="AA1453" t="inlineStr">
        <is>
          <t>Aberta -30 dias</t>
        </is>
      </c>
    </row>
    <row r="1454">
      <c r="A1454">
        <v>1452</v>
      </c>
      <c r="B1454">
        <v>3</v>
      </c>
      <c r="C1454" t="inlineStr">
        <is>
          <t>1.8</t>
        </is>
      </c>
      <c r="D1454" t="inlineStr">
        <is>
          <t>OAE RIO CRIXÁS-AÇU</t>
        </is>
      </c>
      <c r="E1454" t="inlineStr">
        <is>
          <t>E02</t>
        </is>
      </c>
      <c r="F1454" t="inlineStr">
        <is>
          <t>APIA</t>
        </is>
      </c>
      <c r="G1454" t="inlineStr">
        <is>
          <t>CLP-019</t>
        </is>
      </c>
      <c r="H1454" t="inlineStr">
        <is>
          <t>Protocolo</t>
        </is>
      </c>
      <c r="I1454">
        <v>4</v>
      </c>
      <c r="J1454" t="inlineStr">
        <is>
          <t>Terraplenagem</t>
        </is>
      </c>
      <c r="K1454" t="inlineStr">
        <is>
          <t>4.32</t>
        </is>
      </c>
      <c r="L1454" t="inlineStr">
        <is>
          <t>E02</t>
        </is>
      </c>
      <c r="M1454" t="inlineStr">
        <is>
          <t>Limpeza/ remoção de material</t>
        </is>
      </c>
      <c r="N1454" t="inlineStr">
        <is>
          <t>Resíduos de obra, necessário limpeza do local.</t>
        </is>
      </c>
      <c r="O1454" t="inlineStr">
        <is>
          <t>Tipo C</t>
        </is>
      </c>
      <c r="P1454" t="inlineStr">
        <is>
          <t xml:space="preserve">87+775 </t>
        </is>
      </c>
      <c r="Q1454" t="inlineStr">
        <is>
          <t>87+949</t>
        </is>
      </c>
      <c r="R1454" t="inlineStr">
        <is>
          <t>Aberta</t>
        </is>
      </c>
      <c r="T1454" t="inlineStr">
        <is>
          <t>Aline Batista</t>
        </is>
      </c>
      <c r="U1454" t="inlineStr">
        <is>
          <t>25/05/2026</t>
        </is>
      </c>
      <c r="V1454" t="inlineStr">
        <is>
          <t>24/06/2026</t>
        </is>
      </c>
      <c r="W1454">
        <v>-14</v>
      </c>
      <c r="AA1454" t="inlineStr">
        <is>
          <t>Aberta -30 dias</t>
        </is>
      </c>
    </row>
    <row r="1455">
      <c r="A1455">
        <v>1453</v>
      </c>
      <c r="B1455">
        <v>3</v>
      </c>
      <c r="C1455" t="inlineStr">
        <is>
          <t>1.8</t>
        </is>
      </c>
      <c r="D1455" t="inlineStr">
        <is>
          <t>OAE RIO CRIXÁS-AÇU</t>
        </is>
      </c>
      <c r="E1455" t="inlineStr">
        <is>
          <t>E02</t>
        </is>
      </c>
      <c r="F1455" t="inlineStr">
        <is>
          <t>APIA</t>
        </is>
      </c>
      <c r="G1455" t="inlineStr">
        <is>
          <t>CLP-019</t>
        </is>
      </c>
      <c r="H1455" t="inlineStr">
        <is>
          <t>Protocolo</t>
        </is>
      </c>
      <c r="I1455">
        <v>4</v>
      </c>
      <c r="J1455" t="inlineStr">
        <is>
          <t>Terraplenagem</t>
        </is>
      </c>
      <c r="K1455" t="inlineStr">
        <is>
          <t>4.32</t>
        </is>
      </c>
      <c r="L1455" t="inlineStr">
        <is>
          <t>E02</t>
        </is>
      </c>
      <c r="M1455" t="inlineStr">
        <is>
          <t>Limpeza/ remoção de material</t>
        </is>
      </c>
      <c r="N1455" t="inlineStr">
        <is>
          <t>Resíduos de obra, necessário limpeza do local.</t>
        </is>
      </c>
      <c r="O1455" t="inlineStr">
        <is>
          <t>Tipo C</t>
        </is>
      </c>
      <c r="P1455" t="inlineStr">
        <is>
          <t xml:space="preserve">87+775 </t>
        </is>
      </c>
      <c r="Q1455" t="inlineStr">
        <is>
          <t>87+949</t>
        </is>
      </c>
      <c r="R1455" t="inlineStr">
        <is>
          <t>Aberta</t>
        </is>
      </c>
      <c r="T1455" t="inlineStr">
        <is>
          <t>Aline Batista</t>
        </is>
      </c>
      <c r="U1455" t="inlineStr">
        <is>
          <t>25/05/2026</t>
        </is>
      </c>
      <c r="V1455" t="inlineStr">
        <is>
          <t>24/06/2026</t>
        </is>
      </c>
      <c r="W1455">
        <v>-14</v>
      </c>
      <c r="AA1455" t="inlineStr">
        <is>
          <t>Aberta -30 dias</t>
        </is>
      </c>
    </row>
    <row r="1456">
      <c r="A1456">
        <v>1454</v>
      </c>
      <c r="B1456">
        <v>3</v>
      </c>
      <c r="C1456" t="inlineStr">
        <is>
          <t>1.8</t>
        </is>
      </c>
      <c r="D1456" t="inlineStr">
        <is>
          <t>OAE RIO CRIXÁS-AÇU</t>
        </is>
      </c>
      <c r="E1456" t="inlineStr">
        <is>
          <t>E02</t>
        </is>
      </c>
      <c r="F1456" t="inlineStr">
        <is>
          <t>APIA</t>
        </is>
      </c>
      <c r="G1456" t="inlineStr">
        <is>
          <t>CLP-019</t>
        </is>
      </c>
      <c r="H1456" t="inlineStr">
        <is>
          <t>Protocolo</t>
        </is>
      </c>
      <c r="I1456">
        <v>4</v>
      </c>
      <c r="J1456" t="inlineStr">
        <is>
          <t>Terraplenagem</t>
        </is>
      </c>
      <c r="K1456" t="inlineStr">
        <is>
          <t>4.32</t>
        </is>
      </c>
      <c r="L1456" t="inlineStr">
        <is>
          <t>E02</t>
        </is>
      </c>
      <c r="M1456" t="inlineStr">
        <is>
          <t>Limpeza/ remoção de material</t>
        </is>
      </c>
      <c r="N1456" t="inlineStr">
        <is>
          <t>Resíduos de obra, necessário limpeza do local.</t>
        </is>
      </c>
      <c r="O1456" t="inlineStr">
        <is>
          <t>Tipo C</t>
        </is>
      </c>
      <c r="P1456" t="inlineStr">
        <is>
          <t xml:space="preserve">87+775 </t>
        </is>
      </c>
      <c r="Q1456" t="inlineStr">
        <is>
          <t>87+949</t>
        </is>
      </c>
      <c r="R1456" t="inlineStr">
        <is>
          <t>Aberta</t>
        </is>
      </c>
      <c r="T1456" t="inlineStr">
        <is>
          <t>Aline Batista</t>
        </is>
      </c>
      <c r="U1456" t="inlineStr">
        <is>
          <t>25/05/2026</t>
        </is>
      </c>
      <c r="V1456" t="inlineStr">
        <is>
          <t>24/06/2026</t>
        </is>
      </c>
      <c r="W1456">
        <v>-14</v>
      </c>
      <c r="AA1456" t="inlineStr">
        <is>
          <t>Aberta -30 dias</t>
        </is>
      </c>
    </row>
    <row r="1457">
      <c r="A1457">
        <v>1455</v>
      </c>
      <c r="B1457">
        <v>3</v>
      </c>
      <c r="C1457" t="inlineStr">
        <is>
          <t>1.8</t>
        </is>
      </c>
      <c r="D1457" t="inlineStr">
        <is>
          <t>OAE RIO CRIXÁS-AÇU</t>
        </is>
      </c>
      <c r="E1457" t="inlineStr">
        <is>
          <t>-</t>
        </is>
      </c>
      <c r="F1457" t="inlineStr">
        <is>
          <t>APIA</t>
        </is>
      </c>
      <c r="G1457" t="inlineStr">
        <is>
          <t>CLP-019</t>
        </is>
      </c>
      <c r="H1457" t="inlineStr">
        <is>
          <t>Protocolo</t>
        </is>
      </c>
      <c r="I1457">
        <v>4</v>
      </c>
      <c r="J1457" t="inlineStr">
        <is>
          <t>Terraplenagem</t>
        </is>
      </c>
      <c r="K1457" t="inlineStr">
        <is>
          <t>4.12</t>
        </is>
      </c>
      <c r="L1457" t="inlineStr">
        <is>
          <t>Ensaios</t>
        </is>
      </c>
      <c r="M1457" t="inlineStr">
        <is>
          <t>Documental</t>
        </is>
      </c>
      <c r="N1457" t="inlineStr">
        <is>
          <t xml:space="preserve">Não foram encaminhados para análise ensaios de controle tecnológicos dos encontros. </t>
        </is>
      </c>
      <c r="O1457" t="inlineStr">
        <is>
          <t>Tipo B</t>
        </is>
      </c>
      <c r="P1457" t="inlineStr">
        <is>
          <t xml:space="preserve">87+775 </t>
        </is>
      </c>
      <c r="Q1457" t="inlineStr">
        <is>
          <t>87+949</t>
        </is>
      </c>
      <c r="R1457" t="inlineStr">
        <is>
          <t>Aberta</t>
        </is>
      </c>
      <c r="T1457" t="inlineStr">
        <is>
          <t>Aline Batista</t>
        </is>
      </c>
      <c r="U1457" t="inlineStr">
        <is>
          <t>25/05/2026</t>
        </is>
      </c>
      <c r="V1457" t="inlineStr">
        <is>
          <t>09/06/2026</t>
        </is>
      </c>
      <c r="W1457">
        <v>1</v>
      </c>
      <c r="AA1457" t="inlineStr">
        <is>
          <t>Aberta -30 dias</t>
        </is>
      </c>
    </row>
    <row r="1458">
      <c r="A1458">
        <v>1456</v>
      </c>
      <c r="B1458">
        <v>3</v>
      </c>
      <c r="C1458" t="inlineStr">
        <is>
          <t>1.8</t>
        </is>
      </c>
      <c r="D1458" t="inlineStr">
        <is>
          <t>OAE RIO CRIXÁS-AÇU</t>
        </is>
      </c>
      <c r="E1458" t="inlineStr">
        <is>
          <t>E02</t>
        </is>
      </c>
      <c r="F1458" t="inlineStr">
        <is>
          <t>APIA</t>
        </is>
      </c>
      <c r="G1458" t="inlineStr">
        <is>
          <t>CLP-019</t>
        </is>
      </c>
      <c r="H1458" t="inlineStr">
        <is>
          <t>Protocolo</t>
        </is>
      </c>
      <c r="I1458">
        <v>6</v>
      </c>
      <c r="J1458" t="inlineStr">
        <is>
          <t>Drenagem Superficial</t>
        </is>
      </c>
      <c r="K1458" t="inlineStr">
        <is>
          <t>6.13</t>
        </is>
      </c>
      <c r="L1458" t="inlineStr">
        <is>
          <t>E02</t>
        </is>
      </c>
      <c r="M1458" t="inlineStr">
        <is>
          <t>Erosões</t>
        </is>
      </c>
      <c r="N1458" t="inlineStr">
        <is>
          <t>Processo erosivo em canaleta obstruída por resíduos de concreto.</t>
        </is>
      </c>
      <c r="O1458" t="inlineStr">
        <is>
          <t>Tipo A</t>
        </is>
      </c>
      <c r="P1458" t="inlineStr">
        <is>
          <t xml:space="preserve">87+775 </t>
        </is>
      </c>
      <c r="Q1458" t="inlineStr">
        <is>
          <t>87+949</t>
        </is>
      </c>
      <c r="R1458" t="inlineStr">
        <is>
          <t>Aberta</t>
        </is>
      </c>
      <c r="T1458" t="inlineStr">
        <is>
          <t>Aline Batista</t>
        </is>
      </c>
      <c r="U1458" t="inlineStr">
        <is>
          <t>25/05/2026</t>
        </is>
      </c>
      <c r="V1458" t="inlineStr">
        <is>
          <t>01/06/2026</t>
        </is>
      </c>
      <c r="W1458">
        <v>9</v>
      </c>
      <c r="AA1458" t="inlineStr">
        <is>
          <t>Aberta -30 dias</t>
        </is>
      </c>
    </row>
    <row r="1459">
      <c r="A1459">
        <v>1457</v>
      </c>
      <c r="B1459">
        <v>3</v>
      </c>
      <c r="C1459" t="inlineStr">
        <is>
          <t>1.8</t>
        </is>
      </c>
      <c r="D1459" t="inlineStr">
        <is>
          <t>OAE RIO CRIXÁS-AÇU</t>
        </is>
      </c>
      <c r="E1459" t="inlineStr">
        <is>
          <t>E02</t>
        </is>
      </c>
      <c r="F1459" t="inlineStr">
        <is>
          <t>APIA</t>
        </is>
      </c>
      <c r="G1459" t="inlineStr">
        <is>
          <t>CLP-019</t>
        </is>
      </c>
      <c r="H1459" t="inlineStr">
        <is>
          <t>Protocolo</t>
        </is>
      </c>
      <c r="I1459">
        <v>6</v>
      </c>
      <c r="J1459" t="inlineStr">
        <is>
          <t>Drenagem Superficial</t>
        </is>
      </c>
      <c r="K1459" t="inlineStr">
        <is>
          <t>6.13</t>
        </is>
      </c>
      <c r="L1459" t="inlineStr">
        <is>
          <t>E02</t>
        </is>
      </c>
      <c r="M1459" t="inlineStr">
        <is>
          <t>Obstrução do dispositivo</t>
        </is>
      </c>
      <c r="N1459" t="inlineStr">
        <is>
          <t xml:space="preserve">Necessidade de limpeza das canetas obstruídas. </t>
        </is>
      </c>
      <c r="O1459" t="inlineStr">
        <is>
          <t>Tipo A</t>
        </is>
      </c>
      <c r="P1459" t="inlineStr">
        <is>
          <t xml:space="preserve">87+775 </t>
        </is>
      </c>
      <c r="Q1459" t="inlineStr">
        <is>
          <t>87+949</t>
        </is>
      </c>
      <c r="R1459" t="inlineStr">
        <is>
          <t>Aberta</t>
        </is>
      </c>
      <c r="T1459" t="inlineStr">
        <is>
          <t>Aline Batista</t>
        </is>
      </c>
      <c r="U1459" t="inlineStr">
        <is>
          <t>25/05/2026</t>
        </is>
      </c>
      <c r="V1459" t="inlineStr">
        <is>
          <t>01/06/2026</t>
        </is>
      </c>
      <c r="W1459">
        <v>9</v>
      </c>
      <c r="AA1459" t="inlineStr">
        <is>
          <t>Aberta -30 dias</t>
        </is>
      </c>
    </row>
    <row r="1460">
      <c r="A1460">
        <v>1458</v>
      </c>
      <c r="B1460">
        <v>3</v>
      </c>
      <c r="C1460" t="inlineStr">
        <is>
          <t>1.8</t>
        </is>
      </c>
      <c r="D1460" t="inlineStr">
        <is>
          <t>OAE RIO CRIXÁS-AÇU</t>
        </is>
      </c>
      <c r="E1460" t="inlineStr">
        <is>
          <t>-</t>
        </is>
      </c>
      <c r="F1460" t="inlineStr">
        <is>
          <t>APIA</t>
        </is>
      </c>
      <c r="G1460" t="inlineStr">
        <is>
          <t>CLP-019</t>
        </is>
      </c>
      <c r="H1460" t="inlineStr">
        <is>
          <t>Protocolo</t>
        </is>
      </c>
      <c r="I1460">
        <v>8</v>
      </c>
      <c r="J1460" t="inlineStr">
        <is>
          <t>Obras de Arte Complementares</t>
        </is>
      </c>
      <c r="K1460" t="inlineStr">
        <is>
          <t>8.3</t>
        </is>
      </c>
      <c r="L1460" t="inlineStr">
        <is>
          <t>Ensaios</t>
        </is>
      </c>
      <c r="M1460" t="inlineStr">
        <is>
          <t>Documental</t>
        </is>
      </c>
      <c r="N1460" t="inlineStr">
        <is>
          <t>Não foram entregues ensaios para análise documental de estacas e blocos.</t>
        </is>
      </c>
      <c r="O1460" t="inlineStr">
        <is>
          <t>Tipo B</t>
        </is>
      </c>
      <c r="P1460" t="inlineStr">
        <is>
          <t xml:space="preserve">87+775 </t>
        </is>
      </c>
      <c r="Q1460" t="inlineStr">
        <is>
          <t>87+949</t>
        </is>
      </c>
      <c r="R1460" t="inlineStr">
        <is>
          <t>Aberta</t>
        </is>
      </c>
      <c r="T1460" t="inlineStr">
        <is>
          <t>Aline Batista</t>
        </is>
      </c>
      <c r="U1460" t="inlineStr">
        <is>
          <t>25/05/2026</t>
        </is>
      </c>
      <c r="V1460" t="inlineStr">
        <is>
          <t>09/06/2026</t>
        </is>
      </c>
      <c r="W1460">
        <v>1</v>
      </c>
      <c r="AA1460" t="inlineStr">
        <is>
          <t>Aberta -30 dias</t>
        </is>
      </c>
    </row>
    <row r="1461">
      <c r="A1461">
        <v>1459</v>
      </c>
      <c r="B1461">
        <v>3</v>
      </c>
      <c r="C1461" t="inlineStr">
        <is>
          <t>1.8</t>
        </is>
      </c>
      <c r="D1461" t="inlineStr">
        <is>
          <t>OAE RIO CRIXÁS-AÇU</t>
        </is>
      </c>
      <c r="E1461" t="inlineStr">
        <is>
          <t>E02</t>
        </is>
      </c>
      <c r="F1461" t="inlineStr">
        <is>
          <t>APIA</t>
        </is>
      </c>
      <c r="G1461" t="inlineStr">
        <is>
          <t>CLP-019</t>
        </is>
      </c>
      <c r="H1461" t="inlineStr">
        <is>
          <t>Protocolo</t>
        </is>
      </c>
      <c r="I1461">
        <v>8</v>
      </c>
      <c r="J1461" t="inlineStr">
        <is>
          <t>Obras de Arte Complementares</t>
        </is>
      </c>
      <c r="K1461" t="inlineStr">
        <is>
          <t>8.8</t>
        </is>
      </c>
      <c r="L1461" t="inlineStr">
        <is>
          <t>P4</t>
        </is>
      </c>
      <c r="M1461" t="inlineStr">
        <is>
          <t>Acabamento do concreto</t>
        </is>
      </c>
      <c r="N1461" t="inlineStr">
        <is>
          <t>Necessidade de remoção de aço exposto na lateral do bloco.</t>
        </is>
      </c>
      <c r="O1461" t="inlineStr">
        <is>
          <t>Tipo C</t>
        </is>
      </c>
      <c r="P1461" t="inlineStr">
        <is>
          <t xml:space="preserve">87+775 </t>
        </is>
      </c>
      <c r="Q1461" t="inlineStr">
        <is>
          <t>87+949</t>
        </is>
      </c>
      <c r="R1461" t="inlineStr">
        <is>
          <t>Aberta</t>
        </is>
      </c>
      <c r="T1461" t="inlineStr">
        <is>
          <t>Aline Batista</t>
        </is>
      </c>
      <c r="U1461" t="inlineStr">
        <is>
          <t>25/05/2026</t>
        </is>
      </c>
      <c r="V1461" t="inlineStr">
        <is>
          <t>24/06/2026</t>
        </is>
      </c>
      <c r="W1461">
        <v>-14</v>
      </c>
      <c r="AA1461" t="inlineStr">
        <is>
          <t>Aberta -30 dias</t>
        </is>
      </c>
    </row>
    <row r="1462">
      <c r="A1462">
        <v>1460</v>
      </c>
      <c r="B1462">
        <v>3</v>
      </c>
      <c r="C1462" t="inlineStr">
        <is>
          <t>1.8</t>
        </is>
      </c>
      <c r="D1462" t="inlineStr">
        <is>
          <t>OAE RIO CRIXÁS-AÇU</t>
        </is>
      </c>
      <c r="E1462" t="inlineStr">
        <is>
          <t>E01</t>
        </is>
      </c>
      <c r="F1462" t="inlineStr">
        <is>
          <t>APIA</t>
        </is>
      </c>
      <c r="G1462" t="inlineStr">
        <is>
          <t>CLP-019</t>
        </is>
      </c>
      <c r="H1462" t="inlineStr">
        <is>
          <t>Protocolo</t>
        </is>
      </c>
      <c r="I1462">
        <v>8</v>
      </c>
      <c r="J1462" t="inlineStr">
        <is>
          <t>Obras de Arte Complementares</t>
        </is>
      </c>
      <c r="K1462" t="inlineStr">
        <is>
          <t>8.8</t>
        </is>
      </c>
      <c r="L1462" t="inlineStr">
        <is>
          <t>P2</t>
        </is>
      </c>
      <c r="M1462" t="inlineStr">
        <is>
          <t>Acabamento do concreto</t>
        </is>
      </c>
      <c r="N1462" t="inlineStr">
        <is>
          <t>Necessário reparo em no acabamento do bloco do P2.</t>
        </is>
      </c>
      <c r="O1462" t="inlineStr">
        <is>
          <t>Tipo A</t>
        </is>
      </c>
      <c r="P1462" t="inlineStr">
        <is>
          <t xml:space="preserve">87+775 </t>
        </is>
      </c>
      <c r="Q1462" t="inlineStr">
        <is>
          <t>87+949</t>
        </is>
      </c>
      <c r="R1462" t="inlineStr">
        <is>
          <t>Aberta</t>
        </is>
      </c>
      <c r="T1462" t="inlineStr">
        <is>
          <t>Aline Batista</t>
        </is>
      </c>
      <c r="U1462" t="inlineStr">
        <is>
          <t>25/05/2026</t>
        </is>
      </c>
      <c r="V1462" t="inlineStr">
        <is>
          <t>01/06/2026</t>
        </is>
      </c>
      <c r="W1462">
        <v>9</v>
      </c>
      <c r="AA1462" t="inlineStr">
        <is>
          <t>Aberta -30 dias</t>
        </is>
      </c>
    </row>
    <row r="1463">
      <c r="A1463">
        <v>1461</v>
      </c>
      <c r="B1463">
        <v>3</v>
      </c>
      <c r="C1463" t="inlineStr">
        <is>
          <t>1.8</t>
        </is>
      </c>
      <c r="D1463" t="inlineStr">
        <is>
          <t>OAE RIO CRIXÁS-AÇU</t>
        </is>
      </c>
      <c r="E1463" t="inlineStr">
        <is>
          <t>E01</t>
        </is>
      </c>
      <c r="F1463" t="inlineStr">
        <is>
          <t>APIA</t>
        </is>
      </c>
      <c r="G1463" t="inlineStr">
        <is>
          <t>CLP-019</t>
        </is>
      </c>
      <c r="H1463" t="inlineStr">
        <is>
          <t>Protocolo</t>
        </is>
      </c>
      <c r="I1463">
        <v>8</v>
      </c>
      <c r="J1463" t="inlineStr">
        <is>
          <t>Obras de Arte Complementares</t>
        </is>
      </c>
      <c r="K1463" t="inlineStr">
        <is>
          <t>8.8</t>
        </is>
      </c>
      <c r="L1463" t="inlineStr">
        <is>
          <t>Bloco</t>
        </is>
      </c>
      <c r="M1463" t="inlineStr">
        <is>
          <t>Acabamento do concreto</t>
        </is>
      </c>
      <c r="N1463" t="inlineStr">
        <is>
          <t>Presença de aço exposto no bloco do P2, necessário remoção.</t>
        </is>
      </c>
      <c r="O1463" t="inlineStr">
        <is>
          <t>Tipo A</t>
        </is>
      </c>
      <c r="P1463" t="inlineStr">
        <is>
          <t xml:space="preserve">87+775 </t>
        </is>
      </c>
      <c r="Q1463" t="inlineStr">
        <is>
          <t>87+949</t>
        </is>
      </c>
      <c r="R1463" t="inlineStr">
        <is>
          <t>Aberta</t>
        </is>
      </c>
      <c r="T1463" t="inlineStr">
        <is>
          <t>Aline Batista</t>
        </is>
      </c>
      <c r="U1463" t="inlineStr">
        <is>
          <t>25/05/2026</t>
        </is>
      </c>
      <c r="V1463" t="inlineStr">
        <is>
          <t>01/06/2026</t>
        </is>
      </c>
      <c r="W1463">
        <v>9</v>
      </c>
      <c r="AA1463" t="inlineStr">
        <is>
          <t>Aberta -30 dias</t>
        </is>
      </c>
    </row>
    <row r="1464">
      <c r="A1464">
        <v>1462</v>
      </c>
      <c r="B1464">
        <v>3</v>
      </c>
      <c r="C1464" t="inlineStr">
        <is>
          <t>1.8</t>
        </is>
      </c>
      <c r="D1464" t="inlineStr">
        <is>
          <t>OAE RIO CRIXÁS-AÇU</t>
        </is>
      </c>
      <c r="E1464" t="inlineStr">
        <is>
          <t>E01</t>
        </is>
      </c>
      <c r="F1464" t="inlineStr">
        <is>
          <t>APIA</t>
        </is>
      </c>
      <c r="G1464" t="inlineStr">
        <is>
          <t>CLP-019</t>
        </is>
      </c>
      <c r="H1464" t="inlineStr">
        <is>
          <t>Protocolo</t>
        </is>
      </c>
      <c r="I1464">
        <v>8</v>
      </c>
      <c r="J1464" t="inlineStr">
        <is>
          <t>Obras de Arte Complementares</t>
        </is>
      </c>
      <c r="K1464" t="inlineStr">
        <is>
          <t>8.8</t>
        </is>
      </c>
      <c r="L1464" t="inlineStr">
        <is>
          <t>Bloco</t>
        </is>
      </c>
      <c r="M1464" t="inlineStr">
        <is>
          <t>Acabamento do concreto</t>
        </is>
      </c>
      <c r="N1464" t="inlineStr">
        <is>
          <t>Presença de aço exposto no bloco do P2, necessário remoção.</t>
        </is>
      </c>
      <c r="O1464" t="inlineStr">
        <is>
          <t>Tipo A</t>
        </is>
      </c>
      <c r="P1464" t="inlineStr">
        <is>
          <t xml:space="preserve">87+775 </t>
        </is>
      </c>
      <c r="Q1464" t="inlineStr">
        <is>
          <t>87+949</t>
        </is>
      </c>
      <c r="R1464" t="inlineStr">
        <is>
          <t>Aberta</t>
        </is>
      </c>
      <c r="T1464" t="inlineStr">
        <is>
          <t>Aline Batista</t>
        </is>
      </c>
      <c r="U1464" t="inlineStr">
        <is>
          <t>25/05/2026</t>
        </is>
      </c>
      <c r="V1464" t="inlineStr">
        <is>
          <t>01/06/2026</t>
        </is>
      </c>
      <c r="W1464">
        <v>9</v>
      </c>
      <c r="AA1464" t="inlineStr">
        <is>
          <t>Aberta -30 dias</t>
        </is>
      </c>
    </row>
    <row r="1465">
      <c r="A1465">
        <v>1463</v>
      </c>
      <c r="B1465">
        <v>3</v>
      </c>
      <c r="C1465" t="inlineStr">
        <is>
          <t>1.8</t>
        </is>
      </c>
      <c r="D1465" t="inlineStr">
        <is>
          <t>OAE RIO CRIXÁS-AÇU</t>
        </is>
      </c>
      <c r="E1465" t="inlineStr">
        <is>
          <t>-</t>
        </is>
      </c>
      <c r="F1465" t="inlineStr">
        <is>
          <t>APIA</t>
        </is>
      </c>
      <c r="G1465" t="inlineStr">
        <is>
          <t>CLP-019</t>
        </is>
      </c>
      <c r="H1465" t="inlineStr">
        <is>
          <t>Protocolo</t>
        </is>
      </c>
      <c r="I1465">
        <v>8</v>
      </c>
      <c r="J1465" t="inlineStr">
        <is>
          <t>Obras de Arte Complementares</t>
        </is>
      </c>
      <c r="K1465" t="inlineStr">
        <is>
          <t>8.11</t>
        </is>
      </c>
      <c r="L1465" t="inlineStr">
        <is>
          <t>P3</t>
        </is>
      </c>
      <c r="M1465" t="inlineStr">
        <is>
          <t>Patologias no Concreto</t>
        </is>
      </c>
      <c r="N1465" t="inlineStr">
        <is>
          <t>Foi verificado presença de lixiviação no pilar P3.</t>
        </is>
      </c>
      <c r="O1465" t="inlineStr">
        <is>
          <t>Tipo A</t>
        </is>
      </c>
      <c r="P1465" t="inlineStr">
        <is>
          <t xml:space="preserve">87+775 </t>
        </is>
      </c>
      <c r="Q1465" t="inlineStr">
        <is>
          <t>87+949</t>
        </is>
      </c>
      <c r="R1465" t="inlineStr">
        <is>
          <t>Aberta</t>
        </is>
      </c>
      <c r="T1465" t="inlineStr">
        <is>
          <t>Aline Batista</t>
        </is>
      </c>
      <c r="U1465" t="inlineStr">
        <is>
          <t>25/05/2026</t>
        </is>
      </c>
      <c r="V1465" t="inlineStr">
        <is>
          <t>01/06/2026</t>
        </is>
      </c>
      <c r="W1465">
        <v>9</v>
      </c>
      <c r="AA1465" t="inlineStr">
        <is>
          <t>Aberta -30 dias</t>
        </is>
      </c>
    </row>
    <row r="1466">
      <c r="A1466">
        <v>1464</v>
      </c>
      <c r="B1466">
        <v>3</v>
      </c>
      <c r="C1466" t="inlineStr">
        <is>
          <t>1.8</t>
        </is>
      </c>
      <c r="D1466" t="inlineStr">
        <is>
          <t>OAE RIO CRIXÁS-AÇU</t>
        </is>
      </c>
      <c r="E1466" t="inlineStr">
        <is>
          <t>-</t>
        </is>
      </c>
      <c r="F1466" t="inlineStr">
        <is>
          <t>APIA</t>
        </is>
      </c>
      <c r="G1466" t="inlineStr">
        <is>
          <t>CLP-019</t>
        </is>
      </c>
      <c r="H1466" t="inlineStr">
        <is>
          <t>Protocolo</t>
        </is>
      </c>
      <c r="I1466">
        <v>8</v>
      </c>
      <c r="J1466" t="inlineStr">
        <is>
          <t>Obras de Arte Complementares</t>
        </is>
      </c>
      <c r="K1466" t="inlineStr">
        <is>
          <t>8.14</t>
        </is>
      </c>
      <c r="L1466" t="inlineStr">
        <is>
          <t>Ensaios</t>
        </is>
      </c>
      <c r="M1466" t="inlineStr">
        <is>
          <t>Documental</t>
        </is>
      </c>
      <c r="N1466" t="inlineStr">
        <is>
          <t>Não foram entregues ensaios para análise documental dos pilares.</t>
        </is>
      </c>
      <c r="O1466" t="inlineStr">
        <is>
          <t>Tipo B</t>
        </is>
      </c>
      <c r="P1466" t="inlineStr">
        <is>
          <t xml:space="preserve">87+775 </t>
        </is>
      </c>
      <c r="Q1466" t="inlineStr">
        <is>
          <t>87+949</t>
        </is>
      </c>
      <c r="R1466" t="inlineStr">
        <is>
          <t>Aberta</t>
        </is>
      </c>
      <c r="T1466" t="inlineStr">
        <is>
          <t>Aline Batista</t>
        </is>
      </c>
      <c r="U1466" t="inlineStr">
        <is>
          <t>25/05/2026</t>
        </is>
      </c>
      <c r="V1466" t="inlineStr">
        <is>
          <t>09/06/2026</t>
        </is>
      </c>
      <c r="W1466">
        <v>1</v>
      </c>
      <c r="AA1466" t="inlineStr">
        <is>
          <t>Aberta -30 dias</t>
        </is>
      </c>
    </row>
    <row r="1467">
      <c r="A1467">
        <v>1465</v>
      </c>
      <c r="B1467">
        <v>3</v>
      </c>
      <c r="C1467" t="inlineStr">
        <is>
          <t>1.8</t>
        </is>
      </c>
      <c r="D1467" t="inlineStr">
        <is>
          <t>OAE RIO CRIXÁS-AÇU</t>
        </is>
      </c>
      <c r="E1467" t="inlineStr">
        <is>
          <t>-</t>
        </is>
      </c>
      <c r="F1467" t="inlineStr">
        <is>
          <t>APIA</t>
        </is>
      </c>
      <c r="G1467" t="inlineStr">
        <is>
          <t>CLP-019</t>
        </is>
      </c>
      <c r="H1467" t="inlineStr">
        <is>
          <t>Protocolo</t>
        </is>
      </c>
      <c r="I1467">
        <v>8</v>
      </c>
      <c r="J1467" t="inlineStr">
        <is>
          <t>Obras de Arte Complementares</t>
        </is>
      </c>
      <c r="K1467" t="inlineStr">
        <is>
          <t>8.23</t>
        </is>
      </c>
      <c r="L1467" t="inlineStr">
        <is>
          <t>Pré-moldados</t>
        </is>
      </c>
      <c r="M1467" t="inlineStr">
        <is>
          <t>Execuçao divergente do projeto</t>
        </is>
      </c>
      <c r="N1467" t="inlineStr">
        <is>
          <t>DESENCONTRO DA BASE METÁLICA (FIXAÇÃO) COM A PEÇA PRÉ-MOLDADA)</t>
        </is>
      </c>
      <c r="O1467" t="inlineStr">
        <is>
          <t>Tipo A</t>
        </is>
      </c>
      <c r="P1467" t="inlineStr">
        <is>
          <t xml:space="preserve">87+775 </t>
        </is>
      </c>
      <c r="Q1467" t="inlineStr">
        <is>
          <t>87+949</t>
        </is>
      </c>
      <c r="R1467" t="inlineStr">
        <is>
          <t>Aberta</t>
        </is>
      </c>
      <c r="T1467" t="inlineStr">
        <is>
          <t>Aline Batista</t>
        </is>
      </c>
      <c r="U1467" t="inlineStr">
        <is>
          <t>25/05/2026</t>
        </is>
      </c>
      <c r="V1467" t="inlineStr">
        <is>
          <t>01/06/2026</t>
        </is>
      </c>
      <c r="W1467">
        <v>9</v>
      </c>
      <c r="AA1467" t="inlineStr">
        <is>
          <t>Aberta -30 dias</t>
        </is>
      </c>
    </row>
    <row r="1468">
      <c r="A1468">
        <v>1466</v>
      </c>
      <c r="B1468">
        <v>3</v>
      </c>
      <c r="C1468" t="inlineStr">
        <is>
          <t>1.8</t>
        </is>
      </c>
      <c r="D1468" t="inlineStr">
        <is>
          <t>OAE RIO CRIXÁS-AÇU</t>
        </is>
      </c>
      <c r="E1468" t="inlineStr">
        <is>
          <t>-</t>
        </is>
      </c>
      <c r="F1468" t="inlineStr">
        <is>
          <t>APIA</t>
        </is>
      </c>
      <c r="G1468" t="inlineStr">
        <is>
          <t>CLP-019</t>
        </is>
      </c>
      <c r="H1468" t="inlineStr">
        <is>
          <t>Protocolo</t>
        </is>
      </c>
      <c r="I1468">
        <v>8</v>
      </c>
      <c r="J1468" t="inlineStr">
        <is>
          <t>Obras de Arte Complementares</t>
        </is>
      </c>
      <c r="K1468" t="inlineStr">
        <is>
          <t>8.24</t>
        </is>
      </c>
      <c r="L1468" t="inlineStr">
        <is>
          <t>Ensaios</t>
        </is>
      </c>
      <c r="M1468" t="inlineStr">
        <is>
          <t>Documental</t>
        </is>
      </c>
      <c r="N1468" t="inlineStr">
        <is>
          <t>Não foram entregues ensaios para análise documental dos pilares.</t>
        </is>
      </c>
      <c r="O1468" t="inlineStr">
        <is>
          <t>Tipo B</t>
        </is>
      </c>
      <c r="P1468" t="inlineStr">
        <is>
          <t xml:space="preserve">87+775 </t>
        </is>
      </c>
      <c r="Q1468" t="inlineStr">
        <is>
          <t>87+949</t>
        </is>
      </c>
      <c r="R1468" t="inlineStr">
        <is>
          <t>Aberta</t>
        </is>
      </c>
      <c r="T1468" t="inlineStr">
        <is>
          <t>Aline Batista</t>
        </is>
      </c>
      <c r="U1468" t="inlineStr">
        <is>
          <t>25/05/2026</t>
        </is>
      </c>
      <c r="V1468" t="inlineStr">
        <is>
          <t>09/06/2026</t>
        </is>
      </c>
      <c r="W1468">
        <v>1</v>
      </c>
      <c r="AA1468" t="inlineStr">
        <is>
          <t>Aberta -30 dias</t>
        </is>
      </c>
    </row>
    <row r="1469">
      <c r="A1469">
        <v>1467</v>
      </c>
      <c r="B1469">
        <v>3</v>
      </c>
      <c r="C1469" t="inlineStr">
        <is>
          <t>1.8</t>
        </is>
      </c>
      <c r="D1469" t="inlineStr">
        <is>
          <t>OAE RIO CRIXÁS-AÇU</t>
        </is>
      </c>
      <c r="E1469" t="inlineStr">
        <is>
          <t>-</t>
        </is>
      </c>
      <c r="F1469" t="inlineStr">
        <is>
          <t>APIA</t>
        </is>
      </c>
      <c r="G1469" t="inlineStr">
        <is>
          <t>CLP-019</t>
        </is>
      </c>
      <c r="H1469" t="inlineStr">
        <is>
          <t>Protocolo</t>
        </is>
      </c>
      <c r="I1469">
        <v>8</v>
      </c>
      <c r="J1469" t="inlineStr">
        <is>
          <t>Obras de Arte Complementares</t>
        </is>
      </c>
      <c r="K1469" t="inlineStr">
        <is>
          <t>8.25</t>
        </is>
      </c>
      <c r="L1469" t="inlineStr">
        <is>
          <t>Vigas e lajes</t>
        </is>
      </c>
      <c r="M1469" t="inlineStr">
        <is>
          <t>Obstrução do dispositivo</t>
        </is>
      </c>
      <c r="N1469" t="inlineStr">
        <is>
          <t>Impossibilitada inspeção de vigas e laje devido material de proteção sobre a superfície.</t>
        </is>
      </c>
      <c r="O1469" t="inlineStr">
        <is>
          <t>Tipo A</t>
        </is>
      </c>
      <c r="P1469" t="inlineStr">
        <is>
          <t xml:space="preserve">87+775 </t>
        </is>
      </c>
      <c r="Q1469" t="inlineStr">
        <is>
          <t>87+949</t>
        </is>
      </c>
      <c r="R1469" t="inlineStr">
        <is>
          <t>Aberta</t>
        </is>
      </c>
      <c r="T1469" t="inlineStr">
        <is>
          <t>Aline Batista</t>
        </is>
      </c>
      <c r="U1469" t="inlineStr">
        <is>
          <t>25/05/2026</t>
        </is>
      </c>
      <c r="V1469" t="inlineStr">
        <is>
          <t>01/06/2026</t>
        </is>
      </c>
      <c r="W1469">
        <v>9</v>
      </c>
      <c r="AA1469" t="inlineStr">
        <is>
          <t>Aberta -30 dias</t>
        </is>
      </c>
    </row>
    <row r="1470">
      <c r="A1470">
        <v>1468</v>
      </c>
      <c r="B1470">
        <v>3</v>
      </c>
      <c r="C1470" t="inlineStr">
        <is>
          <t>1.8</t>
        </is>
      </c>
      <c r="D1470" t="inlineStr">
        <is>
          <t>OAE RIO CRIXÁS-AÇU</t>
        </is>
      </c>
      <c r="E1470" t="inlineStr">
        <is>
          <t>-</t>
        </is>
      </c>
      <c r="F1470" t="inlineStr">
        <is>
          <t>APIA</t>
        </is>
      </c>
      <c r="G1470" t="inlineStr">
        <is>
          <t>CLP-019</t>
        </is>
      </c>
      <c r="H1470" t="inlineStr">
        <is>
          <t>Protocolo</t>
        </is>
      </c>
      <c r="I1470">
        <v>8</v>
      </c>
      <c r="J1470" t="inlineStr">
        <is>
          <t>Obras de Arte Complementares</t>
        </is>
      </c>
      <c r="K1470" t="inlineStr">
        <is>
          <t>8.26</t>
        </is>
      </c>
      <c r="L1470" t="inlineStr">
        <is>
          <t>Vigas e lajes</t>
        </is>
      </c>
      <c r="M1470" t="inlineStr">
        <is>
          <t>Obstrução do dispositivo</t>
        </is>
      </c>
      <c r="N1470" t="inlineStr">
        <is>
          <t>Impossibilitada inspeção de vigas e laje devido material de proteção sobre a superfície.</t>
        </is>
      </c>
      <c r="O1470" t="inlineStr">
        <is>
          <t>Tipo A</t>
        </is>
      </c>
      <c r="P1470" t="inlineStr">
        <is>
          <t xml:space="preserve">87+775 </t>
        </is>
      </c>
      <c r="Q1470" t="inlineStr">
        <is>
          <t>87+949</t>
        </is>
      </c>
      <c r="R1470" t="inlineStr">
        <is>
          <t>Aberta</t>
        </is>
      </c>
      <c r="T1470" t="inlineStr">
        <is>
          <t>Aline Batista</t>
        </is>
      </c>
      <c r="U1470" t="inlineStr">
        <is>
          <t>25/05/2026</t>
        </is>
      </c>
      <c r="V1470" t="inlineStr">
        <is>
          <t>01/06/2026</t>
        </is>
      </c>
      <c r="W1470">
        <v>9</v>
      </c>
      <c r="AA1470" t="inlineStr">
        <is>
          <t>Aberta -30 dias</t>
        </is>
      </c>
    </row>
    <row r="1471">
      <c r="A1471">
        <v>1469</v>
      </c>
      <c r="B1471">
        <v>3</v>
      </c>
      <c r="C1471" t="inlineStr">
        <is>
          <t>1.8</t>
        </is>
      </c>
      <c r="D1471" t="inlineStr">
        <is>
          <t>OAE RIO CRIXÁS-AÇU</t>
        </is>
      </c>
      <c r="E1471" t="inlineStr">
        <is>
          <t>-</t>
        </is>
      </c>
      <c r="F1471" t="inlineStr">
        <is>
          <t>APIA</t>
        </is>
      </c>
      <c r="G1471" t="inlineStr">
        <is>
          <t>CLP-019</t>
        </is>
      </c>
      <c r="H1471" t="inlineStr">
        <is>
          <t>Protocolo</t>
        </is>
      </c>
      <c r="I1471">
        <v>8</v>
      </c>
      <c r="J1471" t="inlineStr">
        <is>
          <t>Obras de Arte Complementares</t>
        </is>
      </c>
      <c r="K1471" t="inlineStr">
        <is>
          <t>8.31</t>
        </is>
      </c>
      <c r="L1471" t="inlineStr">
        <is>
          <t>Vigas e lajes</t>
        </is>
      </c>
      <c r="M1471" t="inlineStr">
        <is>
          <t>Obstrução do dispositivo</t>
        </is>
      </c>
      <c r="N1471" t="inlineStr">
        <is>
          <t>Impossibilitada inspeção de vigas e laje devido material de proteção sobre a superfície.</t>
        </is>
      </c>
      <c r="O1471" t="inlineStr">
        <is>
          <t>Tipo A</t>
        </is>
      </c>
      <c r="P1471" t="inlineStr">
        <is>
          <t xml:space="preserve">87+775 </t>
        </is>
      </c>
      <c r="Q1471" t="inlineStr">
        <is>
          <t>87+949</t>
        </is>
      </c>
      <c r="R1471" t="inlineStr">
        <is>
          <t>Aberta</t>
        </is>
      </c>
      <c r="T1471" t="inlineStr">
        <is>
          <t>Aline Batista</t>
        </is>
      </c>
      <c r="U1471" t="inlineStr">
        <is>
          <t>25/05/2026</t>
        </is>
      </c>
      <c r="V1471" t="inlineStr">
        <is>
          <t>01/06/2026</t>
        </is>
      </c>
      <c r="W1471">
        <v>9</v>
      </c>
      <c r="AA1471" t="inlineStr">
        <is>
          <t>Aberta -30 dias</t>
        </is>
      </c>
    </row>
    <row r="1472">
      <c r="A1472">
        <v>1470</v>
      </c>
      <c r="B1472">
        <v>3</v>
      </c>
      <c r="C1472" t="inlineStr">
        <is>
          <t>1.8</t>
        </is>
      </c>
      <c r="D1472" t="inlineStr">
        <is>
          <t>OAE RIO CRIXÁS-AÇU</t>
        </is>
      </c>
      <c r="E1472" t="inlineStr">
        <is>
          <t>E01</t>
        </is>
      </c>
      <c r="F1472" t="inlineStr">
        <is>
          <t>APIA</t>
        </is>
      </c>
      <c r="G1472" t="inlineStr">
        <is>
          <t>CLP-019</t>
        </is>
      </c>
      <c r="H1472" t="inlineStr">
        <is>
          <t>Protocolo</t>
        </is>
      </c>
      <c r="I1472">
        <v>8</v>
      </c>
      <c r="J1472" t="inlineStr">
        <is>
          <t>Obras de Arte Complementares</t>
        </is>
      </c>
      <c r="K1472" t="inlineStr">
        <is>
          <t>8.32</t>
        </is>
      </c>
      <c r="L1472" t="inlineStr">
        <is>
          <t xml:space="preserve">Buzinote </t>
        </is>
      </c>
      <c r="M1472" t="inlineStr">
        <is>
          <t>Dispositivo não executado</t>
        </is>
      </c>
      <c r="N1472" t="inlineStr">
        <is>
          <t>Ausência de instalação de buzinote.</t>
        </is>
      </c>
      <c r="O1472" t="inlineStr">
        <is>
          <t>Tipo A</t>
        </is>
      </c>
      <c r="P1472" t="inlineStr">
        <is>
          <t xml:space="preserve">87+775 </t>
        </is>
      </c>
      <c r="Q1472" t="inlineStr">
        <is>
          <t>87+949</t>
        </is>
      </c>
      <c r="R1472" t="inlineStr">
        <is>
          <t>Aberta</t>
        </is>
      </c>
      <c r="T1472" t="inlineStr">
        <is>
          <t>Aline Batista</t>
        </is>
      </c>
      <c r="U1472" t="inlineStr">
        <is>
          <t>25/05/2026</t>
        </is>
      </c>
      <c r="V1472" t="inlineStr">
        <is>
          <t>01/06/2026</t>
        </is>
      </c>
      <c r="W1472">
        <v>9</v>
      </c>
      <c r="AA1472" t="inlineStr">
        <is>
          <t>Aberta -30 dias</t>
        </is>
      </c>
    </row>
    <row r="1473">
      <c r="A1473">
        <v>1471</v>
      </c>
      <c r="B1473">
        <v>3</v>
      </c>
      <c r="C1473" t="inlineStr">
        <is>
          <t>1.8</t>
        </is>
      </c>
      <c r="D1473" t="inlineStr">
        <is>
          <t>OAE RIO CRIXÁS-AÇU</t>
        </is>
      </c>
      <c r="E1473" t="inlineStr">
        <is>
          <t>-</t>
        </is>
      </c>
      <c r="F1473" t="inlineStr">
        <is>
          <t>APIA</t>
        </is>
      </c>
      <c r="G1473" t="inlineStr">
        <is>
          <t>CLP-019</t>
        </is>
      </c>
      <c r="H1473" t="inlineStr">
        <is>
          <t>Protocolo</t>
        </is>
      </c>
      <c r="I1473">
        <v>8</v>
      </c>
      <c r="J1473" t="inlineStr">
        <is>
          <t>Obras de Arte Complementares</t>
        </is>
      </c>
      <c r="K1473" t="inlineStr">
        <is>
          <t>8.35</t>
        </is>
      </c>
      <c r="L1473" t="inlineStr">
        <is>
          <t xml:space="preserve">Guarda corpos </t>
        </is>
      </c>
      <c r="M1473" t="inlineStr">
        <is>
          <t>Alinhamento</t>
        </is>
      </c>
      <c r="N1473" t="inlineStr">
        <is>
          <t>Identificado desalinhamento nos guarda-corpos instalados</t>
        </is>
      </c>
      <c r="O1473" t="inlineStr">
        <is>
          <t>Tipo A</t>
        </is>
      </c>
      <c r="P1473" t="inlineStr">
        <is>
          <t xml:space="preserve">87+775 </t>
        </is>
      </c>
      <c r="Q1473" t="inlineStr">
        <is>
          <t>87+949</t>
        </is>
      </c>
      <c r="R1473" t="inlineStr">
        <is>
          <t>Aberta</t>
        </is>
      </c>
      <c r="T1473" t="inlineStr">
        <is>
          <t>Aline Batista</t>
        </is>
      </c>
      <c r="U1473" t="inlineStr">
        <is>
          <t>25/05/2026</t>
        </is>
      </c>
      <c r="V1473" t="inlineStr">
        <is>
          <t>01/06/2026</t>
        </is>
      </c>
      <c r="W1473">
        <v>9</v>
      </c>
      <c r="AA1473" t="inlineStr">
        <is>
          <t>Aberta -30 dias</t>
        </is>
      </c>
    </row>
    <row r="1474">
      <c r="A1474">
        <v>1472</v>
      </c>
      <c r="B1474">
        <v>3</v>
      </c>
      <c r="C1474" t="inlineStr">
        <is>
          <t>1.8</t>
        </is>
      </c>
      <c r="D1474" t="inlineStr">
        <is>
          <t>OAE RIO CRIXÁS-AÇU</t>
        </is>
      </c>
      <c r="E1474" t="inlineStr">
        <is>
          <t>-</t>
        </is>
      </c>
      <c r="F1474" t="inlineStr">
        <is>
          <t>APIA</t>
        </is>
      </c>
      <c r="G1474" t="inlineStr">
        <is>
          <t>CLP-019</t>
        </is>
      </c>
      <c r="H1474" t="inlineStr">
        <is>
          <t>Protocolo</t>
        </is>
      </c>
      <c r="I1474">
        <v>8</v>
      </c>
      <c r="J1474" t="inlineStr">
        <is>
          <t>Obras de Arte Complementares</t>
        </is>
      </c>
      <c r="K1474" t="inlineStr">
        <is>
          <t>8.40</t>
        </is>
      </c>
      <c r="L1474" t="inlineStr">
        <is>
          <t>RNC</t>
        </is>
      </c>
      <c r="M1474" t="inlineStr">
        <is>
          <t>Documental</t>
        </is>
      </c>
      <c r="N1474" t="inlineStr">
        <is>
          <t xml:space="preserve">Consta em aberto o seguinte registro: :
RNC-01975/25 Junta Jeene - apresentado o resultado do ensaio Dureza Shore A com o resultado de 72 sendo o parâmetro de aceitação de acordo com a norma 12624 tabela 1 de 60 a 70.</t>
        </is>
      </c>
      <c r="O1474" t="inlineStr">
        <is>
          <t>Tipo B</t>
        </is>
      </c>
      <c r="P1474" t="inlineStr">
        <is>
          <t xml:space="preserve">87+775 </t>
        </is>
      </c>
      <c r="Q1474" t="inlineStr">
        <is>
          <t>87+949</t>
        </is>
      </c>
      <c r="R1474" t="inlineStr">
        <is>
          <t>Aberta</t>
        </is>
      </c>
      <c r="T1474" t="inlineStr">
        <is>
          <t>Aline Batista</t>
        </is>
      </c>
      <c r="U1474" t="inlineStr">
        <is>
          <t>25/05/2026</t>
        </is>
      </c>
      <c r="V1474" t="inlineStr">
        <is>
          <t>09/06/2026</t>
        </is>
      </c>
      <c r="W1474">
        <v>1</v>
      </c>
      <c r="AA1474" t="inlineStr">
        <is>
          <t>Aberta -30 dias</t>
        </is>
      </c>
    </row>
    <row r="1475">
      <c r="A1475">
        <v>1473</v>
      </c>
      <c r="B1475">
        <v>3</v>
      </c>
      <c r="C1475" t="inlineStr">
        <is>
          <t>1.8</t>
        </is>
      </c>
      <c r="D1475" t="inlineStr">
        <is>
          <t>OAE RIO CRIXÁS-AÇU</t>
        </is>
      </c>
      <c r="E1475" t="inlineStr">
        <is>
          <t>E01</t>
        </is>
      </c>
      <c r="F1475" t="inlineStr">
        <is>
          <t>APIA</t>
        </is>
      </c>
      <c r="G1475" t="inlineStr">
        <is>
          <t>CLP-019</t>
        </is>
      </c>
      <c r="H1475" t="inlineStr">
        <is>
          <t>Protocolo</t>
        </is>
      </c>
      <c r="I1475">
        <v>8</v>
      </c>
      <c r="J1475" t="inlineStr">
        <is>
          <t>Obras de Arte Complementares</t>
        </is>
      </c>
      <c r="K1475" t="inlineStr">
        <is>
          <t>8.43</t>
        </is>
      </c>
      <c r="L1475" t="inlineStr">
        <is>
          <t>E01</t>
        </is>
      </c>
      <c r="M1475" t="inlineStr">
        <is>
          <t>Erosões</t>
        </is>
      </c>
      <c r="N1475" t="inlineStr">
        <is>
          <t>Processos erosivos no talvegue com solo exposto, em área com estrutura de captação de água.</t>
        </is>
      </c>
      <c r="O1475" t="inlineStr">
        <is>
          <t>Tipo A</t>
        </is>
      </c>
      <c r="P1475" t="inlineStr">
        <is>
          <t xml:space="preserve">87+775 </t>
        </is>
      </c>
      <c r="Q1475" t="inlineStr">
        <is>
          <t>87+949</t>
        </is>
      </c>
      <c r="R1475" t="inlineStr">
        <is>
          <t>Aberta</t>
        </is>
      </c>
      <c r="T1475" t="inlineStr">
        <is>
          <t>Aline Batista</t>
        </is>
      </c>
      <c r="U1475" t="inlineStr">
        <is>
          <t>25/05/2026</t>
        </is>
      </c>
      <c r="V1475" t="inlineStr">
        <is>
          <t>01/06/2026</t>
        </is>
      </c>
      <c r="W1475">
        <v>9</v>
      </c>
      <c r="AA1475" t="inlineStr">
        <is>
          <t>Aberta -30 dias</t>
        </is>
      </c>
    </row>
    <row r="1476">
      <c r="A1476">
        <v>1474</v>
      </c>
      <c r="B1476">
        <v>3</v>
      </c>
      <c r="C1476" t="inlineStr">
        <is>
          <t>1.8</t>
        </is>
      </c>
      <c r="D1476" t="inlineStr">
        <is>
          <t>OAE RIO CRIXÁS-AÇU</t>
        </is>
      </c>
      <c r="E1476" t="inlineStr">
        <is>
          <t>E01</t>
        </is>
      </c>
      <c r="F1476" t="inlineStr">
        <is>
          <t>APIA</t>
        </is>
      </c>
      <c r="G1476" t="inlineStr">
        <is>
          <t>CLP-019</t>
        </is>
      </c>
      <c r="H1476" t="inlineStr">
        <is>
          <t>Protocolo</t>
        </is>
      </c>
      <c r="I1476">
        <v>8</v>
      </c>
      <c r="J1476" t="inlineStr">
        <is>
          <t>Obras de Arte Complementares</t>
        </is>
      </c>
      <c r="K1476" t="inlineStr">
        <is>
          <t>8.43</t>
        </is>
      </c>
      <c r="L1476" t="inlineStr">
        <is>
          <t>E01</t>
        </is>
      </c>
      <c r="M1476" t="inlineStr">
        <is>
          <t>Material Solto</t>
        </is>
      </c>
      <c r="N1476" t="inlineStr">
        <is>
          <t>Caminho de serviço com material solto, necessária recomposição do terreno, estabilização do talvegue e execução de hidrossemeadura.</t>
        </is>
      </c>
      <c r="O1476" t="inlineStr">
        <is>
          <t>Tipo A</t>
        </is>
      </c>
      <c r="P1476" t="inlineStr">
        <is>
          <t xml:space="preserve">87+775 </t>
        </is>
      </c>
      <c r="Q1476" t="inlineStr">
        <is>
          <t>87+949</t>
        </is>
      </c>
      <c r="R1476" t="inlineStr">
        <is>
          <t>Aberta</t>
        </is>
      </c>
      <c r="T1476" t="inlineStr">
        <is>
          <t>Aline Batista</t>
        </is>
      </c>
      <c r="U1476" t="inlineStr">
        <is>
          <t>25/05/2026</t>
        </is>
      </c>
      <c r="V1476" t="inlineStr">
        <is>
          <t>01/06/2026</t>
        </is>
      </c>
      <c r="W1476">
        <v>9</v>
      </c>
      <c r="AA1476" t="inlineStr">
        <is>
          <t>Aberta -30 dias</t>
        </is>
      </c>
    </row>
    <row r="1477">
      <c r="A1477">
        <v>1475</v>
      </c>
      <c r="B1477">
        <v>3</v>
      </c>
      <c r="C1477" t="inlineStr">
        <is>
          <t>1.8</t>
        </is>
      </c>
      <c r="D1477" t="inlineStr">
        <is>
          <t>OAE RIO CRIXÁS-AÇU</t>
        </is>
      </c>
      <c r="E1477" t="inlineStr">
        <is>
          <t>E02</t>
        </is>
      </c>
      <c r="F1477" t="inlineStr">
        <is>
          <t>APIA</t>
        </is>
      </c>
      <c r="G1477" t="inlineStr">
        <is>
          <t>CLP-019</t>
        </is>
      </c>
      <c r="H1477" t="inlineStr">
        <is>
          <t>Protocolo</t>
        </is>
      </c>
      <c r="I1477">
        <v>8</v>
      </c>
      <c r="J1477" t="inlineStr">
        <is>
          <t>Obras de Arte Complementares</t>
        </is>
      </c>
      <c r="K1477" t="inlineStr">
        <is>
          <t>8.43</t>
        </is>
      </c>
      <c r="L1477" t="inlineStr">
        <is>
          <t>E02</t>
        </is>
      </c>
      <c r="M1477" t="inlineStr">
        <is>
          <t>Erosões</t>
        </is>
      </c>
      <c r="N1477" t="inlineStr">
        <is>
          <t>Presença de processo erosivo e pendente aplicação de hidrossemeadura no caminho de serviço.</t>
        </is>
      </c>
      <c r="O1477" t="inlineStr">
        <is>
          <t>Tipo A</t>
        </is>
      </c>
      <c r="P1477" t="inlineStr">
        <is>
          <t xml:space="preserve">87+775 </t>
        </is>
      </c>
      <c r="Q1477" t="inlineStr">
        <is>
          <t>87+949</t>
        </is>
      </c>
      <c r="R1477" t="inlineStr">
        <is>
          <t>Aberta</t>
        </is>
      </c>
      <c r="T1477" t="inlineStr">
        <is>
          <t>Aline Batista</t>
        </is>
      </c>
      <c r="U1477" t="inlineStr">
        <is>
          <t>25/05/2026</t>
        </is>
      </c>
      <c r="V1477" t="inlineStr">
        <is>
          <t>01/06/2026</t>
        </is>
      </c>
      <c r="W1477">
        <v>9</v>
      </c>
      <c r="AA1477" t="inlineStr">
        <is>
          <t>Aberta -30 dias</t>
        </is>
      </c>
    </row>
    <row r="1478">
      <c r="A1478">
        <v>1476</v>
      </c>
      <c r="B1478">
        <v>3</v>
      </c>
      <c r="C1478" t="inlineStr">
        <is>
          <t>1.8</t>
        </is>
      </c>
      <c r="D1478" t="inlineStr">
        <is>
          <t>OAE RIO CRIXÁS-AÇU</t>
        </is>
      </c>
      <c r="E1478" t="inlineStr">
        <is>
          <t>E02</t>
        </is>
      </c>
      <c r="F1478" t="inlineStr">
        <is>
          <t>APIA</t>
        </is>
      </c>
      <c r="G1478" t="inlineStr">
        <is>
          <t>CLP-019</t>
        </is>
      </c>
      <c r="H1478" t="inlineStr">
        <is>
          <t>Protocolo</t>
        </is>
      </c>
      <c r="I1478">
        <v>8</v>
      </c>
      <c r="J1478" t="inlineStr">
        <is>
          <t>Obras de Arte Complementares</t>
        </is>
      </c>
      <c r="K1478" t="inlineStr">
        <is>
          <t>8.43</t>
        </is>
      </c>
      <c r="L1478" t="inlineStr">
        <is>
          <t>E02</t>
        </is>
      </c>
      <c r="M1478" t="inlineStr">
        <is>
          <t>Conformação</t>
        </is>
      </c>
      <c r="N1478" t="inlineStr">
        <is>
          <t>Conformação do terreno e execução de hidrossemeadura.</t>
        </is>
      </c>
      <c r="O1478" t="inlineStr">
        <is>
          <t>Tipo A</t>
        </is>
      </c>
      <c r="P1478" t="inlineStr">
        <is>
          <t xml:space="preserve">87+775 </t>
        </is>
      </c>
      <c r="Q1478" t="inlineStr">
        <is>
          <t>87+949</t>
        </is>
      </c>
      <c r="R1478" t="inlineStr">
        <is>
          <t>Aberta</t>
        </is>
      </c>
      <c r="T1478" t="inlineStr">
        <is>
          <t>Aline Batista</t>
        </is>
      </c>
      <c r="U1478" t="inlineStr">
        <is>
          <t>25/05/2026</t>
        </is>
      </c>
      <c r="V1478" t="inlineStr">
        <is>
          <t>01/06/2026</t>
        </is>
      </c>
      <c r="W1478">
        <v>9</v>
      </c>
      <c r="AA1478" t="inlineStr">
        <is>
          <t>Aberta -30 dias</t>
        </is>
      </c>
    </row>
    <row r="1479">
      <c r="A1479">
        <v>1477</v>
      </c>
      <c r="B1479">
        <v>3</v>
      </c>
      <c r="C1479" t="inlineStr">
        <is>
          <t>1.8</t>
        </is>
      </c>
      <c r="D1479" t="inlineStr">
        <is>
          <t>OAE RIO CRIXÁS-AÇU</t>
        </is>
      </c>
      <c r="E1479" t="inlineStr">
        <is>
          <t>E02</t>
        </is>
      </c>
      <c r="F1479" t="inlineStr">
        <is>
          <t>APIA</t>
        </is>
      </c>
      <c r="G1479" t="inlineStr">
        <is>
          <t>CLP-019</t>
        </is>
      </c>
      <c r="H1479" t="inlineStr">
        <is>
          <t>Protocolo</t>
        </is>
      </c>
      <c r="I1479">
        <v>8</v>
      </c>
      <c r="J1479" t="inlineStr">
        <is>
          <t>Obras de Arte Complementares</t>
        </is>
      </c>
      <c r="K1479" t="inlineStr">
        <is>
          <t>8.43</t>
        </is>
      </c>
      <c r="L1479" t="inlineStr">
        <is>
          <t>E02</t>
        </is>
      </c>
      <c r="M1479" t="inlineStr">
        <is>
          <t>Material Solto</t>
        </is>
      </c>
      <c r="N1479" t="inlineStr">
        <is>
          <t>Caminho de serviço com material solto, necessária recomposição do terreno, estabilização do talvegue e execução de hidrossemeadura.</t>
        </is>
      </c>
      <c r="O1479" t="inlineStr">
        <is>
          <t>Tipo A</t>
        </is>
      </c>
      <c r="P1479" t="inlineStr">
        <is>
          <t xml:space="preserve">87+775 </t>
        </is>
      </c>
      <c r="Q1479" t="inlineStr">
        <is>
          <t>87+949</t>
        </is>
      </c>
      <c r="R1479" t="inlineStr">
        <is>
          <t>Aberta</t>
        </is>
      </c>
      <c r="T1479" t="inlineStr">
        <is>
          <t>Aline Batista</t>
        </is>
      </c>
      <c r="U1479" t="inlineStr">
        <is>
          <t>25/05/2026</t>
        </is>
      </c>
      <c r="V1479" t="inlineStr">
        <is>
          <t>01/06/2026</t>
        </is>
      </c>
      <c r="W1479">
        <v>9</v>
      </c>
      <c r="AA1479" t="inlineStr">
        <is>
          <t>Aberta -30 dias</t>
        </is>
      </c>
    </row>
    <row r="1480">
      <c r="A1480">
        <v>1478</v>
      </c>
      <c r="B1480">
        <v>3</v>
      </c>
      <c r="C1480" t="inlineStr">
        <is>
          <t>1.8</t>
        </is>
      </c>
      <c r="D1480" t="inlineStr">
        <is>
          <t>OAE RIO CRIXÁS-AÇU</t>
        </is>
      </c>
      <c r="E1480" t="inlineStr">
        <is>
          <t>E01</t>
        </is>
      </c>
      <c r="F1480" t="inlineStr">
        <is>
          <t>APIA</t>
        </is>
      </c>
      <c r="G1480" t="inlineStr">
        <is>
          <t>CLP-019</t>
        </is>
      </c>
      <c r="H1480" t="inlineStr">
        <is>
          <t>Protocolo</t>
        </is>
      </c>
      <c r="I1480">
        <v>8</v>
      </c>
      <c r="J1480" t="inlineStr">
        <is>
          <t>Obras de Arte Complementares</t>
        </is>
      </c>
      <c r="K1480" t="inlineStr">
        <is>
          <t>8.43</t>
        </is>
      </c>
      <c r="L1480" t="inlineStr">
        <is>
          <t>E01</t>
        </is>
      </c>
      <c r="M1480" t="inlineStr">
        <is>
          <t>Erosões</t>
        </is>
      </c>
      <c r="N1480" t="inlineStr">
        <is>
          <t>Presença de erosão, necessário recuperação de solo.</t>
        </is>
      </c>
      <c r="O1480" t="inlineStr">
        <is>
          <t>Tipo A</t>
        </is>
      </c>
      <c r="P1480" t="inlineStr">
        <is>
          <t xml:space="preserve">87+775 </t>
        </is>
      </c>
      <c r="Q1480" t="inlineStr">
        <is>
          <t>87+949</t>
        </is>
      </c>
      <c r="R1480" t="inlineStr">
        <is>
          <t>Aberta</t>
        </is>
      </c>
      <c r="T1480" t="inlineStr">
        <is>
          <t>Aline Batista</t>
        </is>
      </c>
      <c r="U1480" t="inlineStr">
        <is>
          <t>25/05/2026</t>
        </is>
      </c>
      <c r="V1480" t="inlineStr">
        <is>
          <t>01/06/2026</t>
        </is>
      </c>
      <c r="W1480">
        <v>9</v>
      </c>
      <c r="AA1480" t="inlineStr">
        <is>
          <t>Aberta -30 dias</t>
        </is>
      </c>
    </row>
    <row r="1481">
      <c r="A1481">
        <v>1479</v>
      </c>
      <c r="B1481">
        <v>3</v>
      </c>
      <c r="C1481" t="inlineStr">
        <is>
          <t>1.8</t>
        </is>
      </c>
      <c r="D1481" t="inlineStr">
        <is>
          <t>OAE RIO CRIXÁS-AÇU</t>
        </is>
      </c>
      <c r="E1481" t="inlineStr">
        <is>
          <t>-</t>
        </is>
      </c>
      <c r="F1481" t="inlineStr">
        <is>
          <t>APIA</t>
        </is>
      </c>
      <c r="G1481" t="inlineStr">
        <is>
          <t>CLP-019</t>
        </is>
      </c>
      <c r="H1481" t="inlineStr">
        <is>
          <t>Protocolo</t>
        </is>
      </c>
      <c r="I1481">
        <v>8</v>
      </c>
      <c r="J1481" t="inlineStr">
        <is>
          <t>Obras de Arte Complementares</t>
        </is>
      </c>
      <c r="K1481" t="inlineStr">
        <is>
          <t>8.44</t>
        </is>
      </c>
      <c r="L1481" t="inlineStr">
        <is>
          <t>Controle tecnológico</t>
        </is>
      </c>
      <c r="M1481" t="inlineStr">
        <is>
          <t>Documental</t>
        </is>
      </c>
      <c r="N1481" t="inlineStr">
        <is>
          <t>Não foram entregues ensaios para análise documental de obras complementares.</t>
        </is>
      </c>
      <c r="O1481" t="inlineStr">
        <is>
          <t>Tipo B</t>
        </is>
      </c>
      <c r="P1481" t="inlineStr">
        <is>
          <t xml:space="preserve">87+775 </t>
        </is>
      </c>
      <c r="Q1481" t="inlineStr">
        <is>
          <t>87+949</t>
        </is>
      </c>
      <c r="R1481" t="inlineStr">
        <is>
          <t>Aberta</t>
        </is>
      </c>
      <c r="T1481" t="inlineStr">
        <is>
          <t>Aline Batista</t>
        </is>
      </c>
      <c r="U1481" t="inlineStr">
        <is>
          <t>25/05/2026</t>
        </is>
      </c>
      <c r="V1481" t="inlineStr">
        <is>
          <t>09/06/2026</t>
        </is>
      </c>
      <c r="W1481">
        <v>1</v>
      </c>
      <c r="AA1481" t="inlineStr">
        <is>
          <t>Aberta -30 dias</t>
        </is>
      </c>
    </row>
    <row r="1482">
      <c r="A1482">
        <v>1480</v>
      </c>
      <c r="B1482">
        <v>3</v>
      </c>
      <c r="C1482" t="inlineStr">
        <is>
          <t>1.8</t>
        </is>
      </c>
      <c r="D1482" t="inlineStr">
        <is>
          <t>OAE RIO CRIXÁS-AÇU</t>
        </is>
      </c>
      <c r="E1482" t="inlineStr">
        <is>
          <t>-</t>
        </is>
      </c>
      <c r="F1482" t="inlineStr">
        <is>
          <t>APIA</t>
        </is>
      </c>
      <c r="G1482" t="inlineStr">
        <is>
          <t>CLP-019</t>
        </is>
      </c>
      <c r="H1482" t="inlineStr">
        <is>
          <t>Protocolo</t>
        </is>
      </c>
      <c r="I1482">
        <v>8</v>
      </c>
      <c r="J1482" t="inlineStr">
        <is>
          <t>Obras de Arte Complementares</t>
        </is>
      </c>
      <c r="K1482" t="inlineStr">
        <is>
          <t>8.51</t>
        </is>
      </c>
      <c r="L1482" t="inlineStr">
        <is>
          <t>RNC</t>
        </is>
      </c>
      <c r="M1482" t="inlineStr">
        <is>
          <t>Documental</t>
        </is>
      </c>
      <c r="N1482" t="inlineStr">
        <is>
          <t xml:space="preserve">Consta em aberto o seguinte registro: 
RNC-01087/25 Matéria prima dos guardas-corpos - De acordo com a nota item 3.6 do projeto 1272FE-S-500010_Rev_2 deveria se usar eletrodo - E70XX / FILETE MINIMO 3mm e de acordo com a NF 814.266</t>
        </is>
      </c>
      <c r="O1482" t="inlineStr">
        <is>
          <t>Tipo B</t>
        </is>
      </c>
      <c r="P1482" t="inlineStr">
        <is>
          <t xml:space="preserve">87+775 </t>
        </is>
      </c>
      <c r="Q1482" t="inlineStr">
        <is>
          <t>87+949</t>
        </is>
      </c>
      <c r="R1482" t="inlineStr">
        <is>
          <t>Aberta</t>
        </is>
      </c>
      <c r="T1482" t="inlineStr">
        <is>
          <t>Aline Batista</t>
        </is>
      </c>
      <c r="U1482" t="inlineStr">
        <is>
          <t>25/05/2026</t>
        </is>
      </c>
      <c r="V1482" t="inlineStr">
        <is>
          <t>09/06/2026</t>
        </is>
      </c>
      <c r="W1482">
        <v>1</v>
      </c>
      <c r="AA1482" t="inlineStr">
        <is>
          <t>Aberta -30 dias</t>
        </is>
      </c>
    </row>
    <row r="1483">
      <c r="A1483">
        <v>1481</v>
      </c>
      <c r="B1483">
        <v>1</v>
      </c>
      <c r="C1483" t="inlineStr">
        <is>
          <t>1.4A</t>
        </is>
      </c>
      <c r="D1483" t="inlineStr">
        <is>
          <t>A01</t>
        </is>
      </c>
      <c r="E1483" t="inlineStr">
        <is>
          <t>LD/LE</t>
        </is>
      </c>
      <c r="F1483" t="inlineStr">
        <is>
          <t>EMPA</t>
        </is>
      </c>
      <c r="G1483" t="inlineStr">
        <is>
          <t>CLP-020</t>
        </is>
      </c>
      <c r="H1483" t="inlineStr">
        <is>
          <t>Protocolo</t>
        </is>
      </c>
      <c r="I1483">
        <v>1</v>
      </c>
      <c r="J1483" t="inlineStr">
        <is>
          <t>Obras de Arte Complementares</t>
        </is>
      </c>
      <c r="K1483" t="inlineStr">
        <is>
          <t>1.3</t>
        </is>
      </c>
      <c r="L1483" t="inlineStr">
        <is>
          <t>Cerca</t>
        </is>
      </c>
      <c r="M1483" t="inlineStr">
        <is>
          <t>Cercamento pendente</t>
        </is>
      </c>
      <c r="N1483" t="inlineStr">
        <is>
          <t>Pendente a execução da cerca de direcionamento em ambos os lados.</t>
        </is>
      </c>
      <c r="O1483" t="inlineStr">
        <is>
          <t>Tipo A</t>
        </is>
      </c>
      <c r="P1483" t="inlineStr">
        <is>
          <t>31+515</t>
        </is>
      </c>
      <c r="Q1483">
        <v>31515</v>
      </c>
      <c r="R1483" t="inlineStr">
        <is>
          <t>Aberta</t>
        </is>
      </c>
      <c r="T1483" t="inlineStr">
        <is>
          <t>Aline Batista</t>
        </is>
      </c>
      <c r="U1483" t="inlineStr">
        <is>
          <t>29/05/2026</t>
        </is>
      </c>
      <c r="V1483" t="inlineStr">
        <is>
          <t>05/06/2026</t>
        </is>
      </c>
      <c r="W1483">
        <v>5</v>
      </c>
      <c r="AA1483" t="inlineStr">
        <is>
          <t>Aberta -30 dias</t>
        </is>
      </c>
      <c r="AB1483" t="inlineStr">
        <is>
          <t>EMPA</t>
        </is>
      </c>
      <c r="AC1483" t="inlineStr">
        <is>
          <t>Aline</t>
        </is>
      </c>
      <c r="AD1483" t="inlineStr">
        <is>
          <t>17/08/2026</t>
        </is>
      </c>
      <c r="AE1483" t="inlineStr">
        <is>
          <t>28/08/2026</t>
        </is>
      </c>
      <c r="AF1483" t="inlineStr">
        <is>
          <t>Prazo Premissa VALE</t>
        </is>
      </c>
    </row>
    <row r="1484">
      <c r="A1484">
        <v>1482</v>
      </c>
      <c r="B1484">
        <v>1</v>
      </c>
      <c r="C1484" t="inlineStr">
        <is>
          <t>1.4A</t>
        </is>
      </c>
      <c r="D1484" t="inlineStr">
        <is>
          <t>A02</t>
        </is>
      </c>
      <c r="E1484" t="inlineStr">
        <is>
          <t>LE</t>
        </is>
      </c>
      <c r="F1484" t="inlineStr">
        <is>
          <t>EMPA</t>
        </is>
      </c>
      <c r="G1484" t="inlineStr">
        <is>
          <t>CLP-020</t>
        </is>
      </c>
      <c r="H1484" t="inlineStr">
        <is>
          <t>Protocolo</t>
        </is>
      </c>
      <c r="I1484">
        <v>1</v>
      </c>
      <c r="J1484" t="inlineStr">
        <is>
          <t>Obras de Arte Complementares</t>
        </is>
      </c>
      <c r="K1484" t="inlineStr">
        <is>
          <t>1.3</t>
        </is>
      </c>
      <c r="L1484" t="inlineStr">
        <is>
          <t>Cerca</t>
        </is>
      </c>
      <c r="M1484" t="inlineStr">
        <is>
          <t>Cercamento pendente</t>
        </is>
      </c>
      <c r="N1484" t="inlineStr">
        <is>
          <t xml:space="preserve">Pendente conclusão da cerca de direcionamento </t>
        </is>
      </c>
      <c r="O1484" t="inlineStr">
        <is>
          <t>Tipo A</t>
        </is>
      </c>
      <c r="P1484" t="inlineStr">
        <is>
          <t>32+840</t>
        </is>
      </c>
      <c r="Q1484">
        <v>32840</v>
      </c>
      <c r="R1484" t="inlineStr">
        <is>
          <t>Aberta</t>
        </is>
      </c>
      <c r="T1484" t="inlineStr">
        <is>
          <t>Aline Batista</t>
        </is>
      </c>
      <c r="U1484" t="inlineStr">
        <is>
          <t>29/05/2026</t>
        </is>
      </c>
      <c r="V1484" t="inlineStr">
        <is>
          <t>05/06/2026</t>
        </is>
      </c>
      <c r="W1484">
        <v>5</v>
      </c>
      <c r="AA1484" t="inlineStr">
        <is>
          <t>Aberta -30 dias</t>
        </is>
      </c>
      <c r="AB1484" t="inlineStr">
        <is>
          <t>EMPA</t>
        </is>
      </c>
      <c r="AC1484" t="inlineStr">
        <is>
          <t>Aline</t>
        </is>
      </c>
      <c r="AD1484" t="inlineStr">
        <is>
          <t>17/08/2026</t>
        </is>
      </c>
      <c r="AE1484" t="inlineStr">
        <is>
          <t>28/08/2026</t>
        </is>
      </c>
      <c r="AF1484" t="inlineStr">
        <is>
          <t>Prazo Premissa VALE</t>
        </is>
      </c>
    </row>
    <row r="1485">
      <c r="A1485">
        <v>1483</v>
      </c>
      <c r="B1485">
        <v>1</v>
      </c>
      <c r="C1485" t="inlineStr">
        <is>
          <t>1.4A</t>
        </is>
      </c>
      <c r="D1485" t="inlineStr">
        <is>
          <t>A02</t>
        </is>
      </c>
      <c r="E1485" t="inlineStr">
        <is>
          <t>LD/LE</t>
        </is>
      </c>
      <c r="F1485" t="inlineStr">
        <is>
          <t>EMPA</t>
        </is>
      </c>
      <c r="G1485" t="inlineStr">
        <is>
          <t>CLP-020</t>
        </is>
      </c>
      <c r="H1485" t="inlineStr">
        <is>
          <t>Protocolo</t>
        </is>
      </c>
      <c r="I1485">
        <v>1</v>
      </c>
      <c r="J1485" t="inlineStr">
        <is>
          <t>Obras de Arte Complementares</t>
        </is>
      </c>
      <c r="K1485" t="inlineStr">
        <is>
          <t>1.3</t>
        </is>
      </c>
      <c r="L1485" t="inlineStr">
        <is>
          <t>Porteira e Mata burro</t>
        </is>
      </c>
      <c r="M1485" t="inlineStr">
        <is>
          <t>Cercamento pendente</t>
        </is>
      </c>
      <c r="N1485" t="inlineStr">
        <is>
          <t>Pendente execução de porteira e mata-burro, em ambos os lados.</t>
        </is>
      </c>
      <c r="O1485" t="inlineStr">
        <is>
          <t>Tipo A</t>
        </is>
      </c>
      <c r="P1485" t="inlineStr">
        <is>
          <t>32+840</t>
        </is>
      </c>
      <c r="Q1485">
        <v>32840</v>
      </c>
      <c r="R1485" t="inlineStr">
        <is>
          <t>Aberta</t>
        </is>
      </c>
      <c r="T1485" t="inlineStr">
        <is>
          <t>Aline Batista</t>
        </is>
      </c>
      <c r="U1485" t="inlineStr">
        <is>
          <t>29/05/2026</t>
        </is>
      </c>
      <c r="V1485" t="inlineStr">
        <is>
          <t>05/06/2026</t>
        </is>
      </c>
      <c r="W1485">
        <v>5</v>
      </c>
      <c r="AA1485" t="inlineStr">
        <is>
          <t>Aberta -30 dias</t>
        </is>
      </c>
      <c r="AB1485" t="inlineStr">
        <is>
          <t>EMPA</t>
        </is>
      </c>
      <c r="AC1485" t="inlineStr">
        <is>
          <t>Aline</t>
        </is>
      </c>
      <c r="AD1485" t="inlineStr">
        <is>
          <t>17/08/2026</t>
        </is>
      </c>
      <c r="AE1485" t="inlineStr">
        <is>
          <t>28/08/2026</t>
        </is>
      </c>
      <c r="AF1485" t="inlineStr">
        <is>
          <t>Prazo Premissa VALE</t>
        </is>
      </c>
    </row>
    <row r="1486">
      <c r="A1486">
        <v>1484</v>
      </c>
      <c r="B1486">
        <v>1</v>
      </c>
      <c r="C1486" t="inlineStr">
        <is>
          <t>1.4A</t>
        </is>
      </c>
      <c r="D1486" t="inlineStr">
        <is>
          <t>A03</t>
        </is>
      </c>
      <c r="E1486" t="inlineStr">
        <is>
          <t>LE</t>
        </is>
      </c>
      <c r="F1486" t="inlineStr">
        <is>
          <t>EMPA</t>
        </is>
      </c>
      <c r="G1486" t="inlineStr">
        <is>
          <t>CLP-020</t>
        </is>
      </c>
      <c r="H1486" t="inlineStr">
        <is>
          <t>Protocolo</t>
        </is>
      </c>
      <c r="I1486">
        <v>1</v>
      </c>
      <c r="J1486" t="inlineStr">
        <is>
          <t>Obras de Arte Complementares</t>
        </is>
      </c>
      <c r="K1486" t="inlineStr">
        <is>
          <t>1.3</t>
        </is>
      </c>
      <c r="L1486" t="inlineStr">
        <is>
          <t>Porteira e Mata burro</t>
        </is>
      </c>
      <c r="M1486" t="inlineStr">
        <is>
          <t>Cercamento pendente</t>
        </is>
      </c>
      <c r="N1486" t="inlineStr">
        <is>
          <t>Pendente execução de porteira e mata-burro.</t>
        </is>
      </c>
      <c r="O1486" t="inlineStr">
        <is>
          <t>Tipo A</t>
        </is>
      </c>
      <c r="P1486" t="inlineStr">
        <is>
          <t>33+278</t>
        </is>
      </c>
      <c r="Q1486">
        <v>33278.321</v>
      </c>
      <c r="R1486" t="inlineStr">
        <is>
          <t>Aberta</t>
        </is>
      </c>
      <c r="T1486" t="inlineStr">
        <is>
          <t>Aline Batista</t>
        </is>
      </c>
      <c r="U1486" t="inlineStr">
        <is>
          <t>29/05/2026</t>
        </is>
      </c>
      <c r="V1486" t="inlineStr">
        <is>
          <t>05/06/2026</t>
        </is>
      </c>
      <c r="W1486">
        <v>5</v>
      </c>
      <c r="AA1486" t="inlineStr">
        <is>
          <t>Aberta -30 dias</t>
        </is>
      </c>
      <c r="AB1486" t="inlineStr">
        <is>
          <t>EMPA</t>
        </is>
      </c>
      <c r="AC1486" t="inlineStr">
        <is>
          <t>Aline</t>
        </is>
      </c>
      <c r="AD1486" t="inlineStr">
        <is>
          <t>31/08/2026</t>
        </is>
      </c>
      <c r="AE1486" t="inlineStr">
        <is>
          <t>10/09/2026</t>
        </is>
      </c>
      <c r="AF1486" t="inlineStr">
        <is>
          <t>Prazo Premissa VALE</t>
        </is>
      </c>
    </row>
    <row r="1487">
      <c r="A1487">
        <v>1485</v>
      </c>
      <c r="B1487">
        <v>1</v>
      </c>
      <c r="C1487" t="inlineStr">
        <is>
          <t>1.4A</t>
        </is>
      </c>
      <c r="D1487" t="inlineStr">
        <is>
          <t>A03</t>
        </is>
      </c>
      <c r="E1487" t="inlineStr">
        <is>
          <t>LD</t>
        </is>
      </c>
      <c r="F1487" t="inlineStr">
        <is>
          <t>EMPA</t>
        </is>
      </c>
      <c r="G1487" t="inlineStr">
        <is>
          <t>CLP-020</t>
        </is>
      </c>
      <c r="H1487" t="inlineStr">
        <is>
          <t>Protocolo</t>
        </is>
      </c>
      <c r="I1487">
        <v>1</v>
      </c>
      <c r="J1487" t="inlineStr">
        <is>
          <t>Obras de Arte Complementares</t>
        </is>
      </c>
      <c r="K1487" t="inlineStr">
        <is>
          <t>1.3</t>
        </is>
      </c>
      <c r="L1487" t="inlineStr">
        <is>
          <t>Porteira e Mata burro</t>
        </is>
      </c>
      <c r="M1487" t="inlineStr">
        <is>
          <t>Cercamento pendente</t>
        </is>
      </c>
      <c r="N1487" t="inlineStr">
        <is>
          <t>Pendente execução de porteira e mata-burro.</t>
        </is>
      </c>
      <c r="O1487" t="inlineStr">
        <is>
          <t>Tipo A</t>
        </is>
      </c>
      <c r="P1487" t="inlineStr">
        <is>
          <t>33+396</t>
        </is>
      </c>
      <c r="Q1487">
        <v>33396.487</v>
      </c>
      <c r="R1487" t="inlineStr">
        <is>
          <t>Aberta</t>
        </is>
      </c>
      <c r="T1487" t="inlineStr">
        <is>
          <t>Aline Batista</t>
        </is>
      </c>
      <c r="U1487" t="inlineStr">
        <is>
          <t>29/05/2026</t>
        </is>
      </c>
      <c r="V1487" t="inlineStr">
        <is>
          <t>05/06/2026</t>
        </is>
      </c>
      <c r="W1487">
        <v>5</v>
      </c>
      <c r="AA1487" t="inlineStr">
        <is>
          <t>Aberta -30 dias</t>
        </is>
      </c>
      <c r="AB1487" t="inlineStr">
        <is>
          <t>EMPA</t>
        </is>
      </c>
      <c r="AC1487" t="inlineStr">
        <is>
          <t>Aline</t>
        </is>
      </c>
      <c r="AD1487" t="inlineStr">
        <is>
          <t>31/08/2026</t>
        </is>
      </c>
      <c r="AE1487" t="inlineStr">
        <is>
          <t>10/09/2026</t>
        </is>
      </c>
      <c r="AF1487" t="inlineStr">
        <is>
          <t>Prazo Premissa VALE</t>
        </is>
      </c>
    </row>
    <row r="1488">
      <c r="A1488">
        <v>1486</v>
      </c>
      <c r="B1488">
        <v>1</v>
      </c>
      <c r="C1488" t="inlineStr">
        <is>
          <t>1.4A</t>
        </is>
      </c>
      <c r="D1488" t="inlineStr">
        <is>
          <t>A03</t>
        </is>
      </c>
      <c r="E1488" t="inlineStr">
        <is>
          <t>LE</t>
        </is>
      </c>
      <c r="F1488" t="inlineStr">
        <is>
          <t>EMPA</t>
        </is>
      </c>
      <c r="G1488" t="inlineStr">
        <is>
          <t>CLP-020</t>
        </is>
      </c>
      <c r="H1488" t="inlineStr">
        <is>
          <t>Protocolo</t>
        </is>
      </c>
      <c r="I1488">
        <v>1</v>
      </c>
      <c r="J1488" t="inlineStr">
        <is>
          <t>Obras de Arte Complementares</t>
        </is>
      </c>
      <c r="K1488" t="inlineStr">
        <is>
          <t>1.3</t>
        </is>
      </c>
      <c r="L1488" t="inlineStr">
        <is>
          <t>Porteira e Mata burro</t>
        </is>
      </c>
      <c r="M1488" t="inlineStr">
        <is>
          <t>Cercamento pendente</t>
        </is>
      </c>
      <c r="N1488" t="inlineStr">
        <is>
          <t>Pendente execução de porteira e mata-burro.</t>
        </is>
      </c>
      <c r="O1488" t="inlineStr">
        <is>
          <t>Tipo A</t>
        </is>
      </c>
      <c r="P1488" t="inlineStr">
        <is>
          <t>34+380</t>
        </is>
      </c>
      <c r="Q1488">
        <v>34380</v>
      </c>
      <c r="R1488" t="inlineStr">
        <is>
          <t>Aberta</t>
        </is>
      </c>
      <c r="T1488" t="inlineStr">
        <is>
          <t>Aline Batista</t>
        </is>
      </c>
      <c r="U1488" t="inlineStr">
        <is>
          <t>29/05/2026</t>
        </is>
      </c>
      <c r="V1488" t="inlineStr">
        <is>
          <t>05/06/2026</t>
        </is>
      </c>
      <c r="W1488">
        <v>5</v>
      </c>
      <c r="AA1488" t="inlineStr">
        <is>
          <t>Aberta -30 dias</t>
        </is>
      </c>
      <c r="AB1488" t="inlineStr">
        <is>
          <t>EMPA</t>
        </is>
      </c>
      <c r="AC1488" t="inlineStr">
        <is>
          <t>Aline</t>
        </is>
      </c>
      <c r="AD1488" t="inlineStr">
        <is>
          <t>31/08/2026</t>
        </is>
      </c>
      <c r="AE1488" t="inlineStr">
        <is>
          <t>10/09/2026</t>
        </is>
      </c>
      <c r="AF1488" t="inlineStr">
        <is>
          <t>Prazo Premissa VALE</t>
        </is>
      </c>
    </row>
    <row r="1489">
      <c r="A1489">
        <v>1487</v>
      </c>
      <c r="B1489">
        <v>1</v>
      </c>
      <c r="C1489" t="inlineStr">
        <is>
          <t>1.4A</t>
        </is>
      </c>
      <c r="D1489" t="inlineStr">
        <is>
          <t>A07</t>
        </is>
      </c>
      <c r="E1489" t="inlineStr">
        <is>
          <t>LD/LE</t>
        </is>
      </c>
      <c r="F1489" t="inlineStr">
        <is>
          <t>EMPA</t>
        </is>
      </c>
      <c r="G1489" t="inlineStr">
        <is>
          <t>CLP-020</t>
        </is>
      </c>
      <c r="H1489" t="inlineStr">
        <is>
          <t>Protocolo</t>
        </is>
      </c>
      <c r="I1489">
        <v>1</v>
      </c>
      <c r="J1489" t="inlineStr">
        <is>
          <t>Obras de Arte Complementares</t>
        </is>
      </c>
      <c r="K1489" t="inlineStr">
        <is>
          <t>1.3</t>
        </is>
      </c>
      <c r="L1489" t="inlineStr">
        <is>
          <t>Cerca</t>
        </is>
      </c>
      <c r="M1489" t="inlineStr">
        <is>
          <t>Cercamento pendente</t>
        </is>
      </c>
      <c r="N1489" t="inlineStr">
        <is>
          <t>Pendente a execução da cerca de direcionamento em ambos os lados.</t>
        </is>
      </c>
      <c r="O1489" t="inlineStr">
        <is>
          <t>Tipo A</t>
        </is>
      </c>
      <c r="P1489" t="inlineStr">
        <is>
          <t>36+400</t>
        </is>
      </c>
      <c r="Q1489">
        <v>36400</v>
      </c>
      <c r="R1489" t="inlineStr">
        <is>
          <t>Aberta</t>
        </is>
      </c>
      <c r="T1489" t="inlineStr">
        <is>
          <t>Aline Batista</t>
        </is>
      </c>
      <c r="U1489" t="inlineStr">
        <is>
          <t>29/05/2026</t>
        </is>
      </c>
      <c r="V1489" t="inlineStr">
        <is>
          <t>05/06/2026</t>
        </is>
      </c>
      <c r="W1489">
        <v>5</v>
      </c>
      <c r="AA1489" t="inlineStr">
        <is>
          <t>Aberta -30 dias</t>
        </is>
      </c>
      <c r="AB1489" t="inlineStr">
        <is>
          <t>EMPA</t>
        </is>
      </c>
      <c r="AC1489" t="inlineStr">
        <is>
          <t>Aline</t>
        </is>
      </c>
      <c r="AD1489" t="inlineStr">
        <is>
          <t>31/08/2026</t>
        </is>
      </c>
      <c r="AE1489" t="inlineStr">
        <is>
          <t>10/09/2026</t>
        </is>
      </c>
      <c r="AF1489" t="inlineStr">
        <is>
          <t>Prazo Premissa VALE</t>
        </is>
      </c>
    </row>
    <row r="1490">
      <c r="A1490">
        <v>1488</v>
      </c>
      <c r="B1490">
        <v>1</v>
      </c>
      <c r="C1490" t="inlineStr">
        <is>
          <t>1.4A</t>
        </is>
      </c>
      <c r="D1490" t="inlineStr">
        <is>
          <t>A09</t>
        </is>
      </c>
      <c r="E1490" t="inlineStr">
        <is>
          <t>LD/LE</t>
        </is>
      </c>
      <c r="F1490" t="inlineStr">
        <is>
          <t>EMPA</t>
        </is>
      </c>
      <c r="G1490" t="inlineStr">
        <is>
          <t>CLP-020</t>
        </is>
      </c>
      <c r="H1490" t="inlineStr">
        <is>
          <t>Protocolo</t>
        </is>
      </c>
      <c r="I1490">
        <v>1</v>
      </c>
      <c r="J1490" t="inlineStr">
        <is>
          <t>Obras de Arte Complementares</t>
        </is>
      </c>
      <c r="K1490" t="inlineStr">
        <is>
          <t>1.3</t>
        </is>
      </c>
      <c r="L1490" t="inlineStr">
        <is>
          <t>Cerca</t>
        </is>
      </c>
      <c r="M1490" t="inlineStr">
        <is>
          <t>Cercamento pendente</t>
        </is>
      </c>
      <c r="N1490" t="inlineStr">
        <is>
          <t xml:space="preserve">Pendente conclusão da cerca de direcionamento 
CTD 051. manifestação </t>
        </is>
      </c>
      <c r="O1490" t="inlineStr">
        <is>
          <t>Tipo A</t>
        </is>
      </c>
      <c r="P1490" t="inlineStr">
        <is>
          <t>37+360</t>
        </is>
      </c>
      <c r="Q1490">
        <v>37360</v>
      </c>
      <c r="R1490" t="inlineStr">
        <is>
          <t>Aberta</t>
        </is>
      </c>
      <c r="T1490" t="inlineStr">
        <is>
          <t>Aline Batista</t>
        </is>
      </c>
      <c r="U1490" t="inlineStr">
        <is>
          <t>29/05/2026</t>
        </is>
      </c>
      <c r="V1490" t="inlineStr">
        <is>
          <t>05/06/2026</t>
        </is>
      </c>
      <c r="W1490">
        <v>5</v>
      </c>
      <c r="AA1490" t="inlineStr">
        <is>
          <t>Aberta -30 dias</t>
        </is>
      </c>
      <c r="AB1490" t="inlineStr">
        <is>
          <t>EMPA</t>
        </is>
      </c>
      <c r="AC1490" t="inlineStr">
        <is>
          <t>Aline</t>
        </is>
      </c>
      <c r="AD1490" t="inlineStr">
        <is>
          <t>31/08/2026</t>
        </is>
      </c>
      <c r="AE1490" t="inlineStr">
        <is>
          <t>10/09/2026</t>
        </is>
      </c>
      <c r="AF1490" t="inlineStr">
        <is>
          <t>Prazo Premissa VALE</t>
        </is>
      </c>
    </row>
    <row r="1491">
      <c r="A1491">
        <v>1489</v>
      </c>
      <c r="B1491">
        <v>1</v>
      </c>
      <c r="C1491" t="inlineStr">
        <is>
          <t>1.4A</t>
        </is>
      </c>
      <c r="D1491" t="inlineStr">
        <is>
          <t>A10</t>
        </is>
      </c>
      <c r="E1491" t="inlineStr">
        <is>
          <t>LD/LE</t>
        </is>
      </c>
      <c r="F1491" t="inlineStr">
        <is>
          <t>EMPA</t>
        </is>
      </c>
      <c r="G1491" t="inlineStr">
        <is>
          <t>CLP-020</t>
        </is>
      </c>
      <c r="H1491" t="inlineStr">
        <is>
          <t>Protocolo</t>
        </is>
      </c>
      <c r="I1491">
        <v>1</v>
      </c>
      <c r="J1491" t="inlineStr">
        <is>
          <t>Obras de Arte Complementares</t>
        </is>
      </c>
      <c r="K1491" t="inlineStr">
        <is>
          <t>1.3</t>
        </is>
      </c>
      <c r="L1491" t="inlineStr">
        <is>
          <t>Porteira e Mata burro</t>
        </is>
      </c>
      <c r="M1491" t="inlineStr">
        <is>
          <t>Cercamento pendente</t>
        </is>
      </c>
      <c r="N1491" t="inlineStr">
        <is>
          <t>Pendente execução de porteira e mata-burro, em ambos os lados.</t>
        </is>
      </c>
      <c r="O1491" t="inlineStr">
        <is>
          <t>Tipo A</t>
        </is>
      </c>
      <c r="P1491" t="inlineStr">
        <is>
          <t>37+720</t>
        </is>
      </c>
      <c r="Q1491" t="inlineStr">
        <is>
          <t>37+720,000</t>
        </is>
      </c>
      <c r="R1491" t="inlineStr">
        <is>
          <t>Aberta</t>
        </is>
      </c>
      <c r="T1491" t="inlineStr">
        <is>
          <t>Aline Batista</t>
        </is>
      </c>
      <c r="U1491" t="inlineStr">
        <is>
          <t>29/05/2026</t>
        </is>
      </c>
      <c r="V1491" t="inlineStr">
        <is>
          <t>05/06/2026</t>
        </is>
      </c>
      <c r="W1491">
        <v>5</v>
      </c>
      <c r="AA1491" t="inlineStr">
        <is>
          <t>Aberta -30 dias</t>
        </is>
      </c>
      <c r="AB1491" t="inlineStr">
        <is>
          <t>EMPA</t>
        </is>
      </c>
      <c r="AC1491" t="inlineStr">
        <is>
          <t>Aline</t>
        </is>
      </c>
      <c r="AD1491" t="inlineStr">
        <is>
          <t>31/08/2026</t>
        </is>
      </c>
      <c r="AE1491" t="inlineStr">
        <is>
          <t>10/09/2026</t>
        </is>
      </c>
      <c r="AF1491" t="inlineStr">
        <is>
          <t>Prazo Premissa VALE</t>
        </is>
      </c>
    </row>
    <row r="1492">
      <c r="A1492">
        <v>1490</v>
      </c>
      <c r="B1492">
        <v>1</v>
      </c>
      <c r="C1492" t="inlineStr">
        <is>
          <t>1.4A</t>
        </is>
      </c>
      <c r="D1492" t="inlineStr">
        <is>
          <t>A01</t>
        </is>
      </c>
      <c r="E1492" t="inlineStr">
        <is>
          <t>LE</t>
        </is>
      </c>
      <c r="F1492" t="inlineStr">
        <is>
          <t>EMPA</t>
        </is>
      </c>
      <c r="G1492" t="inlineStr">
        <is>
          <t>CLP-020</t>
        </is>
      </c>
      <c r="H1492" t="inlineStr">
        <is>
          <t>Protocolo</t>
        </is>
      </c>
      <c r="I1492">
        <v>1</v>
      </c>
      <c r="J1492" t="inlineStr">
        <is>
          <t>Obras de Arte Complementares</t>
        </is>
      </c>
      <c r="K1492" t="inlineStr">
        <is>
          <t>1.3</t>
        </is>
      </c>
      <c r="L1492" t="inlineStr">
        <is>
          <t>Cerca</t>
        </is>
      </c>
      <c r="M1492" t="inlineStr">
        <is>
          <t>Cercamento pendente</t>
        </is>
      </c>
      <c r="N1492" t="inlineStr">
        <is>
          <t>CERCAMENTO NÃO EXECUTADO EM PARTE DA FAIXA AQD</t>
        </is>
      </c>
      <c r="O1492" t="inlineStr">
        <is>
          <t>Tipo A</t>
        </is>
      </c>
      <c r="P1492" t="inlineStr">
        <is>
          <t>31+124</t>
        </is>
      </c>
      <c r="Q1492" t="inlineStr">
        <is>
          <t>31+124</t>
        </is>
      </c>
      <c r="R1492" t="inlineStr">
        <is>
          <t>Aberta</t>
        </is>
      </c>
      <c r="T1492" t="inlineStr">
        <is>
          <t>Aline Batista</t>
        </is>
      </c>
      <c r="U1492" t="inlineStr">
        <is>
          <t>29/05/2026</t>
        </is>
      </c>
      <c r="V1492" t="inlineStr">
        <is>
          <t>05/06/2026</t>
        </is>
      </c>
      <c r="W1492">
        <v>5</v>
      </c>
      <c r="AA1492" t="inlineStr">
        <is>
          <t>Aberta -30 dias</t>
        </is>
      </c>
      <c r="AB1492" t="inlineStr">
        <is>
          <t>EMPA</t>
        </is>
      </c>
      <c r="AC1492" t="inlineStr">
        <is>
          <t>Aline</t>
        </is>
      </c>
      <c r="AD1492" t="inlineStr">
        <is>
          <t>17/08/2026</t>
        </is>
      </c>
      <c r="AE1492" t="inlineStr">
        <is>
          <t>28/08/2026</t>
        </is>
      </c>
      <c r="AF1492" t="inlineStr">
        <is>
          <t>Prazo Premissa VALE</t>
        </is>
      </c>
    </row>
    <row r="1493">
      <c r="A1493">
        <v>1491</v>
      </c>
      <c r="B1493">
        <v>1</v>
      </c>
      <c r="C1493" t="inlineStr">
        <is>
          <t>1.4A</t>
        </is>
      </c>
      <c r="D1493" t="inlineStr">
        <is>
          <t>C09</t>
        </is>
      </c>
      <c r="E1493" t="inlineStr">
        <is>
          <t>LD</t>
        </is>
      </c>
      <c r="F1493" t="inlineStr">
        <is>
          <t>EMPA</t>
        </is>
      </c>
      <c r="G1493" t="inlineStr">
        <is>
          <t>CLP-020</t>
        </is>
      </c>
      <c r="H1493" t="inlineStr">
        <is>
          <t>Protocolo</t>
        </is>
      </c>
      <c r="I1493">
        <v>1</v>
      </c>
      <c r="J1493" t="inlineStr">
        <is>
          <t>Obras de Arte Complementares</t>
        </is>
      </c>
      <c r="K1493" t="inlineStr">
        <is>
          <t>1.3</t>
        </is>
      </c>
      <c r="L1493" t="inlineStr">
        <is>
          <t>Cerca</t>
        </is>
      </c>
      <c r="M1493" t="inlineStr">
        <is>
          <t>Cercamento pendente</t>
        </is>
      </c>
      <c r="N1493" t="inlineStr">
        <is>
          <t>CERCAMENTO NÃO EXECUTADO EM PARTE DA FAIXA AQD</t>
        </is>
      </c>
      <c r="O1493" t="inlineStr">
        <is>
          <t>Tipo A</t>
        </is>
      </c>
      <c r="P1493" t="inlineStr">
        <is>
          <t>37+100</t>
        </is>
      </c>
      <c r="Q1493" t="inlineStr">
        <is>
          <t>37+100</t>
        </is>
      </c>
      <c r="R1493" t="inlineStr">
        <is>
          <t>Aberta</t>
        </is>
      </c>
      <c r="T1493" t="inlineStr">
        <is>
          <t>Aline Batista</t>
        </is>
      </c>
      <c r="U1493" t="inlineStr">
        <is>
          <t>29/05/2026</t>
        </is>
      </c>
      <c r="V1493" t="inlineStr">
        <is>
          <t>05/06/2026</t>
        </is>
      </c>
      <c r="W1493">
        <v>5</v>
      </c>
      <c r="AA1493" t="inlineStr">
        <is>
          <t>Aberta -30 dias</t>
        </is>
      </c>
      <c r="AB1493" t="inlineStr">
        <is>
          <t>EMPA</t>
        </is>
      </c>
      <c r="AC1493" t="inlineStr">
        <is>
          <t>Aline</t>
        </is>
      </c>
      <c r="AD1493" t="inlineStr">
        <is>
          <t>31/08/2026</t>
        </is>
      </c>
      <c r="AE1493" t="inlineStr">
        <is>
          <t>10/09/2026</t>
        </is>
      </c>
      <c r="AF1493" t="inlineStr">
        <is>
          <t>Prazo Premissa VALE</t>
        </is>
      </c>
    </row>
    <row r="1494">
      <c r="A1494">
        <v>1492</v>
      </c>
      <c r="B1494">
        <v>1</v>
      </c>
      <c r="C1494" t="inlineStr">
        <is>
          <t>1.4A</t>
        </is>
      </c>
      <c r="D1494" t="inlineStr">
        <is>
          <t>A09</t>
        </is>
      </c>
      <c r="E1494" t="inlineStr">
        <is>
          <t>LE</t>
        </is>
      </c>
      <c r="F1494" t="inlineStr">
        <is>
          <t>EMPA</t>
        </is>
      </c>
      <c r="G1494" t="inlineStr">
        <is>
          <t>CLP-020</t>
        </is>
      </c>
      <c r="H1494" t="inlineStr">
        <is>
          <t>Protocolo</t>
        </is>
      </c>
      <c r="I1494">
        <v>1</v>
      </c>
      <c r="J1494" t="inlineStr">
        <is>
          <t>Obras de Arte Complementares</t>
        </is>
      </c>
      <c r="K1494" t="inlineStr">
        <is>
          <t>1.3</t>
        </is>
      </c>
      <c r="L1494" t="inlineStr">
        <is>
          <t>Cerca</t>
        </is>
      </c>
      <c r="M1494" t="inlineStr">
        <is>
          <t>Cercamento pendente</t>
        </is>
      </c>
      <c r="N1494" t="inlineStr">
        <is>
          <t>CERCAMENTO NÃO EXECUTADO EM PARTE DA FAIXA AQD</t>
        </is>
      </c>
      <c r="O1494" t="inlineStr">
        <is>
          <t>Tipo A</t>
        </is>
      </c>
      <c r="P1494" t="inlineStr">
        <is>
          <t>37+400</t>
        </is>
      </c>
      <c r="Q1494" t="inlineStr">
        <is>
          <t>37+400</t>
        </is>
      </c>
      <c r="R1494" t="inlineStr">
        <is>
          <t>Aberta</t>
        </is>
      </c>
      <c r="T1494" t="inlineStr">
        <is>
          <t>Aline Batista</t>
        </is>
      </c>
      <c r="U1494" t="inlineStr">
        <is>
          <t>29/05/2026</t>
        </is>
      </c>
      <c r="V1494" t="inlineStr">
        <is>
          <t>05/06/2026</t>
        </is>
      </c>
      <c r="W1494">
        <v>5</v>
      </c>
      <c r="AA1494" t="inlineStr">
        <is>
          <t>Aberta -30 dias</t>
        </is>
      </c>
      <c r="AB1494" t="inlineStr">
        <is>
          <t>EMPA</t>
        </is>
      </c>
      <c r="AC1494" t="inlineStr">
        <is>
          <t>Aline</t>
        </is>
      </c>
      <c r="AD1494" t="inlineStr">
        <is>
          <t>31/08/2026</t>
        </is>
      </c>
      <c r="AE1494" t="inlineStr">
        <is>
          <t>10/09/2026</t>
        </is>
      </c>
      <c r="AF1494" t="inlineStr">
        <is>
          <t>Prazo Premissa VALE</t>
        </is>
      </c>
    </row>
    <row r="1495">
      <c r="A1495">
        <v>1493</v>
      </c>
      <c r="B1495">
        <v>1</v>
      </c>
      <c r="C1495" t="inlineStr">
        <is>
          <t>1.4A</t>
        </is>
      </c>
      <c r="D1495" t="inlineStr">
        <is>
          <t>A10</t>
        </is>
      </c>
      <c r="E1495" t="inlineStr">
        <is>
          <t>LD</t>
        </is>
      </c>
      <c r="F1495" t="inlineStr">
        <is>
          <t>EMPA</t>
        </is>
      </c>
      <c r="G1495" t="inlineStr">
        <is>
          <t>CLP-020</t>
        </is>
      </c>
      <c r="H1495" t="inlineStr">
        <is>
          <t>Protocolo</t>
        </is>
      </c>
      <c r="I1495">
        <v>1</v>
      </c>
      <c r="J1495" t="inlineStr">
        <is>
          <t>Obras de Arte Complementares</t>
        </is>
      </c>
      <c r="K1495" t="inlineStr">
        <is>
          <t>1.3</t>
        </is>
      </c>
      <c r="L1495" t="inlineStr">
        <is>
          <t>Cerca</t>
        </is>
      </c>
      <c r="M1495" t="inlineStr">
        <is>
          <t>Cercamento pendente</t>
        </is>
      </c>
      <c r="N1495" t="inlineStr">
        <is>
          <t>CERCAMENTO NÃO EXECUTADO EM PARTE DA FAIXA AQD</t>
        </is>
      </c>
      <c r="O1495" t="inlineStr">
        <is>
          <t>Tipo A</t>
        </is>
      </c>
      <c r="P1495" t="inlineStr">
        <is>
          <t>37+800</t>
        </is>
      </c>
      <c r="Q1495" t="inlineStr">
        <is>
          <t>37+800</t>
        </is>
      </c>
      <c r="R1495" t="inlineStr">
        <is>
          <t>Aberta</t>
        </is>
      </c>
      <c r="T1495" t="inlineStr">
        <is>
          <t>Aline Batista</t>
        </is>
      </c>
      <c r="U1495" t="inlineStr">
        <is>
          <t>29/05/2026</t>
        </is>
      </c>
      <c r="V1495" t="inlineStr">
        <is>
          <t>05/06/2026</t>
        </is>
      </c>
      <c r="W1495">
        <v>5</v>
      </c>
      <c r="AA1495" t="inlineStr">
        <is>
          <t>Aberta -30 dias</t>
        </is>
      </c>
      <c r="AB1495" t="inlineStr">
        <is>
          <t>EMPA</t>
        </is>
      </c>
      <c r="AC1495" t="inlineStr">
        <is>
          <t>Aline</t>
        </is>
      </c>
      <c r="AD1495" t="inlineStr">
        <is>
          <t>31/08/2026</t>
        </is>
      </c>
      <c r="AE1495" t="inlineStr">
        <is>
          <t>10/09/2026</t>
        </is>
      </c>
      <c r="AF1495" t="inlineStr">
        <is>
          <t>Prazo Premissa VALE</t>
        </is>
      </c>
    </row>
    <row r="1496">
      <c r="A1496">
        <v>1494</v>
      </c>
      <c r="B1496">
        <v>1</v>
      </c>
      <c r="C1496" t="inlineStr">
        <is>
          <t>1.4A</t>
        </is>
      </c>
      <c r="D1496" t="inlineStr">
        <is>
          <t>A10</t>
        </is>
      </c>
      <c r="E1496" t="inlineStr">
        <is>
          <t>LE</t>
        </is>
      </c>
      <c r="F1496" t="inlineStr">
        <is>
          <t>EMPA</t>
        </is>
      </c>
      <c r="G1496" t="inlineStr">
        <is>
          <t>CLP-020</t>
        </is>
      </c>
      <c r="H1496" t="inlineStr">
        <is>
          <t>Protocolo</t>
        </is>
      </c>
      <c r="I1496">
        <v>1</v>
      </c>
      <c r="J1496" t="inlineStr">
        <is>
          <t>Obras de Arte Complementares</t>
        </is>
      </c>
      <c r="K1496" t="inlineStr">
        <is>
          <t>1.3</t>
        </is>
      </c>
      <c r="L1496" t="inlineStr">
        <is>
          <t>Cerca</t>
        </is>
      </c>
      <c r="M1496" t="inlineStr">
        <is>
          <t>Cercamento pendente</t>
        </is>
      </c>
      <c r="N1496" t="inlineStr">
        <is>
          <t>CERCAMENTO NÃO EXECUTADO EM PARTE DA FAIXA AQD</t>
        </is>
      </c>
      <c r="O1496" t="inlineStr">
        <is>
          <t>Tipo A</t>
        </is>
      </c>
      <c r="P1496" t="inlineStr">
        <is>
          <t>38+000</t>
        </is>
      </c>
      <c r="Q1496" t="inlineStr">
        <is>
          <t>38+000</t>
        </is>
      </c>
      <c r="R1496" t="inlineStr">
        <is>
          <t>Aberta</t>
        </is>
      </c>
      <c r="T1496" t="inlineStr">
        <is>
          <t>Aline Batista</t>
        </is>
      </c>
      <c r="U1496" t="inlineStr">
        <is>
          <t>29/05/2026</t>
        </is>
      </c>
      <c r="V1496" t="inlineStr">
        <is>
          <t>05/06/2026</t>
        </is>
      </c>
      <c r="W1496">
        <v>5</v>
      </c>
      <c r="AA1496" t="inlineStr">
        <is>
          <t>Aberta -30 dias</t>
        </is>
      </c>
      <c r="AB1496" t="inlineStr">
        <is>
          <t>EMPA</t>
        </is>
      </c>
      <c r="AC1496" t="inlineStr">
        <is>
          <t>Aline</t>
        </is>
      </c>
      <c r="AD1496" t="inlineStr">
        <is>
          <t>31/08/2026</t>
        </is>
      </c>
      <c r="AE1496" t="inlineStr">
        <is>
          <t>10/09/2026</t>
        </is>
      </c>
      <c r="AF1496" t="inlineStr">
        <is>
          <t>Prazo Premissa VALE</t>
        </is>
      </c>
    </row>
    <row r="1497">
      <c r="A1497">
        <v>1495</v>
      </c>
      <c r="B1497">
        <v>1</v>
      </c>
      <c r="C1497" t="inlineStr">
        <is>
          <t>1.4A</t>
        </is>
      </c>
      <c r="D1497" t="inlineStr">
        <is>
          <t>A03</t>
        </is>
      </c>
      <c r="E1497" t="inlineStr">
        <is>
          <t>LD</t>
        </is>
      </c>
      <c r="F1497" t="inlineStr">
        <is>
          <t>EMPA</t>
        </is>
      </c>
      <c r="G1497" t="inlineStr">
        <is>
          <t>CLP-020</t>
        </is>
      </c>
      <c r="H1497" t="inlineStr">
        <is>
          <t>Protocolo</t>
        </is>
      </c>
      <c r="I1497">
        <v>1</v>
      </c>
      <c r="J1497" t="inlineStr">
        <is>
          <t>Obras de Arte Complementares</t>
        </is>
      </c>
      <c r="K1497" t="inlineStr">
        <is>
          <t>1.3</t>
        </is>
      </c>
      <c r="L1497" t="inlineStr">
        <is>
          <t>Cerca</t>
        </is>
      </c>
      <c r="M1497" t="inlineStr">
        <is>
          <t>Cercamento danificado</t>
        </is>
      </c>
      <c r="N1497" t="inlineStr">
        <is>
          <t>Cerca danificada, necessária recomposição.</t>
        </is>
      </c>
      <c r="O1497" t="inlineStr">
        <is>
          <t>Tipo A</t>
        </is>
      </c>
      <c r="P1497" t="inlineStr">
        <is>
          <t>33+360</t>
        </is>
      </c>
      <c r="Q1497" t="inlineStr">
        <is>
          <t>33+360</t>
        </is>
      </c>
      <c r="R1497" t="inlineStr">
        <is>
          <t>Aberta</t>
        </is>
      </c>
      <c r="T1497" t="inlineStr">
        <is>
          <t>Aline Batista</t>
        </is>
      </c>
      <c r="U1497" t="inlineStr">
        <is>
          <t>29/05/2026</t>
        </is>
      </c>
      <c r="V1497" t="inlineStr">
        <is>
          <t>05/06/2026</t>
        </is>
      </c>
      <c r="W1497">
        <v>5</v>
      </c>
      <c r="AA1497" t="inlineStr">
        <is>
          <t>Aberta -30 dias</t>
        </is>
      </c>
      <c r="AB1497" t="inlineStr">
        <is>
          <t>EMPA</t>
        </is>
      </c>
      <c r="AC1497" t="inlineStr">
        <is>
          <t>Aline</t>
        </is>
      </c>
      <c r="AD1497" t="inlineStr">
        <is>
          <t>31/08/2026</t>
        </is>
      </c>
      <c r="AE1497" t="inlineStr">
        <is>
          <t>10/09/2026</t>
        </is>
      </c>
      <c r="AF1497" t="inlineStr">
        <is>
          <t>Prazo Premissa VALE</t>
        </is>
      </c>
    </row>
    <row r="1498">
      <c r="A1498">
        <v>1496</v>
      </c>
      <c r="B1498">
        <v>1</v>
      </c>
      <c r="C1498" t="inlineStr">
        <is>
          <t>1.4A</t>
        </is>
      </c>
      <c r="D1498" t="inlineStr">
        <is>
          <t>A05</t>
        </is>
      </c>
      <c r="E1498" t="inlineStr">
        <is>
          <t>LD</t>
        </is>
      </c>
      <c r="F1498" t="inlineStr">
        <is>
          <t>EMPA</t>
        </is>
      </c>
      <c r="G1498" t="inlineStr">
        <is>
          <t>CLP-020</t>
        </is>
      </c>
      <c r="H1498" t="inlineStr">
        <is>
          <t>Manifestação</t>
        </is>
      </c>
      <c r="I1498">
        <v>1</v>
      </c>
      <c r="J1498" t="inlineStr">
        <is>
          <t>Obras de Arte Complementares</t>
        </is>
      </c>
      <c r="K1498" t="inlineStr">
        <is>
          <t>1.3</t>
        </is>
      </c>
      <c r="L1498" t="inlineStr">
        <is>
          <t>Cerca</t>
        </is>
      </c>
      <c r="M1498" t="inlineStr">
        <is>
          <t>Cercamento danificado</t>
        </is>
      </c>
      <c r="N1498" t="inlineStr">
        <is>
          <t xml:space="preserve">Cerca soterrada; necessária desobstrução e recomposição.
CTD 051</t>
        </is>
      </c>
      <c r="O1498" t="inlineStr">
        <is>
          <t>Tipo A</t>
        </is>
      </c>
      <c r="P1498" t="inlineStr">
        <is>
          <t>35+350</t>
        </is>
      </c>
      <c r="Q1498" t="inlineStr">
        <is>
          <t>35+350</t>
        </is>
      </c>
      <c r="R1498" t="inlineStr">
        <is>
          <t>Aberta</t>
        </is>
      </c>
      <c r="T1498" t="inlineStr">
        <is>
          <t>Aline Batista</t>
        </is>
      </c>
      <c r="U1498" t="inlineStr">
        <is>
          <t>29/05/2026</t>
        </is>
      </c>
      <c r="V1498" t="inlineStr">
        <is>
          <t>05/06/2026</t>
        </is>
      </c>
      <c r="W1498">
        <v>5</v>
      </c>
      <c r="AA1498" t="inlineStr">
        <is>
          <t>Aberta -30 dias</t>
        </is>
      </c>
      <c r="AB1498" t="inlineStr">
        <is>
          <t>EMPA</t>
        </is>
      </c>
      <c r="AC1498" t="inlineStr">
        <is>
          <t>Aline</t>
        </is>
      </c>
      <c r="AD1498" t="inlineStr">
        <is>
          <t>31/08/2026</t>
        </is>
      </c>
      <c r="AE1498" t="inlineStr">
        <is>
          <t>10/09/2026</t>
        </is>
      </c>
      <c r="AF1498" t="inlineStr">
        <is>
          <t>Prazo Premissa VALE</t>
        </is>
      </c>
    </row>
    <row r="1499">
      <c r="A1499">
        <v>1497</v>
      </c>
      <c r="B1499">
        <v>1</v>
      </c>
      <c r="C1499" t="inlineStr">
        <is>
          <t>1.4A</t>
        </is>
      </c>
      <c r="D1499" t="inlineStr">
        <is>
          <t>A08</t>
        </is>
      </c>
      <c r="E1499" t="inlineStr">
        <is>
          <t>LD</t>
        </is>
      </c>
      <c r="F1499" t="inlineStr">
        <is>
          <t>EMPA</t>
        </is>
      </c>
      <c r="G1499" t="inlineStr">
        <is>
          <t>CLP-020</t>
        </is>
      </c>
      <c r="H1499" t="inlineStr">
        <is>
          <t>Protocolo</t>
        </is>
      </c>
      <c r="I1499">
        <v>1</v>
      </c>
      <c r="J1499" t="inlineStr">
        <is>
          <t>Obras de Arte Complementares</t>
        </is>
      </c>
      <c r="K1499" t="inlineStr">
        <is>
          <t>1.3</t>
        </is>
      </c>
      <c r="L1499" t="inlineStr">
        <is>
          <t>Cerca</t>
        </is>
      </c>
      <c r="M1499" t="inlineStr">
        <is>
          <t>Cercamento danificado</t>
        </is>
      </c>
      <c r="N1499" t="inlineStr">
        <is>
          <t>Cerca danificada; necessária recomposição.</t>
        </is>
      </c>
      <c r="O1499" t="inlineStr">
        <is>
          <t>Tipo A</t>
        </is>
      </c>
      <c r="P1499" t="inlineStr">
        <is>
          <t>36+820</t>
        </is>
      </c>
      <c r="Q1499" t="inlineStr">
        <is>
          <t>36+820</t>
        </is>
      </c>
      <c r="R1499" t="inlineStr">
        <is>
          <t>Aberta</t>
        </is>
      </c>
      <c r="T1499" t="inlineStr">
        <is>
          <t>Aline Batista</t>
        </is>
      </c>
      <c r="U1499" t="inlineStr">
        <is>
          <t>29/05/2026</t>
        </is>
      </c>
      <c r="V1499" t="inlineStr">
        <is>
          <t>05/06/2026</t>
        </is>
      </c>
      <c r="W1499">
        <v>5</v>
      </c>
      <c r="AA1499" t="inlineStr">
        <is>
          <t>Aberta -30 dias</t>
        </is>
      </c>
      <c r="AB1499" t="inlineStr">
        <is>
          <t>EMPA</t>
        </is>
      </c>
      <c r="AC1499" t="inlineStr">
        <is>
          <t>Aline</t>
        </is>
      </c>
      <c r="AD1499" t="inlineStr">
        <is>
          <t>31/08/2026</t>
        </is>
      </c>
      <c r="AE1499" t="inlineStr">
        <is>
          <t>10/09/2026</t>
        </is>
      </c>
      <c r="AF1499" t="inlineStr">
        <is>
          <t>Prazo Premissa VALE</t>
        </is>
      </c>
    </row>
    <row r="1500">
      <c r="A1500">
        <v>1498</v>
      </c>
      <c r="B1500">
        <v>1</v>
      </c>
      <c r="C1500" t="inlineStr">
        <is>
          <t>1.4A</t>
        </is>
      </c>
      <c r="D1500" t="inlineStr">
        <is>
          <t>C03</t>
        </is>
      </c>
      <c r="E1500" t="inlineStr">
        <is>
          <t>LD/LE</t>
        </is>
      </c>
      <c r="F1500" t="inlineStr">
        <is>
          <t>EMPA</t>
        </is>
      </c>
      <c r="G1500" t="inlineStr">
        <is>
          <t>CLP-020</t>
        </is>
      </c>
      <c r="H1500" t="inlineStr">
        <is>
          <t>Protocolo</t>
        </is>
      </c>
      <c r="I1500">
        <v>1</v>
      </c>
      <c r="J1500" t="inlineStr">
        <is>
          <t>Obras de Arte Complementares</t>
        </is>
      </c>
      <c r="K1500" t="inlineStr">
        <is>
          <t>1.3</t>
        </is>
      </c>
      <c r="L1500" t="inlineStr">
        <is>
          <t>Cerca</t>
        </is>
      </c>
      <c r="M1500" t="inlineStr">
        <is>
          <t>Regularização e recuperação de área</t>
        </is>
      </c>
      <c r="N1500" t="inlineStr">
        <is>
          <t>Passagem de gado provisória ativa necessário avaliar desmobilização e recomposição da área.</t>
        </is>
      </c>
      <c r="O1500" t="inlineStr">
        <is>
          <t>Tipo A</t>
        </is>
      </c>
      <c r="P1500" t="inlineStr">
        <is>
          <t>33+250</t>
        </is>
      </c>
      <c r="Q1500" t="inlineStr">
        <is>
          <t>33+250</t>
        </is>
      </c>
      <c r="R1500" t="inlineStr">
        <is>
          <t>Aberta</t>
        </is>
      </c>
      <c r="T1500" t="inlineStr">
        <is>
          <t>Aline Batista</t>
        </is>
      </c>
      <c r="U1500" t="inlineStr">
        <is>
          <t>29/05/2026</t>
        </is>
      </c>
      <c r="V1500" t="inlineStr">
        <is>
          <t>05/06/2026</t>
        </is>
      </c>
      <c r="W1500">
        <v>5</v>
      </c>
      <c r="AA1500" t="inlineStr">
        <is>
          <t>Aberta -30 dias</t>
        </is>
      </c>
      <c r="AB1500" t="inlineStr">
        <is>
          <t>EMPA</t>
        </is>
      </c>
      <c r="AC1500" t="inlineStr">
        <is>
          <t>Aline</t>
        </is>
      </c>
      <c r="AD1500" t="inlineStr">
        <is>
          <t>31/08/2026</t>
        </is>
      </c>
      <c r="AE1500" t="inlineStr">
        <is>
          <t>10/09/2026</t>
        </is>
      </c>
      <c r="AF1500" t="inlineStr">
        <is>
          <t>Prazo Premissa VALE</t>
        </is>
      </c>
    </row>
    <row r="1501">
      <c r="A1501">
        <v>1499</v>
      </c>
      <c r="B1501">
        <v>1</v>
      </c>
      <c r="C1501" t="inlineStr">
        <is>
          <t>1.4A</t>
        </is>
      </c>
      <c r="D1501" t="inlineStr">
        <is>
          <t>A07</t>
        </is>
      </c>
      <c r="E1501" t="inlineStr">
        <is>
          <t>LE</t>
        </is>
      </c>
      <c r="F1501" t="inlineStr">
        <is>
          <t>EMPA</t>
        </is>
      </c>
      <c r="G1501" t="inlineStr">
        <is>
          <t>CLP-020</t>
        </is>
      </c>
      <c r="H1501" t="inlineStr">
        <is>
          <t>Protocolo</t>
        </is>
      </c>
      <c r="I1501">
        <v>1</v>
      </c>
      <c r="J1501" t="inlineStr">
        <is>
          <t>Obras de Arte Complementares</t>
        </is>
      </c>
      <c r="K1501" t="inlineStr">
        <is>
          <t>1.3</t>
        </is>
      </c>
      <c r="L1501" t="inlineStr">
        <is>
          <t>Cerca</t>
        </is>
      </c>
      <c r="M1501" t="inlineStr">
        <is>
          <t>Cercamento pendente</t>
        </is>
      </c>
      <c r="N1501" t="inlineStr">
        <is>
          <t>PG não finalizada; necessário executar saída, instalar cerca direcionadora e desobstruir dispositivos.</t>
        </is>
      </c>
      <c r="O1501" t="inlineStr">
        <is>
          <t>Tipo A</t>
        </is>
      </c>
      <c r="P1501" t="inlineStr">
        <is>
          <t>36+400</t>
        </is>
      </c>
      <c r="Q1501" t="inlineStr">
        <is>
          <t>36+400</t>
        </is>
      </c>
      <c r="R1501" t="inlineStr">
        <is>
          <t>Aberta</t>
        </is>
      </c>
      <c r="T1501" t="inlineStr">
        <is>
          <t>Aline Batista</t>
        </is>
      </c>
      <c r="U1501" t="inlineStr">
        <is>
          <t>29/05/2026</t>
        </is>
      </c>
      <c r="V1501" t="inlineStr">
        <is>
          <t>05/06/2026</t>
        </is>
      </c>
      <c r="W1501">
        <v>5</v>
      </c>
      <c r="AA1501" t="inlineStr">
        <is>
          <t>Aberta -30 dias</t>
        </is>
      </c>
      <c r="AB1501" t="inlineStr">
        <is>
          <t>EMPA</t>
        </is>
      </c>
      <c r="AC1501" t="inlineStr">
        <is>
          <t>Aline</t>
        </is>
      </c>
      <c r="AD1501" t="inlineStr">
        <is>
          <t>31/08/2026</t>
        </is>
      </c>
      <c r="AE1501" t="inlineStr">
        <is>
          <t>10/09/2026</t>
        </is>
      </c>
      <c r="AF1501" t="inlineStr">
        <is>
          <t>Prazo Premissa VALE</t>
        </is>
      </c>
    </row>
    <row r="1502">
      <c r="A1502">
        <v>1500</v>
      </c>
      <c r="B1502">
        <v>1</v>
      </c>
      <c r="C1502" t="inlineStr">
        <is>
          <t>1.4A</t>
        </is>
      </c>
      <c r="D1502" t="inlineStr">
        <is>
          <t>C08</t>
        </is>
      </c>
      <c r="E1502" t="inlineStr">
        <is>
          <t>LD</t>
        </is>
      </c>
      <c r="F1502" t="inlineStr">
        <is>
          <t>EMPA</t>
        </is>
      </c>
      <c r="G1502" t="inlineStr">
        <is>
          <t>CLP-020</t>
        </is>
      </c>
      <c r="H1502" t="inlineStr">
        <is>
          <t>Protocolo</t>
        </is>
      </c>
      <c r="I1502">
        <v>1</v>
      </c>
      <c r="J1502" t="inlineStr">
        <is>
          <t>Obras de Arte Complementares</t>
        </is>
      </c>
      <c r="K1502" t="inlineStr">
        <is>
          <t>1.3</t>
        </is>
      </c>
      <c r="L1502" t="inlineStr">
        <is>
          <t>Cerca</t>
        </is>
      </c>
      <c r="M1502" t="inlineStr">
        <is>
          <t>Cercamento pendente</t>
        </is>
      </c>
      <c r="N1502" t="inlineStr">
        <is>
          <t xml:space="preserve">PG sem cerca direcionadora; necessária instalação.
 CTD 051. manifestação </t>
        </is>
      </c>
      <c r="O1502" t="inlineStr">
        <is>
          <t>Tipo A</t>
        </is>
      </c>
      <c r="P1502" t="inlineStr">
        <is>
          <t>36+750</t>
        </is>
      </c>
      <c r="Q1502" t="inlineStr">
        <is>
          <t>36+750</t>
        </is>
      </c>
      <c r="R1502" t="inlineStr">
        <is>
          <t>Aberta</t>
        </is>
      </c>
      <c r="T1502" t="inlineStr">
        <is>
          <t>Aline Batista</t>
        </is>
      </c>
      <c r="U1502" t="inlineStr">
        <is>
          <t>29/05/2026</t>
        </is>
      </c>
      <c r="V1502" t="inlineStr">
        <is>
          <t>05/06/2026</t>
        </is>
      </c>
      <c r="W1502">
        <v>5</v>
      </c>
      <c r="AA1502" t="inlineStr">
        <is>
          <t>Aberta -30 dias</t>
        </is>
      </c>
      <c r="AB1502" t="inlineStr">
        <is>
          <t>EMPA</t>
        </is>
      </c>
      <c r="AC1502" t="inlineStr">
        <is>
          <t>Aline</t>
        </is>
      </c>
      <c r="AD1502" t="inlineStr">
        <is>
          <t>31/08/2026</t>
        </is>
      </c>
      <c r="AE1502" t="inlineStr">
        <is>
          <t>10/09/2026</t>
        </is>
      </c>
      <c r="AF1502" t="inlineStr">
        <is>
          <t>Prazo Premissa VALE</t>
        </is>
      </c>
    </row>
    <row r="1503">
      <c r="A1503">
        <v>1501</v>
      </c>
      <c r="B1503">
        <v>1</v>
      </c>
      <c r="C1503" t="inlineStr">
        <is>
          <t>1.4A</t>
        </is>
      </c>
      <c r="D1503" t="inlineStr">
        <is>
          <t>A09</t>
        </is>
      </c>
      <c r="E1503" t="inlineStr">
        <is>
          <t>LD/LE</t>
        </is>
      </c>
      <c r="F1503" t="inlineStr">
        <is>
          <t>EMPA</t>
        </is>
      </c>
      <c r="G1503" t="inlineStr">
        <is>
          <t>CLP-020</t>
        </is>
      </c>
      <c r="H1503" t="inlineStr">
        <is>
          <t>Protocolo</t>
        </is>
      </c>
      <c r="I1503">
        <v>1</v>
      </c>
      <c r="J1503" t="inlineStr">
        <is>
          <t>Obras de Arte Complementares</t>
        </is>
      </c>
      <c r="K1503" t="inlineStr">
        <is>
          <t>1.3</t>
        </is>
      </c>
      <c r="L1503" t="inlineStr">
        <is>
          <t>Cerca</t>
        </is>
      </c>
      <c r="M1503" t="inlineStr">
        <is>
          <t>Cercamento pendente</t>
        </is>
      </c>
      <c r="N1503" t="inlineStr">
        <is>
          <t>PG não concluída, sem cerca direcionadora; necessária instalação.</t>
        </is>
      </c>
      <c r="O1503" t="inlineStr">
        <is>
          <t>Tipo A</t>
        </is>
      </c>
      <c r="P1503" t="inlineStr">
        <is>
          <t>37+300</t>
        </is>
      </c>
      <c r="Q1503" t="inlineStr">
        <is>
          <t>37+300</t>
        </is>
      </c>
      <c r="R1503" t="inlineStr">
        <is>
          <t>Aberta</t>
        </is>
      </c>
      <c r="T1503" t="inlineStr">
        <is>
          <t>Aline Batista</t>
        </is>
      </c>
      <c r="U1503" t="inlineStr">
        <is>
          <t>29/05/2026</t>
        </is>
      </c>
      <c r="V1503" t="inlineStr">
        <is>
          <t>05/06/2026</t>
        </is>
      </c>
      <c r="W1503">
        <v>5</v>
      </c>
      <c r="AA1503" t="inlineStr">
        <is>
          <t>Aberta -30 dias</t>
        </is>
      </c>
      <c r="AB1503" t="inlineStr">
        <is>
          <t>EMPA</t>
        </is>
      </c>
      <c r="AC1503" t="inlineStr">
        <is>
          <t>Aline</t>
        </is>
      </c>
      <c r="AD1503" t="inlineStr">
        <is>
          <t>31/08/2026</t>
        </is>
      </c>
      <c r="AE1503" t="inlineStr">
        <is>
          <t>10/09/2026</t>
        </is>
      </c>
      <c r="AF1503" t="inlineStr">
        <is>
          <t>Prazo Premissa VALE</t>
        </is>
      </c>
    </row>
    <row r="1504">
      <c r="A1504">
        <v>1502</v>
      </c>
      <c r="B1504">
        <v>1</v>
      </c>
      <c r="C1504" t="inlineStr">
        <is>
          <t>1.4A</t>
        </is>
      </c>
      <c r="D1504" t="inlineStr">
        <is>
          <t>A08</t>
        </is>
      </c>
      <c r="E1504" t="inlineStr">
        <is>
          <t>LD e LE</t>
        </is>
      </c>
      <c r="F1504" t="inlineStr">
        <is>
          <t>EMPA</t>
        </is>
      </c>
      <c r="G1504" t="inlineStr">
        <is>
          <t>CLP-020</t>
        </is>
      </c>
      <c r="H1504" t="inlineStr">
        <is>
          <t>Protocolo</t>
        </is>
      </c>
      <c r="I1504">
        <v>1</v>
      </c>
      <c r="J1504" t="inlineStr">
        <is>
          <t>Obras de Arte Complementares</t>
        </is>
      </c>
      <c r="K1504" t="inlineStr">
        <is>
          <t>1.3</t>
        </is>
      </c>
      <c r="L1504" t="inlineStr">
        <is>
          <t>Cerca</t>
        </is>
      </c>
      <c r="M1504" t="inlineStr">
        <is>
          <t>Cercamento danificado</t>
        </is>
      </c>
      <c r="N1504" t="inlineStr">
        <is>
          <t>Cerca danificada; necessária recomposição. CTD 051</t>
        </is>
      </c>
      <c r="O1504" t="inlineStr">
        <is>
          <t>Tipo A</t>
        </is>
      </c>
      <c r="P1504" t="inlineStr">
        <is>
          <t>36+820</t>
        </is>
      </c>
      <c r="Q1504" t="inlineStr">
        <is>
          <t>36+900</t>
        </is>
      </c>
      <c r="R1504" t="inlineStr">
        <is>
          <t>Aberta</t>
        </is>
      </c>
      <c r="T1504" t="inlineStr">
        <is>
          <t>Aline Batista</t>
        </is>
      </c>
      <c r="U1504" t="inlineStr">
        <is>
          <t>29/05/2026</t>
        </is>
      </c>
      <c r="V1504" t="inlineStr">
        <is>
          <t>05/06/2026</t>
        </is>
      </c>
      <c r="W1504">
        <v>5</v>
      </c>
      <c r="AA1504" t="inlineStr">
        <is>
          <t>Aberta -30 dias</t>
        </is>
      </c>
      <c r="AB1504" t="inlineStr">
        <is>
          <t>EMPA</t>
        </is>
      </c>
      <c r="AC1504" t="inlineStr">
        <is>
          <t>Aline</t>
        </is>
      </c>
      <c r="AD1504" t="inlineStr">
        <is>
          <t>31/08/2026</t>
        </is>
      </c>
      <c r="AE1504" t="inlineStr">
        <is>
          <t>10/09/2026</t>
        </is>
      </c>
      <c r="AF1504" t="inlineStr">
        <is>
          <t>Prazo Premissa VALE</t>
        </is>
      </c>
    </row>
    <row r="1505">
      <c r="A1505">
        <v>1503</v>
      </c>
      <c r="B1505">
        <v>1</v>
      </c>
      <c r="C1505" t="inlineStr">
        <is>
          <t>1.4A</t>
        </is>
      </c>
      <c r="D1505" t="inlineStr">
        <is>
          <t>GERAL</t>
        </is>
      </c>
      <c r="E1505" t="inlineStr">
        <is>
          <t>-</t>
        </is>
      </c>
      <c r="F1505" t="inlineStr">
        <is>
          <t>EMPA</t>
        </is>
      </c>
      <c r="G1505" t="inlineStr">
        <is>
          <t>CLP-020</t>
        </is>
      </c>
      <c r="H1505" t="inlineStr">
        <is>
          <t>Protocolo</t>
        </is>
      </c>
      <c r="I1505">
        <v>1</v>
      </c>
      <c r="J1505" t="inlineStr">
        <is>
          <t>Obras de Arte Complementares</t>
        </is>
      </c>
      <c r="K1505" t="inlineStr">
        <is>
          <t>1.6</t>
        </is>
      </c>
      <c r="L1505" t="inlineStr">
        <is>
          <t>As Built</t>
        </is>
      </c>
      <c r="M1505" t="inlineStr">
        <is>
          <t>Documental</t>
        </is>
      </c>
      <c r="N1505" t="inlineStr">
        <is>
          <t>As built pendente de aprovação.</t>
        </is>
      </c>
      <c r="O1505" t="inlineStr">
        <is>
          <t>Tipo B</t>
        </is>
      </c>
      <c r="P1505" t="inlineStr">
        <is>
          <t>31+037</t>
        </is>
      </c>
      <c r="Q1505">
        <v>38136.544</v>
      </c>
      <c r="R1505" t="inlineStr">
        <is>
          <t>Aberta</t>
        </is>
      </c>
      <c r="T1505" t="inlineStr">
        <is>
          <t>Aline Batista</t>
        </is>
      </c>
      <c r="U1505" t="inlineStr">
        <is>
          <t>29/05/2026</t>
        </is>
      </c>
      <c r="V1505" t="inlineStr">
        <is>
          <t>13/06/2026</t>
        </is>
      </c>
      <c r="W1505">
        <v>-3</v>
      </c>
      <c r="AA1505" t="inlineStr">
        <is>
          <t>Aberta -30 dias</t>
        </is>
      </c>
      <c r="AB1505" t="inlineStr">
        <is>
          <t>EMPA</t>
        </is>
      </c>
      <c r="AC1505" t="inlineStr">
        <is>
          <t>Aline</t>
        </is>
      </c>
      <c r="AE1505" t="inlineStr">
        <is>
          <t>19/06/2026</t>
        </is>
      </c>
      <c r="AF1505" t="inlineStr">
        <is>
          <t>Ata de reunião de RM p/ BK</t>
        </is>
      </c>
    </row>
    <row r="1506">
      <c r="A1506">
        <v>1504</v>
      </c>
      <c r="B1506">
        <v>1</v>
      </c>
      <c r="C1506" t="inlineStr">
        <is>
          <t>1.4A</t>
        </is>
      </c>
      <c r="D1506" t="inlineStr">
        <is>
          <t>A01</t>
        </is>
      </c>
      <c r="E1506" t="inlineStr">
        <is>
          <t>LE</t>
        </is>
      </c>
      <c r="F1506" t="inlineStr">
        <is>
          <t>EMPA</t>
        </is>
      </c>
      <c r="G1506" t="inlineStr">
        <is>
          <t>CLP-020</t>
        </is>
      </c>
      <c r="H1506" t="inlineStr">
        <is>
          <t>Protocolo</t>
        </is>
      </c>
      <c r="I1506">
        <v>2</v>
      </c>
      <c r="J1506" t="inlineStr">
        <is>
          <t>Bueiros</t>
        </is>
      </c>
      <c r="K1506" t="inlineStr">
        <is>
          <t>2.12</t>
        </is>
      </c>
      <c r="L1506" t="inlineStr">
        <is>
          <t>Bacia de captação</t>
        </is>
      </c>
      <c r="M1506" t="inlineStr">
        <is>
          <t>Dispositivo não executado</t>
        </is>
      </c>
      <c r="N1506" t="inlineStr">
        <is>
          <t>Bacia de captação não executada</t>
        </is>
      </c>
      <c r="O1506" t="inlineStr">
        <is>
          <t>Tipo A</t>
        </is>
      </c>
      <c r="P1506" t="inlineStr">
        <is>
          <t>31+691</t>
        </is>
      </c>
      <c r="Q1506">
        <v>31691</v>
      </c>
      <c r="R1506" t="inlineStr">
        <is>
          <t>Aberta</t>
        </is>
      </c>
      <c r="T1506" t="inlineStr">
        <is>
          <t>Aline Batista</t>
        </is>
      </c>
      <c r="U1506" t="inlineStr">
        <is>
          <t>29/05/2026</t>
        </is>
      </c>
      <c r="V1506" t="inlineStr">
        <is>
          <t>05/06/2026</t>
        </is>
      </c>
      <c r="W1506">
        <v>5</v>
      </c>
      <c r="AA1506" t="inlineStr">
        <is>
          <t>Aberta -30 dias</t>
        </is>
      </c>
      <c r="AB1506" t="inlineStr">
        <is>
          <t>EMPA</t>
        </is>
      </c>
      <c r="AC1506" t="inlineStr">
        <is>
          <t>Aline</t>
        </is>
      </c>
      <c r="AD1506" t="inlineStr">
        <is>
          <t>17/08/2026</t>
        </is>
      </c>
      <c r="AE1506" t="inlineStr">
        <is>
          <t>28/08/2026</t>
        </is>
      </c>
      <c r="AF1506" t="inlineStr">
        <is>
          <t>Prazo Premissa VALE</t>
        </is>
      </c>
    </row>
    <row r="1507">
      <c r="A1507">
        <v>1505</v>
      </c>
      <c r="B1507">
        <v>1</v>
      </c>
      <c r="C1507" t="inlineStr">
        <is>
          <t>1.4A</t>
        </is>
      </c>
      <c r="D1507" t="inlineStr">
        <is>
          <t>A02</t>
        </is>
      </c>
      <c r="E1507" t="inlineStr">
        <is>
          <t>LE</t>
        </is>
      </c>
      <c r="F1507" t="inlineStr">
        <is>
          <t>EMPA</t>
        </is>
      </c>
      <c r="G1507" t="inlineStr">
        <is>
          <t>CLP-020</t>
        </is>
      </c>
      <c r="H1507" t="inlineStr">
        <is>
          <t>Protocolo</t>
        </is>
      </c>
      <c r="I1507">
        <v>2</v>
      </c>
      <c r="J1507" t="inlineStr">
        <is>
          <t>Bueiros</t>
        </is>
      </c>
      <c r="K1507" t="inlineStr">
        <is>
          <t>2.12</t>
        </is>
      </c>
      <c r="L1507" t="inlineStr">
        <is>
          <t>Bacia de captação</t>
        </is>
      </c>
      <c r="M1507" t="inlineStr">
        <is>
          <t>Dispositivo não executado</t>
        </is>
      </c>
      <c r="N1507" t="inlineStr">
        <is>
          <t>Bacia de captação não executada</t>
        </is>
      </c>
      <c r="O1507" t="inlineStr">
        <is>
          <t>Tipo A</t>
        </is>
      </c>
      <c r="P1507" t="inlineStr">
        <is>
          <t>31+994</t>
        </is>
      </c>
      <c r="Q1507">
        <v>31994</v>
      </c>
      <c r="R1507" t="inlineStr">
        <is>
          <t>Aberta</t>
        </is>
      </c>
      <c r="T1507" t="inlineStr">
        <is>
          <t>Aline Batista</t>
        </is>
      </c>
      <c r="U1507" t="inlineStr">
        <is>
          <t>29/05/2026</t>
        </is>
      </c>
      <c r="V1507" t="inlineStr">
        <is>
          <t>05/06/2026</t>
        </is>
      </c>
      <c r="W1507">
        <v>5</v>
      </c>
      <c r="AA1507" t="inlineStr">
        <is>
          <t>Aberta -30 dias</t>
        </is>
      </c>
      <c r="AB1507" t="inlineStr">
        <is>
          <t>EMPA</t>
        </is>
      </c>
      <c r="AC1507" t="inlineStr">
        <is>
          <t>Aline</t>
        </is>
      </c>
      <c r="AD1507" t="inlineStr">
        <is>
          <t>17/08/2026</t>
        </is>
      </c>
      <c r="AE1507" t="inlineStr">
        <is>
          <t>28/08/2026</t>
        </is>
      </c>
      <c r="AF1507" t="inlineStr">
        <is>
          <t>Prazo Premissa VALE</t>
        </is>
      </c>
    </row>
    <row r="1508">
      <c r="A1508">
        <v>1506</v>
      </c>
      <c r="B1508">
        <v>1</v>
      </c>
      <c r="C1508" t="inlineStr">
        <is>
          <t>1.4A</t>
        </is>
      </c>
      <c r="D1508" t="inlineStr">
        <is>
          <t>A02</t>
        </is>
      </c>
      <c r="E1508" t="inlineStr">
        <is>
          <t>LD/LE</t>
        </is>
      </c>
      <c r="F1508" t="inlineStr">
        <is>
          <t>EMPA</t>
        </is>
      </c>
      <c r="G1508" t="inlineStr">
        <is>
          <t>CLP-020</t>
        </is>
      </c>
      <c r="H1508" t="inlineStr">
        <is>
          <t>Protocolo</t>
        </is>
      </c>
      <c r="I1508">
        <v>2</v>
      </c>
      <c r="J1508" t="inlineStr">
        <is>
          <t>Bueiros</t>
        </is>
      </c>
      <c r="K1508" t="inlineStr">
        <is>
          <t>2.12</t>
        </is>
      </c>
      <c r="L1508" t="inlineStr">
        <is>
          <t>DEB-04</t>
        </is>
      </c>
      <c r="M1508" t="inlineStr">
        <is>
          <t>Obstrução do dispositivo</t>
        </is>
      </c>
      <c r="N1508" t="inlineStr">
        <is>
          <t xml:space="preserve">Jusante da OAC com acúmulo de sedimentos, impossibilitando a identificação da execução do DEB-04. 
Solicita-se o envio de evidências da execução do dissipador de energia (DEB-04).</t>
        </is>
      </c>
      <c r="O1508" t="inlineStr">
        <is>
          <t>Tipo A</t>
        </is>
      </c>
      <c r="P1508" t="inlineStr">
        <is>
          <t>33+068</t>
        </is>
      </c>
      <c r="Q1508">
        <v>33068</v>
      </c>
      <c r="R1508" t="inlineStr">
        <is>
          <t>Aberta</t>
        </is>
      </c>
      <c r="T1508" t="inlineStr">
        <is>
          <t>Aline Batista</t>
        </is>
      </c>
      <c r="U1508" t="inlineStr">
        <is>
          <t>29/05/2026</t>
        </is>
      </c>
      <c r="V1508" t="inlineStr">
        <is>
          <t>05/06/2026</t>
        </is>
      </c>
      <c r="W1508">
        <v>5</v>
      </c>
      <c r="AA1508" t="inlineStr">
        <is>
          <t>Aberta -30 dias</t>
        </is>
      </c>
      <c r="AB1508" t="inlineStr">
        <is>
          <t>EMPA</t>
        </is>
      </c>
      <c r="AC1508" t="inlineStr">
        <is>
          <t>Aline</t>
        </is>
      </c>
      <c r="AD1508" t="inlineStr">
        <is>
          <t>31/08/2026</t>
        </is>
      </c>
      <c r="AE1508" t="inlineStr">
        <is>
          <t>10/09/2026</t>
        </is>
      </c>
      <c r="AF1508" t="inlineStr">
        <is>
          <t>Prazo Premissa VALE</t>
        </is>
      </c>
    </row>
    <row r="1509">
      <c r="A1509">
        <v>1507</v>
      </c>
      <c r="B1509">
        <v>1</v>
      </c>
      <c r="C1509" t="inlineStr">
        <is>
          <t>1.4A</t>
        </is>
      </c>
      <c r="D1509" t="inlineStr">
        <is>
          <t>A02</t>
        </is>
      </c>
      <c r="E1509" t="inlineStr">
        <is>
          <t>LD/LE</t>
        </is>
      </c>
      <c r="F1509" t="inlineStr">
        <is>
          <t>EMPA</t>
        </is>
      </c>
      <c r="G1509" t="inlineStr">
        <is>
          <t>CLP-020</t>
        </is>
      </c>
      <c r="H1509" t="inlineStr">
        <is>
          <t>Protocolo</t>
        </is>
      </c>
      <c r="I1509">
        <v>2</v>
      </c>
      <c r="J1509" t="inlineStr">
        <is>
          <t>Bueiros</t>
        </is>
      </c>
      <c r="K1509" t="inlineStr">
        <is>
          <t>2.12</t>
        </is>
      </c>
      <c r="L1509" t="inlineStr">
        <is>
          <t>Bacia de captação</t>
        </is>
      </c>
      <c r="M1509" t="inlineStr">
        <is>
          <t>Obstrução do dispositivo</t>
        </is>
      </c>
      <c r="N1509" t="inlineStr">
        <is>
          <t xml:space="preserve">Não foi possível verificar a execução da bacia de captação a montante.
Solicita-se o envio de evidências da execução  bacia de captação.</t>
        </is>
      </c>
      <c r="O1509" t="inlineStr">
        <is>
          <t>Tipo A</t>
        </is>
      </c>
      <c r="P1509" t="inlineStr">
        <is>
          <t>33+068</t>
        </is>
      </c>
      <c r="Q1509">
        <v>33068</v>
      </c>
      <c r="R1509" t="inlineStr">
        <is>
          <t>Aberta</t>
        </is>
      </c>
      <c r="T1509" t="inlineStr">
        <is>
          <t>Aline Batista</t>
        </is>
      </c>
      <c r="U1509" t="inlineStr">
        <is>
          <t>29/05/2026</t>
        </is>
      </c>
      <c r="V1509" t="inlineStr">
        <is>
          <t>05/06/2026</t>
        </is>
      </c>
      <c r="W1509">
        <v>5</v>
      </c>
      <c r="AA1509" t="inlineStr">
        <is>
          <t>Aberta -30 dias</t>
        </is>
      </c>
      <c r="AB1509" t="inlineStr">
        <is>
          <t>EMPA</t>
        </is>
      </c>
      <c r="AC1509" t="inlineStr">
        <is>
          <t>Aline</t>
        </is>
      </c>
      <c r="AD1509" t="inlineStr">
        <is>
          <t>31/08/2026</t>
        </is>
      </c>
      <c r="AE1509" t="inlineStr">
        <is>
          <t>10/09/2026</t>
        </is>
      </c>
      <c r="AF1509" t="inlineStr">
        <is>
          <t>Prazo Premissa VALE</t>
        </is>
      </c>
    </row>
    <row r="1510">
      <c r="A1510">
        <v>1508</v>
      </c>
      <c r="B1510">
        <v>1</v>
      </c>
      <c r="C1510" t="inlineStr">
        <is>
          <t>1.4A</t>
        </is>
      </c>
      <c r="D1510" t="inlineStr">
        <is>
          <t>C03</t>
        </is>
      </c>
      <c r="E1510" t="inlineStr">
        <is>
          <t>LE</t>
        </is>
      </c>
      <c r="F1510" t="inlineStr">
        <is>
          <t>EMPA</t>
        </is>
      </c>
      <c r="G1510" t="inlineStr">
        <is>
          <t>CLP-020</t>
        </is>
      </c>
      <c r="H1510" t="inlineStr">
        <is>
          <t>Protocolo</t>
        </is>
      </c>
      <c r="I1510">
        <v>2</v>
      </c>
      <c r="J1510" t="inlineStr">
        <is>
          <t>Bueiros</t>
        </is>
      </c>
      <c r="K1510" t="inlineStr">
        <is>
          <t>2.12</t>
        </is>
      </c>
      <c r="L1510" t="inlineStr">
        <is>
          <t>DBSCC-05</t>
        </is>
      </c>
      <c r="M1510" t="inlineStr">
        <is>
          <t>Obstrução do dispositivo</t>
        </is>
      </c>
      <c r="N1510" t="inlineStr">
        <is>
          <t xml:space="preserve">Jusante da OAC com acúmulo de água, impossibilitando a identificação da execução do DBSCC-05. 
Solicita-se o envio de evidências da execução do dissipador de energia (DBSCC-05).
Incluir SIT </t>
        </is>
      </c>
      <c r="O1510" t="inlineStr">
        <is>
          <t>Tipo A</t>
        </is>
      </c>
      <c r="P1510" t="inlineStr">
        <is>
          <t>100+249</t>
        </is>
      </c>
      <c r="Q1510" t="inlineStr">
        <is>
          <t>100+249</t>
        </is>
      </c>
      <c r="R1510" t="inlineStr">
        <is>
          <t>Aberta</t>
        </is>
      </c>
      <c r="T1510" t="inlineStr">
        <is>
          <t>Aline Batista</t>
        </is>
      </c>
      <c r="U1510" t="inlineStr">
        <is>
          <t>29/05/2026</t>
        </is>
      </c>
      <c r="V1510" t="inlineStr">
        <is>
          <t>05/06/2026</t>
        </is>
      </c>
      <c r="W1510">
        <v>5</v>
      </c>
      <c r="AA1510" t="inlineStr">
        <is>
          <t>Aberta -30 dias</t>
        </is>
      </c>
      <c r="AB1510" t="inlineStr">
        <is>
          <t>EMPA</t>
        </is>
      </c>
      <c r="AC1510" t="inlineStr">
        <is>
          <t>Aline</t>
        </is>
      </c>
      <c r="AD1510" t="inlineStr">
        <is>
          <t>31/08/2026</t>
        </is>
      </c>
      <c r="AE1510" t="inlineStr">
        <is>
          <t>10/09/2026</t>
        </is>
      </c>
      <c r="AF1510" t="inlineStr">
        <is>
          <t>Prazo Premissa VALE</t>
        </is>
      </c>
    </row>
    <row r="1511">
      <c r="A1511">
        <v>1509</v>
      </c>
      <c r="B1511">
        <v>1</v>
      </c>
      <c r="C1511" t="inlineStr">
        <is>
          <t>1.4A</t>
        </is>
      </c>
      <c r="D1511" t="inlineStr">
        <is>
          <t>A03</t>
        </is>
      </c>
      <c r="E1511" t="inlineStr">
        <is>
          <t>LD/LE</t>
        </is>
      </c>
      <c r="F1511" t="inlineStr">
        <is>
          <t>EMPA</t>
        </is>
      </c>
      <c r="G1511" t="inlineStr">
        <is>
          <t>CLP-020</t>
        </is>
      </c>
      <c r="H1511" t="inlineStr">
        <is>
          <t>Fiscalização</t>
        </is>
      </c>
      <c r="I1511">
        <v>2</v>
      </c>
      <c r="J1511" t="inlineStr">
        <is>
          <t>Bueiros</t>
        </is>
      </c>
      <c r="K1511" t="inlineStr">
        <is>
          <t>2.12</t>
        </is>
      </c>
      <c r="L1511" t="inlineStr">
        <is>
          <t>DBSCC-09</t>
        </is>
      </c>
      <c r="M1511" t="inlineStr">
        <is>
          <t>Obstrução do dispositivo</t>
        </is>
      </c>
      <c r="N1511" t="inlineStr">
        <is>
          <t xml:space="preserve">Jusante da OAC com acúmulo de água, impossibilitando a identificação da execução do DBDCC-09. 
Solicita-se o envio de evidências da execução do dissipador de energia (DBDCC-09).</t>
        </is>
      </c>
      <c r="O1511" t="inlineStr">
        <is>
          <t>Tipo A</t>
        </is>
      </c>
      <c r="P1511" t="inlineStr">
        <is>
          <t>33+859</t>
        </is>
      </c>
      <c r="Q1511">
        <v>33859</v>
      </c>
      <c r="R1511" t="inlineStr">
        <is>
          <t>Aberta</t>
        </is>
      </c>
      <c r="T1511" t="inlineStr">
        <is>
          <t>Aline Batista</t>
        </is>
      </c>
      <c r="U1511" t="inlineStr">
        <is>
          <t>29/05/2026</t>
        </is>
      </c>
      <c r="V1511" t="inlineStr">
        <is>
          <t>05/06/2026</t>
        </is>
      </c>
      <c r="W1511">
        <v>5</v>
      </c>
      <c r="AA1511" t="inlineStr">
        <is>
          <t>Aberta -30 dias</t>
        </is>
      </c>
      <c r="AB1511" t="inlineStr">
        <is>
          <t>EMPA</t>
        </is>
      </c>
      <c r="AC1511" t="inlineStr">
        <is>
          <t>Aline</t>
        </is>
      </c>
      <c r="AD1511" t="inlineStr">
        <is>
          <t>31/08/2026</t>
        </is>
      </c>
      <c r="AE1511" t="inlineStr">
        <is>
          <t>10/09/2026</t>
        </is>
      </c>
      <c r="AF1511" t="inlineStr">
        <is>
          <t>Prazo Premissa VALE</t>
        </is>
      </c>
    </row>
    <row r="1512">
      <c r="A1512">
        <v>1510</v>
      </c>
      <c r="B1512">
        <v>1</v>
      </c>
      <c r="C1512" t="inlineStr">
        <is>
          <t>1.4A</t>
        </is>
      </c>
      <c r="D1512" t="inlineStr">
        <is>
          <t>A05</t>
        </is>
      </c>
      <c r="E1512" t="inlineStr">
        <is>
          <t>LE</t>
        </is>
      </c>
      <c r="F1512" t="inlineStr">
        <is>
          <t>EMPA</t>
        </is>
      </c>
      <c r="G1512" t="inlineStr">
        <is>
          <t>CLP-020</t>
        </is>
      </c>
      <c r="H1512" t="inlineStr">
        <is>
          <t>Protocolo</t>
        </is>
      </c>
      <c r="I1512">
        <v>2</v>
      </c>
      <c r="J1512" t="inlineStr">
        <is>
          <t>Bueiros</t>
        </is>
      </c>
      <c r="K1512" t="inlineStr">
        <is>
          <t>2.12</t>
        </is>
      </c>
      <c r="L1512" t="inlineStr">
        <is>
          <t>Bacia de captação</t>
        </is>
      </c>
      <c r="M1512" t="inlineStr">
        <is>
          <t>Obstrução do dispositivo</t>
        </is>
      </c>
      <c r="N1512" t="inlineStr">
        <is>
          <t xml:space="preserve">Montante da OAC com acúmulo de material, impossibilitando a identificação da execução da bacia de captação.
Solicita-se o envio de evidências da execução da bacia de captação.</t>
        </is>
      </c>
      <c r="O1512" t="inlineStr">
        <is>
          <t>Tipo A</t>
        </is>
      </c>
      <c r="P1512" t="inlineStr">
        <is>
          <t>35+317</t>
        </is>
      </c>
      <c r="Q1512" t="inlineStr">
        <is>
          <t>35+317</t>
        </is>
      </c>
      <c r="R1512" t="inlineStr">
        <is>
          <t>Aberta</t>
        </is>
      </c>
      <c r="T1512" t="inlineStr">
        <is>
          <t>Aline Batista</t>
        </is>
      </c>
      <c r="U1512" t="inlineStr">
        <is>
          <t>29/05/2026</t>
        </is>
      </c>
      <c r="V1512" t="inlineStr">
        <is>
          <t>05/06/2026</t>
        </is>
      </c>
      <c r="W1512">
        <v>5</v>
      </c>
      <c r="AA1512" t="inlineStr">
        <is>
          <t>Aberta -30 dias</t>
        </is>
      </c>
      <c r="AB1512" t="inlineStr">
        <is>
          <t>EMPA</t>
        </is>
      </c>
      <c r="AC1512" t="inlineStr">
        <is>
          <t>Aline</t>
        </is>
      </c>
      <c r="AD1512" t="inlineStr">
        <is>
          <t>31/08/2026</t>
        </is>
      </c>
      <c r="AE1512" t="inlineStr">
        <is>
          <t>10/09/2026</t>
        </is>
      </c>
      <c r="AF1512" t="inlineStr">
        <is>
          <t>Prazo Premissa VALE</t>
        </is>
      </c>
    </row>
    <row r="1513">
      <c r="A1513">
        <v>1511</v>
      </c>
      <c r="B1513">
        <v>1</v>
      </c>
      <c r="C1513" t="inlineStr">
        <is>
          <t>1.4A</t>
        </is>
      </c>
      <c r="D1513" t="inlineStr">
        <is>
          <t>A05</t>
        </is>
      </c>
      <c r="E1513" t="inlineStr">
        <is>
          <t>LD</t>
        </is>
      </c>
      <c r="F1513" t="inlineStr">
        <is>
          <t>EMPA</t>
        </is>
      </c>
      <c r="G1513" t="inlineStr">
        <is>
          <t>CLP-020</t>
        </is>
      </c>
      <c r="H1513" t="inlineStr">
        <is>
          <t>Protocolo</t>
        </is>
      </c>
      <c r="I1513">
        <v>2</v>
      </c>
      <c r="J1513" t="inlineStr">
        <is>
          <t>Bueiros</t>
        </is>
      </c>
      <c r="K1513" t="inlineStr">
        <is>
          <t>2.12</t>
        </is>
      </c>
      <c r="L1513" t="inlineStr">
        <is>
          <t>DEB-04</t>
        </is>
      </c>
      <c r="M1513" t="inlineStr">
        <is>
          <t>Obstrução do dispositivo</t>
        </is>
      </c>
      <c r="N1513" t="inlineStr">
        <is>
          <t xml:space="preserve">Jusante da OAC com acúmulo de água, impossibilitando a identificação da execução do DEB 04. 
Solicita-se o envio de evidências da execução do dissipador de energia (DEB 04).</t>
        </is>
      </c>
      <c r="O1513" t="inlineStr">
        <is>
          <t>Tipo A</t>
        </is>
      </c>
      <c r="P1513" t="inlineStr">
        <is>
          <t>35+317</t>
        </is>
      </c>
      <c r="Q1513" t="inlineStr">
        <is>
          <t>35+317</t>
        </is>
      </c>
      <c r="R1513" t="inlineStr">
        <is>
          <t>Aberta</t>
        </is>
      </c>
      <c r="T1513" t="inlineStr">
        <is>
          <t>Aline Batista</t>
        </is>
      </c>
      <c r="U1513" t="inlineStr">
        <is>
          <t>29/05/2026</t>
        </is>
      </c>
      <c r="V1513" t="inlineStr">
        <is>
          <t>05/06/2026</t>
        </is>
      </c>
      <c r="W1513">
        <v>5</v>
      </c>
      <c r="AA1513" t="inlineStr">
        <is>
          <t>Aberta -30 dias</t>
        </is>
      </c>
      <c r="AB1513" t="inlineStr">
        <is>
          <t>EMPA</t>
        </is>
      </c>
      <c r="AC1513" t="inlineStr">
        <is>
          <t>Aline</t>
        </is>
      </c>
      <c r="AD1513" t="inlineStr">
        <is>
          <t>31/08/2026</t>
        </is>
      </c>
      <c r="AE1513" t="inlineStr">
        <is>
          <t>10/09/2026</t>
        </is>
      </c>
      <c r="AF1513" t="inlineStr">
        <is>
          <t>Prazo Premissa VALE</t>
        </is>
      </c>
    </row>
    <row r="1514">
      <c r="A1514">
        <v>1512</v>
      </c>
      <c r="B1514">
        <v>1</v>
      </c>
      <c r="C1514" t="inlineStr">
        <is>
          <t>1.4A</t>
        </is>
      </c>
      <c r="D1514" t="inlineStr">
        <is>
          <t>A09</t>
        </is>
      </c>
      <c r="E1514" t="inlineStr">
        <is>
          <t>LD</t>
        </is>
      </c>
      <c r="F1514" t="inlineStr">
        <is>
          <t>EMPA</t>
        </is>
      </c>
      <c r="G1514" t="inlineStr">
        <is>
          <t>CLP-020</t>
        </is>
      </c>
      <c r="H1514" t="inlineStr">
        <is>
          <t>Protocolo</t>
        </is>
      </c>
      <c r="I1514">
        <v>2</v>
      </c>
      <c r="J1514" t="inlineStr">
        <is>
          <t>Bueiros</t>
        </is>
      </c>
      <c r="K1514" t="inlineStr">
        <is>
          <t>2.12</t>
        </is>
      </c>
      <c r="L1514" t="inlineStr">
        <is>
          <t>DEB-03</t>
        </is>
      </c>
      <c r="M1514" t="inlineStr">
        <is>
          <t>Obstrução do dispositivo</t>
        </is>
      </c>
      <c r="N1514" t="inlineStr">
        <is>
          <t xml:space="preserve">Jusante da OAC com acúmulo de material, impossibilitando a identificação da execução do DEB 03.
Solicita-se o envio de evidências da execução do dissipador de energia (DEB 03).</t>
        </is>
      </c>
      <c r="O1514" t="inlineStr">
        <is>
          <t>Tipo A</t>
        </is>
      </c>
      <c r="P1514" t="inlineStr">
        <is>
          <t>37+288</t>
        </is>
      </c>
      <c r="Q1514" t="inlineStr">
        <is>
          <t>37+288</t>
        </is>
      </c>
      <c r="R1514" t="inlineStr">
        <is>
          <t>Aberta</t>
        </is>
      </c>
      <c r="T1514" t="inlineStr">
        <is>
          <t>Aline Batista</t>
        </is>
      </c>
      <c r="U1514" t="inlineStr">
        <is>
          <t>29/05/2026</t>
        </is>
      </c>
      <c r="V1514" t="inlineStr">
        <is>
          <t>05/06/2026</t>
        </is>
      </c>
      <c r="W1514">
        <v>5</v>
      </c>
      <c r="AA1514" t="inlineStr">
        <is>
          <t>Aberta -30 dias</t>
        </is>
      </c>
      <c r="AB1514" t="inlineStr">
        <is>
          <t>EMPA</t>
        </is>
      </c>
      <c r="AC1514" t="inlineStr">
        <is>
          <t>Aline</t>
        </is>
      </c>
      <c r="AD1514" t="inlineStr">
        <is>
          <t>31/08/2026</t>
        </is>
      </c>
      <c r="AE1514" t="inlineStr">
        <is>
          <t>10/09/2026</t>
        </is>
      </c>
      <c r="AF1514" t="inlineStr">
        <is>
          <t>Prazo Premissa VALE</t>
        </is>
      </c>
    </row>
    <row r="1515">
      <c r="A1515">
        <v>1513</v>
      </c>
      <c r="B1515">
        <v>1</v>
      </c>
      <c r="C1515" t="inlineStr">
        <is>
          <t>1.4A</t>
        </is>
      </c>
      <c r="D1515" t="inlineStr">
        <is>
          <t>A06</t>
        </is>
      </c>
      <c r="F1515" t="inlineStr">
        <is>
          <t>EMPA</t>
        </is>
      </c>
      <c r="G1515" t="inlineStr">
        <is>
          <t>CLP-020</t>
        </is>
      </c>
      <c r="H1515" t="inlineStr">
        <is>
          <t>Protocolo</t>
        </is>
      </c>
      <c r="I1515">
        <v>2</v>
      </c>
      <c r="J1515" t="inlineStr">
        <is>
          <t>Bueiros</t>
        </is>
      </c>
      <c r="K1515" t="inlineStr">
        <is>
          <t>2.12</t>
        </is>
      </c>
      <c r="L1515" t="inlineStr">
        <is>
          <t>Bueiro</t>
        </is>
      </c>
      <c r="M1515" t="inlineStr">
        <is>
          <t>Obstrução do dispositivo</t>
        </is>
      </c>
      <c r="N1515" t="inlineStr">
        <is>
          <t>Bueiro obstruído, pendente limpeza e dissipador.</t>
        </is>
      </c>
      <c r="O1515" t="inlineStr">
        <is>
          <t>Tipo A</t>
        </is>
      </c>
      <c r="P1515" t="inlineStr">
        <is>
          <t>36+092</t>
        </is>
      </c>
      <c r="Q1515" t="inlineStr">
        <is>
          <t>36+092</t>
        </is>
      </c>
      <c r="R1515" t="inlineStr">
        <is>
          <t>Aberta</t>
        </is>
      </c>
      <c r="T1515" t="inlineStr">
        <is>
          <t>Aline Batista</t>
        </is>
      </c>
      <c r="U1515" t="inlineStr">
        <is>
          <t>29/05/2026</t>
        </is>
      </c>
      <c r="V1515" t="inlineStr">
        <is>
          <t>05/06/2026</t>
        </is>
      </c>
      <c r="W1515">
        <v>5</v>
      </c>
      <c r="AA1515" t="inlineStr">
        <is>
          <t>Aberta -30 dias</t>
        </is>
      </c>
      <c r="AB1515" t="inlineStr">
        <is>
          <t>EMPA</t>
        </is>
      </c>
      <c r="AC1515" t="inlineStr">
        <is>
          <t>Aline</t>
        </is>
      </c>
      <c r="AD1515" t="inlineStr">
        <is>
          <t>31/08/2026</t>
        </is>
      </c>
      <c r="AE1515" t="inlineStr">
        <is>
          <t>10/09/2026</t>
        </is>
      </c>
      <c r="AF1515" t="inlineStr">
        <is>
          <t>Prazo Premissa VALE</t>
        </is>
      </c>
    </row>
    <row r="1516">
      <c r="A1516">
        <v>1514</v>
      </c>
      <c r="B1516">
        <v>1</v>
      </c>
      <c r="C1516" t="inlineStr">
        <is>
          <t>1.4A</t>
        </is>
      </c>
      <c r="D1516" t="inlineStr">
        <is>
          <t>A01</t>
        </is>
      </c>
      <c r="E1516" t="inlineStr">
        <is>
          <t>D</t>
        </is>
      </c>
      <c r="F1516" t="inlineStr">
        <is>
          <t>EMPA</t>
        </is>
      </c>
      <c r="G1516" t="inlineStr">
        <is>
          <t>CLP-020</t>
        </is>
      </c>
      <c r="H1516" t="inlineStr">
        <is>
          <t>Protocolo</t>
        </is>
      </c>
      <c r="I1516">
        <v>2</v>
      </c>
      <c r="J1516" t="inlineStr">
        <is>
          <t>Bueiros</t>
        </is>
      </c>
      <c r="K1516" t="inlineStr">
        <is>
          <t>2.11</t>
        </is>
      </c>
      <c r="L1516" t="inlineStr">
        <is>
          <t>Bueiro</t>
        </is>
      </c>
      <c r="M1516" t="inlineStr">
        <is>
          <t>Execuçao divergente do projeto</t>
        </is>
      </c>
      <c r="N1516" t="inlineStr">
        <is>
          <t xml:space="preserve">A bacia do plano de chuva aparentemente apresenta o extravasor em cota superior à do bueiro, fazendo com que o dispositivo opere afogado.  Necessária sua adequação, de forma a evitar essa condição.
</t>
        </is>
      </c>
      <c r="O1516" t="inlineStr">
        <is>
          <t>Tipo A</t>
        </is>
      </c>
      <c r="P1516" t="inlineStr">
        <is>
          <t>31+700</t>
        </is>
      </c>
      <c r="Q1516" t="inlineStr">
        <is>
          <t>31+700</t>
        </is>
      </c>
      <c r="R1516" t="inlineStr">
        <is>
          <t>Aberta</t>
        </is>
      </c>
      <c r="T1516" t="inlineStr">
        <is>
          <t>Aline Batista</t>
        </is>
      </c>
      <c r="U1516" t="inlineStr">
        <is>
          <t>29/05/2026</t>
        </is>
      </c>
      <c r="V1516" t="inlineStr">
        <is>
          <t>05/06/2026</t>
        </is>
      </c>
      <c r="W1516">
        <v>5</v>
      </c>
      <c r="AA1516" t="inlineStr">
        <is>
          <t>Aberta -30 dias</t>
        </is>
      </c>
      <c r="AB1516" t="inlineStr">
        <is>
          <t>EMPA</t>
        </is>
      </c>
      <c r="AC1516" t="inlineStr">
        <is>
          <t>Aline</t>
        </is>
      </c>
      <c r="AD1516" t="inlineStr">
        <is>
          <t>17/08/2026</t>
        </is>
      </c>
      <c r="AE1516" t="inlineStr">
        <is>
          <t>28/08/2026</t>
        </is>
      </c>
      <c r="AF1516" t="inlineStr">
        <is>
          <t>Prazo Premissa VALE</t>
        </is>
      </c>
    </row>
    <row r="1517">
      <c r="A1517">
        <v>1515</v>
      </c>
      <c r="B1517">
        <v>1</v>
      </c>
      <c r="C1517" t="inlineStr">
        <is>
          <t>1.4A</t>
        </is>
      </c>
      <c r="D1517" t="inlineStr">
        <is>
          <t>A02</t>
        </is>
      </c>
      <c r="E1517" t="inlineStr">
        <is>
          <t>E</t>
        </is>
      </c>
      <c r="F1517" t="inlineStr">
        <is>
          <t>EMPA</t>
        </is>
      </c>
      <c r="G1517" t="inlineStr">
        <is>
          <t>CLP-020</t>
        </is>
      </c>
      <c r="H1517" t="inlineStr">
        <is>
          <t>Protocolo</t>
        </is>
      </c>
      <c r="I1517">
        <v>2</v>
      </c>
      <c r="J1517" t="inlineStr">
        <is>
          <t>Bueiros</t>
        </is>
      </c>
      <c r="K1517" t="inlineStr">
        <is>
          <t>2.12</t>
        </is>
      </c>
      <c r="L1517" t="inlineStr">
        <is>
          <t>Bacia de captação</t>
        </is>
      </c>
      <c r="M1517" t="inlineStr">
        <is>
          <t>Dispositivo não executado</t>
        </is>
      </c>
      <c r="N1517" t="inlineStr">
        <is>
          <t>Pendende bacia de captação a jusante do bueiro e conexão do dispositivo de drenagem.</t>
        </is>
      </c>
      <c r="O1517" t="inlineStr">
        <is>
          <t>Tipo A</t>
        </is>
      </c>
      <c r="P1517" t="inlineStr">
        <is>
          <t>31+990</t>
        </is>
      </c>
      <c r="Q1517" t="inlineStr">
        <is>
          <t>31+990</t>
        </is>
      </c>
      <c r="R1517" t="inlineStr">
        <is>
          <t>Aberta</t>
        </is>
      </c>
      <c r="T1517" t="inlineStr">
        <is>
          <t>Aline Batista</t>
        </is>
      </c>
      <c r="U1517" t="inlineStr">
        <is>
          <t>29/05/2026</t>
        </is>
      </c>
      <c r="V1517" t="inlineStr">
        <is>
          <t>05/06/2026</t>
        </is>
      </c>
      <c r="W1517">
        <v>5</v>
      </c>
      <c r="AA1517" t="inlineStr">
        <is>
          <t>Aberta -30 dias</t>
        </is>
      </c>
      <c r="AB1517" t="inlineStr">
        <is>
          <t>EMPA</t>
        </is>
      </c>
      <c r="AC1517" t="inlineStr">
        <is>
          <t>Aline</t>
        </is>
      </c>
      <c r="AD1517" t="inlineStr">
        <is>
          <t>17/08/2026</t>
        </is>
      </c>
      <c r="AE1517" t="inlineStr">
        <is>
          <t>28/08/2026</t>
        </is>
      </c>
      <c r="AF1517" t="inlineStr">
        <is>
          <t>Prazo Premissa VALE</t>
        </is>
      </c>
    </row>
    <row r="1518">
      <c r="A1518">
        <v>1516</v>
      </c>
      <c r="B1518">
        <v>1</v>
      </c>
      <c r="C1518" t="inlineStr">
        <is>
          <t>1.4A</t>
        </is>
      </c>
      <c r="D1518" t="inlineStr">
        <is>
          <t>A02</t>
        </is>
      </c>
      <c r="E1518" t="inlineStr">
        <is>
          <t>D</t>
        </is>
      </c>
      <c r="F1518" t="inlineStr">
        <is>
          <t>EMPA</t>
        </is>
      </c>
      <c r="G1518" t="inlineStr">
        <is>
          <t>CLP-020</t>
        </is>
      </c>
      <c r="H1518" t="inlineStr">
        <is>
          <t>Protocolo</t>
        </is>
      </c>
      <c r="I1518">
        <v>2</v>
      </c>
      <c r="J1518" t="inlineStr">
        <is>
          <t>Bueiros</t>
        </is>
      </c>
      <c r="K1518" t="inlineStr">
        <is>
          <t>2.12</t>
        </is>
      </c>
      <c r="L1518" t="inlineStr">
        <is>
          <t>Bueiro</t>
        </is>
      </c>
      <c r="M1518" t="inlineStr">
        <is>
          <t>Execuçao divergente do projeto</t>
        </is>
      </c>
      <c r="N1518" t="inlineStr">
        <is>
          <t>A bacia do plano de chuva aparentemente apresenta o extravasor em cota superior à do bueiro, fazendo com que o dispositivo opere afogado. Necessária sua adequação, de forma a evitar essa condição.</t>
        </is>
      </c>
      <c r="O1518" t="inlineStr">
        <is>
          <t>Tipo A</t>
        </is>
      </c>
      <c r="P1518" t="inlineStr">
        <is>
          <t>31+990</t>
        </is>
      </c>
      <c r="Q1518" t="inlineStr">
        <is>
          <t>31+990</t>
        </is>
      </c>
      <c r="R1518" t="inlineStr">
        <is>
          <t>Aberta</t>
        </is>
      </c>
      <c r="T1518" t="inlineStr">
        <is>
          <t>Aline Batista</t>
        </is>
      </c>
      <c r="U1518" t="inlineStr">
        <is>
          <t>29/05/2026</t>
        </is>
      </c>
      <c r="V1518" t="inlineStr">
        <is>
          <t>05/06/2026</t>
        </is>
      </c>
      <c r="W1518">
        <v>5</v>
      </c>
      <c r="AA1518" t="inlineStr">
        <is>
          <t>Aberta -30 dias</t>
        </is>
      </c>
      <c r="AB1518" t="inlineStr">
        <is>
          <t>EMPA</t>
        </is>
      </c>
      <c r="AC1518" t="inlineStr">
        <is>
          <t>Aline</t>
        </is>
      </c>
      <c r="AD1518" t="inlineStr">
        <is>
          <t>17/08/2026</t>
        </is>
      </c>
      <c r="AE1518" t="inlineStr">
        <is>
          <t>28/08/2026</t>
        </is>
      </c>
      <c r="AF1518" t="inlineStr">
        <is>
          <t>Prazo Premissa VALE</t>
        </is>
      </c>
    </row>
    <row r="1519">
      <c r="A1519">
        <v>1517</v>
      </c>
      <c r="B1519">
        <v>1</v>
      </c>
      <c r="C1519" t="inlineStr">
        <is>
          <t>1.4A</t>
        </is>
      </c>
      <c r="D1519" t="inlineStr">
        <is>
          <t>A02</t>
        </is>
      </c>
      <c r="E1519" t="inlineStr">
        <is>
          <t>D</t>
        </is>
      </c>
      <c r="F1519" t="inlineStr">
        <is>
          <t>EMPA</t>
        </is>
      </c>
      <c r="G1519" t="inlineStr">
        <is>
          <t>CLP-020</t>
        </is>
      </c>
      <c r="H1519" t="inlineStr">
        <is>
          <t>Protocolo</t>
        </is>
      </c>
      <c r="I1519">
        <v>2</v>
      </c>
      <c r="J1519" t="inlineStr">
        <is>
          <t>Bueiros</t>
        </is>
      </c>
      <c r="K1519" t="inlineStr">
        <is>
          <t>2.12</t>
        </is>
      </c>
      <c r="L1519" t="inlineStr">
        <is>
          <t>Bueiro</t>
        </is>
      </c>
      <c r="M1519" t="inlineStr">
        <is>
          <t>Execuçao divergente do projeto</t>
        </is>
      </c>
      <c r="N1519" t="inlineStr">
        <is>
          <t xml:space="preserve">Canal a jusante do bueiro não foi executado na geometria de projeto, apresentando talude verticalizado, pendente revestimento do canal conforme projeto. 
Verificar SIT </t>
        </is>
      </c>
      <c r="O1519" t="inlineStr">
        <is>
          <t>Tipo A</t>
        </is>
      </c>
      <c r="P1519" t="inlineStr">
        <is>
          <t>32+620</t>
        </is>
      </c>
      <c r="Q1519" t="inlineStr">
        <is>
          <t>32+620</t>
        </is>
      </c>
      <c r="R1519" t="inlineStr">
        <is>
          <t>Aberta</t>
        </is>
      </c>
      <c r="T1519" t="inlineStr">
        <is>
          <t>Aline Batista</t>
        </is>
      </c>
      <c r="U1519" t="inlineStr">
        <is>
          <t>29/05/2026</t>
        </is>
      </c>
      <c r="V1519" t="inlineStr">
        <is>
          <t>05/06/2026</t>
        </is>
      </c>
      <c r="W1519">
        <v>5</v>
      </c>
      <c r="AA1519" t="inlineStr">
        <is>
          <t>Aberta -30 dias</t>
        </is>
      </c>
      <c r="AB1519" t="inlineStr">
        <is>
          <t>EMPA</t>
        </is>
      </c>
      <c r="AC1519" t="inlineStr">
        <is>
          <t>Aline</t>
        </is>
      </c>
      <c r="AD1519" t="inlineStr">
        <is>
          <t>17/08/2026</t>
        </is>
      </c>
      <c r="AE1519" t="inlineStr">
        <is>
          <t>28/08/2026</t>
        </is>
      </c>
      <c r="AF1519" t="inlineStr">
        <is>
          <t>Prazo Premissa VALE</t>
        </is>
      </c>
    </row>
    <row r="1520">
      <c r="A1520">
        <v>1518</v>
      </c>
      <c r="B1520">
        <v>1</v>
      </c>
      <c r="C1520" t="inlineStr">
        <is>
          <t>1.4A</t>
        </is>
      </c>
      <c r="D1520" t="inlineStr">
        <is>
          <t>A03</t>
        </is>
      </c>
      <c r="E1520" t="inlineStr">
        <is>
          <t>LE</t>
        </is>
      </c>
      <c r="F1520" t="inlineStr">
        <is>
          <t>EMPA</t>
        </is>
      </c>
      <c r="G1520" t="inlineStr">
        <is>
          <t>CLP-020</t>
        </is>
      </c>
      <c r="H1520" t="inlineStr">
        <is>
          <t>Protocolo</t>
        </is>
      </c>
      <c r="I1520">
        <v>2</v>
      </c>
      <c r="J1520" t="inlineStr">
        <is>
          <t>Bueiros</t>
        </is>
      </c>
      <c r="K1520" t="inlineStr">
        <is>
          <t>2.12</t>
        </is>
      </c>
      <c r="L1520" t="inlineStr">
        <is>
          <t>Bueiro</t>
        </is>
      </c>
      <c r="M1520" t="inlineStr">
        <is>
          <t>Execuçao divergente do projeto</t>
        </is>
      </c>
      <c r="N1520" t="inlineStr">
        <is>
          <t xml:space="preserve">Bueiro instalado em local desativado, necessária retirada e recomposição da área.
Incluir SIT </t>
        </is>
      </c>
      <c r="O1520" t="inlineStr">
        <is>
          <t>Tipo A</t>
        </is>
      </c>
      <c r="P1520" t="inlineStr">
        <is>
          <t>36+380</t>
        </is>
      </c>
      <c r="Q1520" t="inlineStr">
        <is>
          <t>33+360</t>
        </is>
      </c>
      <c r="R1520" t="inlineStr">
        <is>
          <t>Aberta</t>
        </is>
      </c>
      <c r="T1520" t="inlineStr">
        <is>
          <t>Aline Batista</t>
        </is>
      </c>
      <c r="U1520" t="inlineStr">
        <is>
          <t>29/05/2026</t>
        </is>
      </c>
      <c r="V1520" t="inlineStr">
        <is>
          <t>05/06/2026</t>
        </is>
      </c>
      <c r="W1520">
        <v>5</v>
      </c>
      <c r="AA1520" t="inlineStr">
        <is>
          <t>Aberta -30 dias</t>
        </is>
      </c>
      <c r="AB1520" t="inlineStr">
        <is>
          <t>EMPA</t>
        </is>
      </c>
      <c r="AC1520" t="inlineStr">
        <is>
          <t>Aline</t>
        </is>
      </c>
      <c r="AD1520" t="inlineStr">
        <is>
          <t>31/08/2026</t>
        </is>
      </c>
      <c r="AE1520" t="inlineStr">
        <is>
          <t>10/09/2026</t>
        </is>
      </c>
      <c r="AF1520" t="inlineStr">
        <is>
          <t>Prazo Premissa VALE</t>
        </is>
      </c>
    </row>
    <row r="1521">
      <c r="A1521">
        <v>1519</v>
      </c>
      <c r="B1521">
        <v>1</v>
      </c>
      <c r="C1521" t="inlineStr">
        <is>
          <t>1.4A</t>
        </is>
      </c>
      <c r="D1521" t="inlineStr">
        <is>
          <t>A06</t>
        </is>
      </c>
      <c r="E1521" t="inlineStr">
        <is>
          <t>LD e LE</t>
        </is>
      </c>
      <c r="F1521" t="inlineStr">
        <is>
          <t>EMPA</t>
        </is>
      </c>
      <c r="G1521" t="inlineStr">
        <is>
          <t>CLP-020</t>
        </is>
      </c>
      <c r="H1521" t="inlineStr">
        <is>
          <t>Protocolo</t>
        </is>
      </c>
      <c r="I1521">
        <v>2</v>
      </c>
      <c r="J1521" t="inlineStr">
        <is>
          <t>Bueiros</t>
        </is>
      </c>
      <c r="K1521" t="inlineStr">
        <is>
          <t>2.12</t>
        </is>
      </c>
      <c r="L1521" t="inlineStr">
        <is>
          <t>Bueiro</t>
        </is>
      </c>
      <c r="M1521" t="inlineStr">
        <is>
          <t>Obstrução do dispositivo</t>
        </is>
      </c>
      <c r="N1521" t="inlineStr">
        <is>
          <t>Bueiro obstruído, necessária limpeza e desobstrução do dispositivo.</t>
        </is>
      </c>
      <c r="O1521" t="inlineStr">
        <is>
          <t>Tipo A</t>
        </is>
      </c>
      <c r="P1521" t="inlineStr">
        <is>
          <t>38+136</t>
        </is>
      </c>
      <c r="Q1521" t="inlineStr">
        <is>
          <t>36+092</t>
        </is>
      </c>
      <c r="R1521" t="inlineStr">
        <is>
          <t>Aberta</t>
        </is>
      </c>
      <c r="T1521" t="inlineStr">
        <is>
          <t>Aline Batista</t>
        </is>
      </c>
      <c r="U1521" t="inlineStr">
        <is>
          <t>29/05/2026</t>
        </is>
      </c>
      <c r="V1521" t="inlineStr">
        <is>
          <t>05/06/2026</t>
        </is>
      </c>
      <c r="W1521">
        <v>5</v>
      </c>
      <c r="AA1521" t="inlineStr">
        <is>
          <t>Aberta -30 dias</t>
        </is>
      </c>
      <c r="AB1521" t="inlineStr">
        <is>
          <t>EMPA</t>
        </is>
      </c>
      <c r="AC1521" t="inlineStr">
        <is>
          <t>Aline</t>
        </is>
      </c>
      <c r="AD1521" t="inlineStr">
        <is>
          <t>31/08/2026</t>
        </is>
      </c>
      <c r="AE1521" t="inlineStr">
        <is>
          <t>10/09/2026</t>
        </is>
      </c>
      <c r="AF1521" t="inlineStr">
        <is>
          <t>Prazo Premissa VALE</t>
        </is>
      </c>
    </row>
    <row r="1522">
      <c r="A1522">
        <v>1520</v>
      </c>
      <c r="B1522">
        <v>1</v>
      </c>
      <c r="C1522" t="inlineStr">
        <is>
          <t>1.4A</t>
        </is>
      </c>
      <c r="D1522" t="inlineStr">
        <is>
          <t>A07</t>
        </is>
      </c>
      <c r="E1522" t="inlineStr">
        <is>
          <t>LE</t>
        </is>
      </c>
      <c r="F1522" t="inlineStr">
        <is>
          <t>EMPA</t>
        </is>
      </c>
      <c r="G1522" t="inlineStr">
        <is>
          <t>CLP-020</t>
        </is>
      </c>
      <c r="H1522" t="inlineStr">
        <is>
          <t>Protocolo</t>
        </is>
      </c>
      <c r="I1522">
        <v>2</v>
      </c>
      <c r="J1522" t="inlineStr">
        <is>
          <t>Bueiros</t>
        </is>
      </c>
      <c r="K1522" t="inlineStr">
        <is>
          <t>2.11</t>
        </is>
      </c>
      <c r="L1522" t="inlineStr">
        <is>
          <t>Bueiro</t>
        </is>
      </c>
      <c r="M1522" t="inlineStr">
        <is>
          <t>Dispositivo não executado</t>
        </is>
      </c>
      <c r="N1522" t="inlineStr">
        <is>
          <t xml:space="preserve">Necessário executar saída e desobstrução do dispositivo </t>
        </is>
      </c>
      <c r="O1522" t="inlineStr">
        <is>
          <t>Tipo A</t>
        </is>
      </c>
      <c r="P1522" t="inlineStr">
        <is>
          <t>37+500</t>
        </is>
      </c>
      <c r="Q1522" t="inlineStr">
        <is>
          <t>36+400</t>
        </is>
      </c>
      <c r="R1522" t="inlineStr">
        <is>
          <t>Aberta</t>
        </is>
      </c>
      <c r="T1522" t="inlineStr">
        <is>
          <t>Aline Batista</t>
        </is>
      </c>
      <c r="U1522" t="inlineStr">
        <is>
          <t>29/05/2026</t>
        </is>
      </c>
      <c r="V1522" t="inlineStr">
        <is>
          <t>05/06/2026</t>
        </is>
      </c>
      <c r="W1522">
        <v>5</v>
      </c>
      <c r="AA1522" t="inlineStr">
        <is>
          <t>Aberta -30 dias</t>
        </is>
      </c>
      <c r="AB1522" t="inlineStr">
        <is>
          <t>EMPA</t>
        </is>
      </c>
      <c r="AC1522" t="inlineStr">
        <is>
          <t>Aline</t>
        </is>
      </c>
      <c r="AD1522" t="inlineStr">
        <is>
          <t>31/08/2026</t>
        </is>
      </c>
      <c r="AE1522" t="inlineStr">
        <is>
          <t>10/09/2026</t>
        </is>
      </c>
      <c r="AF1522" t="inlineStr">
        <is>
          <t>Prazo Premissa VALE</t>
        </is>
      </c>
    </row>
    <row r="1523">
      <c r="A1523">
        <v>1521</v>
      </c>
      <c r="B1523">
        <v>1</v>
      </c>
      <c r="C1523" t="inlineStr">
        <is>
          <t>1.4A</t>
        </is>
      </c>
      <c r="D1523" t="inlineStr">
        <is>
          <t>A09</t>
        </is>
      </c>
      <c r="E1523" t="inlineStr">
        <is>
          <t>LD</t>
        </is>
      </c>
      <c r="F1523" t="inlineStr">
        <is>
          <t>EMPA</t>
        </is>
      </c>
      <c r="G1523" t="inlineStr">
        <is>
          <t>CLP-020</t>
        </is>
      </c>
      <c r="H1523" t="inlineStr">
        <is>
          <t>Protocolo</t>
        </is>
      </c>
      <c r="I1523">
        <v>2</v>
      </c>
      <c r="J1523" t="inlineStr">
        <is>
          <t>Bueiros</t>
        </is>
      </c>
      <c r="K1523" t="inlineStr">
        <is>
          <t>2.11</t>
        </is>
      </c>
      <c r="L1523" t="inlineStr">
        <is>
          <t>Bueiro</t>
        </is>
      </c>
      <c r="M1523" t="inlineStr">
        <is>
          <t>Obstrução do dispositivo</t>
        </is>
      </c>
      <c r="N1523" t="inlineStr">
        <is>
          <t>Bueiro obstruído.</t>
        </is>
      </c>
      <c r="O1523" t="inlineStr">
        <is>
          <t>Tipo A</t>
        </is>
      </c>
      <c r="P1523" t="inlineStr">
        <is>
          <t>37+436</t>
        </is>
      </c>
      <c r="Q1523" t="inlineStr">
        <is>
          <t>37+436</t>
        </is>
      </c>
      <c r="R1523" t="inlineStr">
        <is>
          <t>Aberta</t>
        </is>
      </c>
      <c r="T1523" t="inlineStr">
        <is>
          <t>Aline Batista</t>
        </is>
      </c>
      <c r="U1523" t="inlineStr">
        <is>
          <t>29/05/2026</t>
        </is>
      </c>
      <c r="V1523" t="inlineStr">
        <is>
          <t>05/06/2026</t>
        </is>
      </c>
      <c r="W1523">
        <v>5</v>
      </c>
      <c r="AA1523" t="inlineStr">
        <is>
          <t>Aberta -30 dias</t>
        </is>
      </c>
      <c r="AB1523" t="inlineStr">
        <is>
          <t>EMPA</t>
        </is>
      </c>
      <c r="AC1523" t="inlineStr">
        <is>
          <t>Aline</t>
        </is>
      </c>
      <c r="AD1523" t="inlineStr">
        <is>
          <t>31/08/2026</t>
        </is>
      </c>
      <c r="AE1523" t="inlineStr">
        <is>
          <t>10/09/2026</t>
        </is>
      </c>
      <c r="AF1523" t="inlineStr">
        <is>
          <t>Prazo Premissa VALE</t>
        </is>
      </c>
    </row>
    <row r="1524">
      <c r="A1524">
        <v>1522</v>
      </c>
      <c r="B1524">
        <v>1</v>
      </c>
      <c r="C1524" t="inlineStr">
        <is>
          <t>1.4A</t>
        </is>
      </c>
      <c r="D1524" t="inlineStr">
        <is>
          <t>A01</t>
        </is>
      </c>
      <c r="F1524" t="inlineStr">
        <is>
          <t>EMPA</t>
        </is>
      </c>
      <c r="G1524" t="inlineStr">
        <is>
          <t>CLP-020</t>
        </is>
      </c>
      <c r="H1524" t="inlineStr">
        <is>
          <t>Protocolo</t>
        </is>
      </c>
      <c r="I1524">
        <v>2</v>
      </c>
      <c r="J1524" t="inlineStr">
        <is>
          <t>Bueiros</t>
        </is>
      </c>
      <c r="K1524" t="inlineStr">
        <is>
          <t>2.11</t>
        </is>
      </c>
      <c r="L1524" t="inlineStr">
        <is>
          <t>Bueiro</t>
        </is>
      </c>
      <c r="M1524" t="inlineStr">
        <is>
          <t>Obstrução do dispositivo</t>
        </is>
      </c>
      <c r="N1524" t="inlineStr">
        <is>
          <t xml:space="preserve"> Obstrução de OACs.</t>
        </is>
      </c>
      <c r="O1524" t="inlineStr">
        <is>
          <t>Tipo A</t>
        </is>
      </c>
      <c r="P1524" t="inlineStr">
        <is>
          <t xml:space="preserve">31+033 
</t>
        </is>
      </c>
      <c r="Q1524" t="inlineStr">
        <is>
          <t>31+840</t>
        </is>
      </c>
      <c r="R1524" t="inlineStr">
        <is>
          <t>Aberta</t>
        </is>
      </c>
      <c r="T1524" t="inlineStr">
        <is>
          <t>Aline Batista</t>
        </is>
      </c>
      <c r="U1524" t="inlineStr">
        <is>
          <t>29/05/2026</t>
        </is>
      </c>
      <c r="V1524" t="inlineStr">
        <is>
          <t>05/06/2026</t>
        </is>
      </c>
      <c r="W1524">
        <v>5</v>
      </c>
      <c r="AA1524" t="inlineStr">
        <is>
          <t>Aberta -30 dias</t>
        </is>
      </c>
      <c r="AB1524" t="inlineStr">
        <is>
          <t>EMPA</t>
        </is>
      </c>
      <c r="AC1524" t="inlineStr">
        <is>
          <t>Aline</t>
        </is>
      </c>
      <c r="AD1524" t="inlineStr">
        <is>
          <t>17/08/2026</t>
        </is>
      </c>
      <c r="AE1524" t="inlineStr">
        <is>
          <t>28/08/2026</t>
        </is>
      </c>
      <c r="AF1524" t="inlineStr">
        <is>
          <t>Prazo Premissa VALE</t>
        </is>
      </c>
    </row>
    <row r="1525">
      <c r="A1525">
        <v>1523</v>
      </c>
      <c r="B1525">
        <v>1</v>
      </c>
      <c r="C1525" t="inlineStr">
        <is>
          <t>1.4A</t>
        </is>
      </c>
      <c r="D1525" t="inlineStr">
        <is>
          <t>A03</t>
        </is>
      </c>
      <c r="F1525" t="inlineStr">
        <is>
          <t>EMPA</t>
        </is>
      </c>
      <c r="G1525" t="inlineStr">
        <is>
          <t>CLP-020</t>
        </is>
      </c>
      <c r="H1525" t="inlineStr">
        <is>
          <t>Protocolo</t>
        </is>
      </c>
      <c r="I1525">
        <v>2</v>
      </c>
      <c r="J1525" t="inlineStr">
        <is>
          <t>Bueiros</t>
        </is>
      </c>
      <c r="K1525" t="inlineStr">
        <is>
          <t>2.11</t>
        </is>
      </c>
      <c r="L1525" t="inlineStr">
        <is>
          <t>Bueiro</t>
        </is>
      </c>
      <c r="M1525" t="inlineStr">
        <is>
          <t>Obstrução do dispositivo</t>
        </is>
      </c>
      <c r="N1525" t="inlineStr">
        <is>
          <t>Bueiros de plataforma e acesso obstruídos.</t>
        </is>
      </c>
      <c r="O1525" t="inlineStr">
        <is>
          <t>Tipo A</t>
        </is>
      </c>
      <c r="P1525" t="inlineStr">
        <is>
          <t>33+260</t>
        </is>
      </c>
      <c r="Q1525" t="inlineStr">
        <is>
          <t xml:space="preserve"> 34+080</t>
        </is>
      </c>
      <c r="R1525" t="inlineStr">
        <is>
          <t>Aberta</t>
        </is>
      </c>
      <c r="T1525" t="inlineStr">
        <is>
          <t>Aline Batista</t>
        </is>
      </c>
      <c r="U1525" t="inlineStr">
        <is>
          <t>29/05/2026</t>
        </is>
      </c>
      <c r="V1525" t="inlineStr">
        <is>
          <t>05/06/2026</t>
        </is>
      </c>
      <c r="W1525">
        <v>5</v>
      </c>
      <c r="AA1525" t="inlineStr">
        <is>
          <t>Aberta -30 dias</t>
        </is>
      </c>
      <c r="AB1525" t="inlineStr">
        <is>
          <t>EMPA</t>
        </is>
      </c>
      <c r="AC1525" t="inlineStr">
        <is>
          <t>Aline</t>
        </is>
      </c>
      <c r="AD1525" t="inlineStr">
        <is>
          <t>31/08/2026</t>
        </is>
      </c>
      <c r="AE1525" t="inlineStr">
        <is>
          <t>10/09/2026</t>
        </is>
      </c>
      <c r="AF1525" t="inlineStr">
        <is>
          <t>Prazo Premissa VALE</t>
        </is>
      </c>
    </row>
    <row r="1526">
      <c r="A1526">
        <v>1524</v>
      </c>
      <c r="B1526">
        <v>1</v>
      </c>
      <c r="C1526" t="inlineStr">
        <is>
          <t>1.4A</t>
        </is>
      </c>
      <c r="D1526" t="inlineStr">
        <is>
          <t>A04</t>
        </is>
      </c>
      <c r="F1526" t="inlineStr">
        <is>
          <t>EMPA</t>
        </is>
      </c>
      <c r="G1526" t="inlineStr">
        <is>
          <t>CLP-020</t>
        </is>
      </c>
      <c r="H1526" t="inlineStr">
        <is>
          <t>Fiscalização</t>
        </is>
      </c>
      <c r="I1526">
        <v>2</v>
      </c>
      <c r="J1526" t="inlineStr">
        <is>
          <t>Bueiros</t>
        </is>
      </c>
      <c r="K1526" t="inlineStr">
        <is>
          <t>2.11</t>
        </is>
      </c>
      <c r="L1526" t="inlineStr">
        <is>
          <t>Bueiro</t>
        </is>
      </c>
      <c r="M1526" t="inlineStr">
        <is>
          <t>Obstrução do dispositivo</t>
        </is>
      </c>
      <c r="N1526" t="inlineStr">
        <is>
          <t>Bueiro obstruído.</t>
        </is>
      </c>
      <c r="O1526" t="inlineStr">
        <is>
          <t>Tipo A</t>
        </is>
      </c>
      <c r="P1526" t="inlineStr">
        <is>
          <t xml:space="preserve">34+500 </t>
        </is>
      </c>
      <c r="Q1526" t="inlineStr">
        <is>
          <t xml:space="preserve"> 34+710</t>
        </is>
      </c>
      <c r="R1526" t="inlineStr">
        <is>
          <t>Aberta</t>
        </is>
      </c>
      <c r="T1526" t="inlineStr">
        <is>
          <t>Aline Batista</t>
        </is>
      </c>
      <c r="U1526" t="inlineStr">
        <is>
          <t>29/05/2026</t>
        </is>
      </c>
      <c r="V1526" t="inlineStr">
        <is>
          <t>05/06/2026</t>
        </is>
      </c>
      <c r="W1526">
        <v>5</v>
      </c>
      <c r="AA1526" t="inlineStr">
        <is>
          <t>Aberta -30 dias</t>
        </is>
      </c>
      <c r="AB1526" t="inlineStr">
        <is>
          <t>EMPA</t>
        </is>
      </c>
      <c r="AC1526" t="inlineStr">
        <is>
          <t>Aline</t>
        </is>
      </c>
      <c r="AD1526" t="inlineStr">
        <is>
          <t>31/08/2026</t>
        </is>
      </c>
      <c r="AE1526" t="inlineStr">
        <is>
          <t>10/09/2026</t>
        </is>
      </c>
      <c r="AF1526" t="inlineStr">
        <is>
          <t>Prazo Premissa VALE</t>
        </is>
      </c>
    </row>
    <row r="1527">
      <c r="A1527">
        <v>1525</v>
      </c>
      <c r="B1527">
        <v>1</v>
      </c>
      <c r="C1527" t="inlineStr">
        <is>
          <t>1.4A</t>
        </is>
      </c>
      <c r="D1527" t="inlineStr">
        <is>
          <t>A05</t>
        </is>
      </c>
      <c r="F1527" t="inlineStr">
        <is>
          <t>EMPA</t>
        </is>
      </c>
      <c r="G1527" t="inlineStr">
        <is>
          <t>CLP-020</t>
        </is>
      </c>
      <c r="H1527" t="inlineStr">
        <is>
          <t>Fiscalização</t>
        </is>
      </c>
      <c r="I1527">
        <v>2</v>
      </c>
      <c r="J1527" t="inlineStr">
        <is>
          <t>Bueiros</t>
        </is>
      </c>
      <c r="K1527" t="inlineStr">
        <is>
          <t>2.11</t>
        </is>
      </c>
      <c r="L1527" t="inlineStr">
        <is>
          <t>Bueiro</t>
        </is>
      </c>
      <c r="M1527" t="inlineStr">
        <is>
          <t>Obstrução do dispositivo</t>
        </is>
      </c>
      <c r="N1527" t="inlineStr">
        <is>
          <t>Obstrução de OACs.</t>
        </is>
      </c>
      <c r="O1527" t="inlineStr">
        <is>
          <t>Tipo A</t>
        </is>
      </c>
      <c r="P1527" t="inlineStr">
        <is>
          <t xml:space="preserve">35+160
</t>
        </is>
      </c>
      <c r="Q1527" t="inlineStr">
        <is>
          <t>35+940</t>
        </is>
      </c>
      <c r="R1527" t="inlineStr">
        <is>
          <t>Aberta</t>
        </is>
      </c>
      <c r="T1527" t="inlineStr">
        <is>
          <t>Aline Batista</t>
        </is>
      </c>
      <c r="U1527" t="inlineStr">
        <is>
          <t>29/05/2026</t>
        </is>
      </c>
      <c r="V1527" t="inlineStr">
        <is>
          <t>05/06/2026</t>
        </is>
      </c>
      <c r="W1527">
        <v>5</v>
      </c>
      <c r="AA1527" t="inlineStr">
        <is>
          <t>Aberta -30 dias</t>
        </is>
      </c>
      <c r="AB1527" t="inlineStr">
        <is>
          <t>EMPA</t>
        </is>
      </c>
      <c r="AC1527" t="inlineStr">
        <is>
          <t>Aline</t>
        </is>
      </c>
      <c r="AD1527" t="inlineStr">
        <is>
          <t>31/08/2026</t>
        </is>
      </c>
      <c r="AE1527" t="inlineStr">
        <is>
          <t>10/09/2026</t>
        </is>
      </c>
      <c r="AF1527" t="inlineStr">
        <is>
          <t>Prazo Premissa VALE</t>
        </is>
      </c>
    </row>
    <row r="1528">
      <c r="A1528">
        <v>1526</v>
      </c>
      <c r="B1528">
        <v>1</v>
      </c>
      <c r="C1528" t="inlineStr">
        <is>
          <t>1.4A</t>
        </is>
      </c>
      <c r="D1528" t="inlineStr">
        <is>
          <t>A05</t>
        </is>
      </c>
      <c r="F1528" t="inlineStr">
        <is>
          <t>EMPA</t>
        </is>
      </c>
      <c r="G1528" t="inlineStr">
        <is>
          <t>CLP-020</t>
        </is>
      </c>
      <c r="H1528" t="inlineStr">
        <is>
          <t>Fiscalização</t>
        </is>
      </c>
      <c r="I1528">
        <v>2</v>
      </c>
      <c r="J1528" t="inlineStr">
        <is>
          <t>Bueiros</t>
        </is>
      </c>
      <c r="K1528" t="inlineStr">
        <is>
          <t>2.11</t>
        </is>
      </c>
      <c r="L1528" t="inlineStr">
        <is>
          <t>Bueiro</t>
        </is>
      </c>
      <c r="M1528" t="inlineStr">
        <is>
          <t>Obstrução do dispositivo</t>
        </is>
      </c>
      <c r="N1528" t="inlineStr">
        <is>
          <t>Bueiro obstruído.</t>
        </is>
      </c>
      <c r="O1528" t="inlineStr">
        <is>
          <t>Tipo A</t>
        </is>
      </c>
      <c r="P1528" t="inlineStr">
        <is>
          <t>35+561</t>
        </is>
      </c>
      <c r="Q1528" t="inlineStr">
        <is>
          <t>35+561</t>
        </is>
      </c>
      <c r="R1528" t="inlineStr">
        <is>
          <t>Aberta</t>
        </is>
      </c>
      <c r="T1528" t="inlineStr">
        <is>
          <t>Aline Batista</t>
        </is>
      </c>
      <c r="U1528" t="inlineStr">
        <is>
          <t>29/05/2026</t>
        </is>
      </c>
      <c r="V1528" t="inlineStr">
        <is>
          <t>05/06/2026</t>
        </is>
      </c>
      <c r="W1528">
        <v>5</v>
      </c>
      <c r="AA1528" t="inlineStr">
        <is>
          <t>Aberta -30 dias</t>
        </is>
      </c>
      <c r="AB1528" t="inlineStr">
        <is>
          <t>EMPA</t>
        </is>
      </c>
      <c r="AC1528" t="inlineStr">
        <is>
          <t>Aline</t>
        </is>
      </c>
      <c r="AD1528" t="inlineStr">
        <is>
          <t>31/08/2026</t>
        </is>
      </c>
      <c r="AE1528" t="inlineStr">
        <is>
          <t>10/09/2026</t>
        </is>
      </c>
      <c r="AF1528" t="inlineStr">
        <is>
          <t>Prazo Premissa VALE</t>
        </is>
      </c>
    </row>
    <row r="1529">
      <c r="A1529">
        <v>1527</v>
      </c>
      <c r="B1529">
        <v>1</v>
      </c>
      <c r="C1529" t="inlineStr">
        <is>
          <t>1.4A</t>
        </is>
      </c>
      <c r="D1529" t="inlineStr">
        <is>
          <t>A05</t>
        </is>
      </c>
      <c r="F1529" t="inlineStr">
        <is>
          <t>EMPA</t>
        </is>
      </c>
      <c r="G1529" t="inlineStr">
        <is>
          <t>CLP-020</t>
        </is>
      </c>
      <c r="H1529" t="inlineStr">
        <is>
          <t>Fiscalização</t>
        </is>
      </c>
      <c r="I1529">
        <v>2</v>
      </c>
      <c r="J1529" t="inlineStr">
        <is>
          <t>Bueiros</t>
        </is>
      </c>
      <c r="K1529" t="inlineStr">
        <is>
          <t>2.12</t>
        </is>
      </c>
      <c r="L1529" t="inlineStr">
        <is>
          <t>Bueiro</t>
        </is>
      </c>
      <c r="M1529" t="inlineStr">
        <is>
          <t>Obstrução do dispositivo</t>
        </is>
      </c>
      <c r="N1529" t="inlineStr">
        <is>
          <t>Bueiro assoreado.</t>
        </is>
      </c>
      <c r="O1529" t="inlineStr">
        <is>
          <t>Tipo A</t>
        </is>
      </c>
      <c r="P1529" t="inlineStr">
        <is>
          <t>35+782</t>
        </is>
      </c>
      <c r="Q1529" t="inlineStr">
        <is>
          <t>35+782</t>
        </is>
      </c>
      <c r="R1529" t="inlineStr">
        <is>
          <t>Aberta</t>
        </is>
      </c>
      <c r="T1529" t="inlineStr">
        <is>
          <t>Aline Batista</t>
        </is>
      </c>
      <c r="U1529" t="inlineStr">
        <is>
          <t>29/05/2026</t>
        </is>
      </c>
      <c r="V1529" t="inlineStr">
        <is>
          <t>05/06/2026</t>
        </is>
      </c>
      <c r="W1529">
        <v>5</v>
      </c>
      <c r="AA1529" t="inlineStr">
        <is>
          <t>Aberta -30 dias</t>
        </is>
      </c>
      <c r="AB1529" t="inlineStr">
        <is>
          <t>EMPA</t>
        </is>
      </c>
      <c r="AC1529" t="inlineStr">
        <is>
          <t>Aline</t>
        </is>
      </c>
      <c r="AD1529" t="inlineStr">
        <is>
          <t>31/08/2026</t>
        </is>
      </c>
      <c r="AE1529" t="inlineStr">
        <is>
          <t>10/09/2026</t>
        </is>
      </c>
      <c r="AF1529" t="inlineStr">
        <is>
          <t>Prazo Premissa VALE</t>
        </is>
      </c>
    </row>
    <row r="1530">
      <c r="A1530">
        <v>1528</v>
      </c>
      <c r="B1530">
        <v>1</v>
      </c>
      <c r="C1530" t="inlineStr">
        <is>
          <t>1.4A</t>
        </is>
      </c>
      <c r="D1530" t="inlineStr">
        <is>
          <t>A06</t>
        </is>
      </c>
      <c r="F1530" t="inlineStr">
        <is>
          <t>EMPA</t>
        </is>
      </c>
      <c r="G1530" t="inlineStr">
        <is>
          <t>CLP-020</t>
        </is>
      </c>
      <c r="H1530" t="inlineStr">
        <is>
          <t>Protocolo</t>
        </is>
      </c>
      <c r="I1530">
        <v>2</v>
      </c>
      <c r="J1530" t="inlineStr">
        <is>
          <t>Bueiros</t>
        </is>
      </c>
      <c r="K1530" t="inlineStr">
        <is>
          <t>2.12</t>
        </is>
      </c>
      <c r="L1530" t="inlineStr">
        <is>
          <t>Bueiro</t>
        </is>
      </c>
      <c r="M1530" t="inlineStr">
        <is>
          <t>Obstrução do dispositivo</t>
        </is>
      </c>
      <c r="N1530" t="inlineStr">
        <is>
          <t>Bueiro assoreado.</t>
        </is>
      </c>
      <c r="O1530" t="inlineStr">
        <is>
          <t>Tipo A</t>
        </is>
      </c>
      <c r="P1530" t="inlineStr">
        <is>
          <t>36+092</t>
        </is>
      </c>
      <c r="Q1530" t="inlineStr">
        <is>
          <t>36+092</t>
        </is>
      </c>
      <c r="R1530" t="inlineStr">
        <is>
          <t>Aberta</t>
        </is>
      </c>
      <c r="T1530" t="inlineStr">
        <is>
          <t>Aline Batista</t>
        </is>
      </c>
      <c r="U1530" t="inlineStr">
        <is>
          <t>29/05/2026</t>
        </is>
      </c>
      <c r="V1530" t="inlineStr">
        <is>
          <t>05/06/2026</t>
        </is>
      </c>
      <c r="W1530">
        <v>5</v>
      </c>
      <c r="AA1530" t="inlineStr">
        <is>
          <t>Aberta -30 dias</t>
        </is>
      </c>
      <c r="AB1530" t="inlineStr">
        <is>
          <t>EMPA</t>
        </is>
      </c>
      <c r="AC1530" t="inlineStr">
        <is>
          <t>Aline</t>
        </is>
      </c>
      <c r="AD1530" t="inlineStr">
        <is>
          <t>31/08/2026</t>
        </is>
      </c>
      <c r="AE1530" t="inlineStr">
        <is>
          <t>10/09/2026</t>
        </is>
      </c>
      <c r="AF1530" t="inlineStr">
        <is>
          <t>Prazo Premissa VALE</t>
        </is>
      </c>
    </row>
    <row r="1531">
      <c r="A1531">
        <v>1529</v>
      </c>
      <c r="B1531">
        <v>1</v>
      </c>
      <c r="C1531" t="inlineStr">
        <is>
          <t>1.4A</t>
        </is>
      </c>
      <c r="D1531" t="inlineStr">
        <is>
          <t>A07</t>
        </is>
      </c>
      <c r="F1531" t="inlineStr">
        <is>
          <t>EMPA</t>
        </is>
      </c>
      <c r="G1531" t="inlineStr">
        <is>
          <t>CLP-020</t>
        </is>
      </c>
      <c r="H1531" t="inlineStr">
        <is>
          <t>Fiscalização</t>
        </is>
      </c>
      <c r="I1531">
        <v>2</v>
      </c>
      <c r="J1531" t="inlineStr">
        <is>
          <t>Bueiros</t>
        </is>
      </c>
      <c r="K1531" t="inlineStr">
        <is>
          <t>2.12</t>
        </is>
      </c>
      <c r="L1531" t="inlineStr">
        <is>
          <t>(PG) Passagem de gado</t>
        </is>
      </c>
      <c r="M1531" t="inlineStr">
        <is>
          <t>Obstrução do dispositivo</t>
        </is>
      </c>
      <c r="N1531" t="inlineStr">
        <is>
          <t>PG assoreada.</t>
        </is>
      </c>
      <c r="O1531" t="inlineStr">
        <is>
          <t>Tipo A</t>
        </is>
      </c>
      <c r="P1531" t="inlineStr">
        <is>
          <t>36+400</t>
        </is>
      </c>
      <c r="Q1531" t="inlineStr">
        <is>
          <t>36+400</t>
        </is>
      </c>
      <c r="R1531" t="inlineStr">
        <is>
          <t>Aberta</t>
        </is>
      </c>
      <c r="T1531" t="inlineStr">
        <is>
          <t>Aline Batista</t>
        </is>
      </c>
      <c r="U1531" t="inlineStr">
        <is>
          <t>29/05/2026</t>
        </is>
      </c>
      <c r="V1531" t="inlineStr">
        <is>
          <t>05/06/2026</t>
        </is>
      </c>
      <c r="W1531">
        <v>5</v>
      </c>
      <c r="AA1531" t="inlineStr">
        <is>
          <t>Aberta -30 dias</t>
        </is>
      </c>
      <c r="AB1531" t="inlineStr">
        <is>
          <t>EMPA</t>
        </is>
      </c>
      <c r="AC1531" t="inlineStr">
        <is>
          <t>Aline</t>
        </is>
      </c>
      <c r="AD1531" t="inlineStr">
        <is>
          <t>31/08/2026</t>
        </is>
      </c>
      <c r="AE1531" t="inlineStr">
        <is>
          <t>10/09/2026</t>
        </is>
      </c>
      <c r="AF1531" t="inlineStr">
        <is>
          <t>Prazo Premissa VALE</t>
        </is>
      </c>
    </row>
    <row r="1532">
      <c r="A1532">
        <v>1530</v>
      </c>
      <c r="B1532">
        <v>1</v>
      </c>
      <c r="C1532" t="inlineStr">
        <is>
          <t>1.4A</t>
        </is>
      </c>
      <c r="D1532" t="inlineStr">
        <is>
          <t>A07</t>
        </is>
      </c>
      <c r="F1532" t="inlineStr">
        <is>
          <t>EMPA</t>
        </is>
      </c>
      <c r="G1532" t="inlineStr">
        <is>
          <t>CLP-020</t>
        </is>
      </c>
      <c r="H1532" t="inlineStr">
        <is>
          <t>Fiscalização</t>
        </is>
      </c>
      <c r="I1532">
        <v>2</v>
      </c>
      <c r="J1532" t="inlineStr">
        <is>
          <t>Bueiros</t>
        </is>
      </c>
      <c r="K1532" t="inlineStr">
        <is>
          <t>2.12</t>
        </is>
      </c>
      <c r="L1532" t="inlineStr">
        <is>
          <t>Bueiro</t>
        </is>
      </c>
      <c r="M1532" t="inlineStr">
        <is>
          <t>Obstrução do dispositivo</t>
        </is>
      </c>
      <c r="N1532" t="inlineStr">
        <is>
          <t>Bueiro assoreado.</t>
        </is>
      </c>
      <c r="O1532" t="inlineStr">
        <is>
          <t>Tipo A</t>
        </is>
      </c>
      <c r="P1532" t="inlineStr">
        <is>
          <t xml:space="preserve">36+431 </t>
        </is>
      </c>
      <c r="Q1532" t="inlineStr">
        <is>
          <t xml:space="preserve">36+431 </t>
        </is>
      </c>
      <c r="R1532" t="inlineStr">
        <is>
          <t>Aberta</t>
        </is>
      </c>
      <c r="T1532" t="inlineStr">
        <is>
          <t>Aline Batista</t>
        </is>
      </c>
      <c r="U1532" t="inlineStr">
        <is>
          <t>29/05/2026</t>
        </is>
      </c>
      <c r="V1532" t="inlineStr">
        <is>
          <t>05/06/2026</t>
        </is>
      </c>
      <c r="W1532">
        <v>5</v>
      </c>
      <c r="AA1532" t="inlineStr">
        <is>
          <t>Aberta -30 dias</t>
        </is>
      </c>
      <c r="AB1532" t="inlineStr">
        <is>
          <t>EMPA</t>
        </is>
      </c>
      <c r="AC1532" t="inlineStr">
        <is>
          <t>Aline</t>
        </is>
      </c>
      <c r="AD1532" t="inlineStr">
        <is>
          <t>31/08/2026</t>
        </is>
      </c>
      <c r="AE1532" t="inlineStr">
        <is>
          <t>10/09/2026</t>
        </is>
      </c>
      <c r="AF1532" t="inlineStr">
        <is>
          <t>Prazo Premissa VALE</t>
        </is>
      </c>
    </row>
    <row r="1533">
      <c r="A1533">
        <v>1531</v>
      </c>
      <c r="B1533">
        <v>1</v>
      </c>
      <c r="C1533" t="inlineStr">
        <is>
          <t>1.4A</t>
        </is>
      </c>
      <c r="D1533" t="inlineStr">
        <is>
          <t>A08</t>
        </is>
      </c>
      <c r="F1533" t="inlineStr">
        <is>
          <t>EMPA</t>
        </is>
      </c>
      <c r="G1533" t="inlineStr">
        <is>
          <t>CLP-020</t>
        </is>
      </c>
      <c r="H1533" t="inlineStr">
        <is>
          <t>Fiscalização</t>
        </is>
      </c>
      <c r="I1533">
        <v>2</v>
      </c>
      <c r="J1533" t="inlineStr">
        <is>
          <t>Bueiros</t>
        </is>
      </c>
      <c r="K1533" t="inlineStr">
        <is>
          <t>2.12</t>
        </is>
      </c>
      <c r="L1533" t="inlineStr">
        <is>
          <t>Bueiro</t>
        </is>
      </c>
      <c r="M1533" t="inlineStr">
        <is>
          <t>Obstrução do dispositivo</t>
        </is>
      </c>
      <c r="N1533" t="inlineStr">
        <is>
          <t>Bueiro assoreado.</t>
        </is>
      </c>
      <c r="O1533" t="inlineStr">
        <is>
          <t>Tipo A</t>
        </is>
      </c>
      <c r="P1533" t="inlineStr">
        <is>
          <t>36+720</t>
        </is>
      </c>
      <c r="Q1533" t="inlineStr">
        <is>
          <t>36+720</t>
        </is>
      </c>
      <c r="R1533" t="inlineStr">
        <is>
          <t>Aberta</t>
        </is>
      </c>
      <c r="T1533" t="inlineStr">
        <is>
          <t>Aline Batista</t>
        </is>
      </c>
      <c r="U1533" t="inlineStr">
        <is>
          <t>29/05/2026</t>
        </is>
      </c>
      <c r="V1533" t="inlineStr">
        <is>
          <t>05/06/2026</t>
        </is>
      </c>
      <c r="W1533">
        <v>5</v>
      </c>
      <c r="AA1533" t="inlineStr">
        <is>
          <t>Aberta -30 dias</t>
        </is>
      </c>
      <c r="AB1533" t="inlineStr">
        <is>
          <t>EMPA</t>
        </is>
      </c>
      <c r="AC1533" t="inlineStr">
        <is>
          <t>Aline</t>
        </is>
      </c>
      <c r="AD1533" t="inlineStr">
        <is>
          <t>31/08/2026</t>
        </is>
      </c>
      <c r="AE1533" t="inlineStr">
        <is>
          <t>10/09/2026</t>
        </is>
      </c>
      <c r="AF1533" t="inlineStr">
        <is>
          <t>Prazo Premissa VALE</t>
        </is>
      </c>
    </row>
    <row r="1534">
      <c r="A1534">
        <v>1532</v>
      </c>
      <c r="B1534">
        <v>1</v>
      </c>
      <c r="C1534" t="inlineStr">
        <is>
          <t>1.4A</t>
        </is>
      </c>
      <c r="D1534" t="inlineStr">
        <is>
          <t>A08</t>
        </is>
      </c>
      <c r="F1534" t="inlineStr">
        <is>
          <t>EMPA</t>
        </is>
      </c>
      <c r="G1534" t="inlineStr">
        <is>
          <t>CLP-020</t>
        </is>
      </c>
      <c r="H1534" t="inlineStr">
        <is>
          <t>Fiscalização</t>
        </is>
      </c>
      <c r="I1534">
        <v>2</v>
      </c>
      <c r="J1534" t="inlineStr">
        <is>
          <t>Bueiros</t>
        </is>
      </c>
      <c r="K1534" t="inlineStr">
        <is>
          <t>2.12</t>
        </is>
      </c>
      <c r="L1534" t="inlineStr">
        <is>
          <t>Bueiro</t>
        </is>
      </c>
      <c r="M1534" t="inlineStr">
        <is>
          <t>Obstrução do dispositivo</t>
        </is>
      </c>
      <c r="N1534" t="inlineStr">
        <is>
          <t>Bueiro assoreado.</t>
        </is>
      </c>
      <c r="O1534" t="inlineStr">
        <is>
          <t>Tipo A</t>
        </is>
      </c>
      <c r="P1534" t="inlineStr">
        <is>
          <t>36+804</t>
        </is>
      </c>
      <c r="Q1534" t="inlineStr">
        <is>
          <t>36+804</t>
        </is>
      </c>
      <c r="R1534" t="inlineStr">
        <is>
          <t>Aberta</t>
        </is>
      </c>
      <c r="T1534" t="inlineStr">
        <is>
          <t>Aline Batista</t>
        </is>
      </c>
      <c r="U1534" t="inlineStr">
        <is>
          <t>29/05/2026</t>
        </is>
      </c>
      <c r="V1534" t="inlineStr">
        <is>
          <t>05/06/2026</t>
        </is>
      </c>
      <c r="W1534">
        <v>5</v>
      </c>
      <c r="AA1534" t="inlineStr">
        <is>
          <t>Aberta -30 dias</t>
        </is>
      </c>
      <c r="AB1534" t="inlineStr">
        <is>
          <t>EMPA</t>
        </is>
      </c>
      <c r="AC1534" t="inlineStr">
        <is>
          <t>Aline</t>
        </is>
      </c>
      <c r="AD1534" t="inlineStr">
        <is>
          <t>31/08/2026</t>
        </is>
      </c>
      <c r="AE1534" t="inlineStr">
        <is>
          <t>10/09/2026</t>
        </is>
      </c>
      <c r="AF1534" t="inlineStr">
        <is>
          <t>Prazo Premissa VALE</t>
        </is>
      </c>
    </row>
    <row r="1535">
      <c r="A1535">
        <v>1533</v>
      </c>
      <c r="B1535">
        <v>1</v>
      </c>
      <c r="C1535" t="inlineStr">
        <is>
          <t>1.4A</t>
        </is>
      </c>
      <c r="D1535" t="inlineStr">
        <is>
          <t>A08</t>
        </is>
      </c>
      <c r="F1535" t="inlineStr">
        <is>
          <t>EMPA</t>
        </is>
      </c>
      <c r="G1535" t="inlineStr">
        <is>
          <t>CLP-020</t>
        </is>
      </c>
      <c r="H1535" t="inlineStr">
        <is>
          <t>Fiscalização</t>
        </is>
      </c>
      <c r="I1535">
        <v>2</v>
      </c>
      <c r="J1535" t="inlineStr">
        <is>
          <t>Bueiros</t>
        </is>
      </c>
      <c r="K1535" t="inlineStr">
        <is>
          <t>2.12</t>
        </is>
      </c>
      <c r="L1535" t="inlineStr">
        <is>
          <t>Bueiro</t>
        </is>
      </c>
      <c r="M1535" t="inlineStr">
        <is>
          <t>Obstrução do dispositivo</t>
        </is>
      </c>
      <c r="N1535" t="inlineStr">
        <is>
          <t>Bueiro obstruído.</t>
        </is>
      </c>
      <c r="O1535" t="inlineStr">
        <is>
          <t>Tipo A</t>
        </is>
      </c>
      <c r="P1535" t="inlineStr">
        <is>
          <t>36+886</t>
        </is>
      </c>
      <c r="Q1535" t="inlineStr">
        <is>
          <t>36+886</t>
        </is>
      </c>
      <c r="R1535" t="inlineStr">
        <is>
          <t>Aberta</t>
        </is>
      </c>
      <c r="T1535" t="inlineStr">
        <is>
          <t>Aline Batista</t>
        </is>
      </c>
      <c r="U1535" t="inlineStr">
        <is>
          <t>29/05/2026</t>
        </is>
      </c>
      <c r="V1535" t="inlineStr">
        <is>
          <t>05/06/2026</t>
        </is>
      </c>
      <c r="W1535">
        <v>5</v>
      </c>
      <c r="AA1535" t="inlineStr">
        <is>
          <t>Aberta -30 dias</t>
        </is>
      </c>
      <c r="AB1535" t="inlineStr">
        <is>
          <t>EMPA</t>
        </is>
      </c>
      <c r="AC1535" t="inlineStr">
        <is>
          <t>Aline</t>
        </is>
      </c>
      <c r="AD1535" t="inlineStr">
        <is>
          <t>31/08/2026</t>
        </is>
      </c>
      <c r="AE1535" t="inlineStr">
        <is>
          <t>10/09/2026</t>
        </is>
      </c>
      <c r="AF1535" t="inlineStr">
        <is>
          <t>Prazo Premissa VALE</t>
        </is>
      </c>
    </row>
    <row r="1536">
      <c r="A1536">
        <v>1534</v>
      </c>
      <c r="B1536">
        <v>1</v>
      </c>
      <c r="C1536" t="inlineStr">
        <is>
          <t>1.4A</t>
        </is>
      </c>
      <c r="D1536" t="inlineStr">
        <is>
          <t>A09</t>
        </is>
      </c>
      <c r="F1536" t="inlineStr">
        <is>
          <t>EMPA</t>
        </is>
      </c>
      <c r="G1536" t="inlineStr">
        <is>
          <t>CLP-020</t>
        </is>
      </c>
      <c r="H1536" t="inlineStr">
        <is>
          <t>Fiscalização</t>
        </is>
      </c>
      <c r="I1536">
        <v>2</v>
      </c>
      <c r="J1536" t="inlineStr">
        <is>
          <t>Bueiros</t>
        </is>
      </c>
      <c r="K1536" t="inlineStr">
        <is>
          <t>2.12</t>
        </is>
      </c>
      <c r="L1536" t="inlineStr">
        <is>
          <t>Bueiro</t>
        </is>
      </c>
      <c r="M1536" t="inlineStr">
        <is>
          <t>Obstrução do dispositivo</t>
        </is>
      </c>
      <c r="N1536" t="inlineStr">
        <is>
          <t>Bueiro assoreado.</t>
        </is>
      </c>
      <c r="O1536" t="inlineStr">
        <is>
          <t>Tipo A</t>
        </is>
      </c>
      <c r="P1536" t="inlineStr">
        <is>
          <t>37+288</t>
        </is>
      </c>
      <c r="Q1536" t="inlineStr">
        <is>
          <t>37+288</t>
        </is>
      </c>
      <c r="R1536" t="inlineStr">
        <is>
          <t>Aberta</t>
        </is>
      </c>
      <c r="T1536" t="inlineStr">
        <is>
          <t>Aline Batista</t>
        </is>
      </c>
      <c r="U1536" t="inlineStr">
        <is>
          <t>29/05/2026</t>
        </is>
      </c>
      <c r="V1536" t="inlineStr">
        <is>
          <t>05/06/2026</t>
        </is>
      </c>
      <c r="W1536">
        <v>5</v>
      </c>
      <c r="AA1536" t="inlineStr">
        <is>
          <t>Aberta -30 dias</t>
        </is>
      </c>
      <c r="AB1536" t="inlineStr">
        <is>
          <t>EMPA</t>
        </is>
      </c>
      <c r="AC1536" t="inlineStr">
        <is>
          <t>Aline</t>
        </is>
      </c>
      <c r="AD1536" t="inlineStr">
        <is>
          <t>31/08/2026</t>
        </is>
      </c>
      <c r="AE1536" t="inlineStr">
        <is>
          <t>10/09/2026</t>
        </is>
      </c>
      <c r="AF1536" t="inlineStr">
        <is>
          <t>Prazo Premissa VALE</t>
        </is>
      </c>
    </row>
    <row r="1537">
      <c r="A1537">
        <v>1535</v>
      </c>
      <c r="B1537">
        <v>1</v>
      </c>
      <c r="C1537" t="inlineStr">
        <is>
          <t>1.4A</t>
        </is>
      </c>
      <c r="D1537" t="inlineStr">
        <is>
          <t>A10</t>
        </is>
      </c>
      <c r="F1537" t="inlineStr">
        <is>
          <t>EMPA</t>
        </is>
      </c>
      <c r="G1537" t="inlineStr">
        <is>
          <t>CLP-020</t>
        </is>
      </c>
      <c r="H1537" t="inlineStr">
        <is>
          <t>Fiscalização/Implantação</t>
        </is>
      </c>
      <c r="I1537">
        <v>2</v>
      </c>
      <c r="J1537" t="inlineStr">
        <is>
          <t>Bueiros</t>
        </is>
      </c>
      <c r="K1537" t="inlineStr">
        <is>
          <t>2.12</t>
        </is>
      </c>
      <c r="L1537" t="inlineStr">
        <is>
          <t>PIV</t>
        </is>
      </c>
      <c r="M1537" t="inlineStr">
        <is>
          <t>Obstrução do dispositivo</t>
        </is>
      </c>
      <c r="N1537" t="inlineStr">
        <is>
          <t>PIV 5,00 x 4,55 afogada.</t>
        </is>
      </c>
      <c r="O1537" t="inlineStr">
        <is>
          <t>Tipo A</t>
        </is>
      </c>
      <c r="P1537" t="inlineStr">
        <is>
          <t>37+720</t>
        </is>
      </c>
      <c r="Q1537" t="inlineStr">
        <is>
          <t>37+720</t>
        </is>
      </c>
      <c r="R1537" t="inlineStr">
        <is>
          <t>Aberta</t>
        </is>
      </c>
      <c r="T1537" t="inlineStr">
        <is>
          <t>Aline Batista</t>
        </is>
      </c>
      <c r="U1537" t="inlineStr">
        <is>
          <t>29/05/2026</t>
        </is>
      </c>
      <c r="V1537" t="inlineStr">
        <is>
          <t>05/06/2026</t>
        </is>
      </c>
      <c r="W1537">
        <v>5</v>
      </c>
      <c r="AA1537" t="inlineStr">
        <is>
          <t>Aberta -30 dias</t>
        </is>
      </c>
      <c r="AB1537" t="inlineStr">
        <is>
          <t>EMPA</t>
        </is>
      </c>
      <c r="AC1537" t="inlineStr">
        <is>
          <t>Aline</t>
        </is>
      </c>
      <c r="AD1537" t="inlineStr">
        <is>
          <t>31/08/2026</t>
        </is>
      </c>
      <c r="AE1537" t="inlineStr">
        <is>
          <t>10/09/2026</t>
        </is>
      </c>
      <c r="AF1537" t="inlineStr">
        <is>
          <t>Prazo Premissa VALE</t>
        </is>
      </c>
    </row>
    <row r="1538">
      <c r="A1538">
        <v>1536</v>
      </c>
      <c r="B1538">
        <v>1</v>
      </c>
      <c r="C1538" t="inlineStr">
        <is>
          <t>1.4A</t>
        </is>
      </c>
      <c r="D1538" t="inlineStr">
        <is>
          <t>A10</t>
        </is>
      </c>
      <c r="F1538" t="inlineStr">
        <is>
          <t>EMPA</t>
        </is>
      </c>
      <c r="G1538" t="inlineStr">
        <is>
          <t>CLP-020</t>
        </is>
      </c>
      <c r="H1538" t="inlineStr">
        <is>
          <t>Fiscalização</t>
        </is>
      </c>
      <c r="I1538">
        <v>2</v>
      </c>
      <c r="J1538" t="inlineStr">
        <is>
          <t>Bueiros</t>
        </is>
      </c>
      <c r="K1538" t="inlineStr">
        <is>
          <t>2.12</t>
        </is>
      </c>
      <c r="L1538" t="inlineStr">
        <is>
          <t>Bueiro</t>
        </is>
      </c>
      <c r="M1538" t="inlineStr">
        <is>
          <t>Obstrução do dispositivo</t>
        </is>
      </c>
      <c r="N1538" t="inlineStr">
        <is>
          <t>Bueiro triplo assoreado.</t>
        </is>
      </c>
      <c r="O1538" t="inlineStr">
        <is>
          <t>Tipo A</t>
        </is>
      </c>
      <c r="P1538" t="inlineStr">
        <is>
          <t>38+044</t>
        </is>
      </c>
      <c r="Q1538" t="inlineStr">
        <is>
          <t>38+044</t>
        </is>
      </c>
      <c r="R1538" t="inlineStr">
        <is>
          <t>Aberta</t>
        </is>
      </c>
      <c r="T1538" t="inlineStr">
        <is>
          <t>Aline Batista</t>
        </is>
      </c>
      <c r="U1538" t="inlineStr">
        <is>
          <t>29/05/2026</t>
        </is>
      </c>
      <c r="V1538" t="inlineStr">
        <is>
          <t>05/06/2026</t>
        </is>
      </c>
      <c r="W1538">
        <v>5</v>
      </c>
      <c r="AA1538" t="inlineStr">
        <is>
          <t>Aberta -30 dias</t>
        </is>
      </c>
      <c r="AB1538" t="inlineStr">
        <is>
          <t>EMPA</t>
        </is>
      </c>
      <c r="AC1538" t="inlineStr">
        <is>
          <t>Aline</t>
        </is>
      </c>
      <c r="AD1538" t="inlineStr">
        <is>
          <t>31/08/2026</t>
        </is>
      </c>
      <c r="AE1538" t="inlineStr">
        <is>
          <t>10/09/2026</t>
        </is>
      </c>
      <c r="AF1538" t="inlineStr">
        <is>
          <t>Prazo Premissa VALE</t>
        </is>
      </c>
    </row>
    <row r="1539">
      <c r="A1539">
        <v>1537</v>
      </c>
      <c r="B1539">
        <v>1</v>
      </c>
      <c r="C1539" t="inlineStr">
        <is>
          <t>1.4A</t>
        </is>
      </c>
      <c r="D1539" t="inlineStr">
        <is>
          <t>A07</t>
        </is>
      </c>
      <c r="F1539" t="inlineStr">
        <is>
          <t>EMPA</t>
        </is>
      </c>
      <c r="G1539" t="inlineStr">
        <is>
          <t>CLP-020</t>
        </is>
      </c>
      <c r="H1539" t="inlineStr">
        <is>
          <t>Protocolo</t>
        </is>
      </c>
      <c r="I1539">
        <v>2</v>
      </c>
      <c r="J1539" t="inlineStr">
        <is>
          <t>Bueiros</t>
        </is>
      </c>
      <c r="K1539" t="inlineStr">
        <is>
          <t>2.12</t>
        </is>
      </c>
      <c r="L1539" t="inlineStr">
        <is>
          <t>Bueiro</t>
        </is>
      </c>
      <c r="M1539" t="inlineStr">
        <is>
          <t>Acabamento do concreto</t>
        </is>
      </c>
      <c r="N1539" t="inlineStr">
        <is>
          <t>Necessário fechar furos de agulhas</t>
        </is>
      </c>
      <c r="O1539" t="inlineStr">
        <is>
          <t>Tipo A</t>
        </is>
      </c>
      <c r="P1539" t="inlineStr">
        <is>
          <t>36+380</t>
        </is>
      </c>
      <c r="Q1539">
        <v>36380</v>
      </c>
      <c r="R1539" t="inlineStr">
        <is>
          <t>Aberta</t>
        </is>
      </c>
      <c r="T1539" t="inlineStr">
        <is>
          <t>Aline Batista</t>
        </is>
      </c>
      <c r="U1539" t="inlineStr">
        <is>
          <t>29/05/2026</t>
        </is>
      </c>
      <c r="V1539" t="inlineStr">
        <is>
          <t>05/06/2026</t>
        </is>
      </c>
      <c r="W1539">
        <v>5</v>
      </c>
      <c r="AA1539" t="inlineStr">
        <is>
          <t>Aberta -30 dias</t>
        </is>
      </c>
      <c r="AB1539" t="inlineStr">
        <is>
          <t>EMPA</t>
        </is>
      </c>
      <c r="AC1539" t="inlineStr">
        <is>
          <t>Aline</t>
        </is>
      </c>
      <c r="AD1539" t="inlineStr">
        <is>
          <t>31/08/2026</t>
        </is>
      </c>
      <c r="AE1539" t="inlineStr">
        <is>
          <t>10/09/2026</t>
        </is>
      </c>
      <c r="AF1539" t="inlineStr">
        <is>
          <t>Prazo Premissa VALE</t>
        </is>
      </c>
    </row>
    <row r="1540">
      <c r="A1540">
        <v>1538</v>
      </c>
      <c r="B1540">
        <v>1</v>
      </c>
      <c r="C1540" t="inlineStr">
        <is>
          <t>1.4A</t>
        </is>
      </c>
      <c r="D1540" t="inlineStr">
        <is>
          <t>GERAL</t>
        </is>
      </c>
      <c r="F1540" t="inlineStr">
        <is>
          <t>EMPA</t>
        </is>
      </c>
      <c r="G1540" t="inlineStr">
        <is>
          <t>CLP-020</t>
        </is>
      </c>
      <c r="H1540" t="inlineStr">
        <is>
          <t>Protocolo</t>
        </is>
      </c>
      <c r="I1540">
        <v>2</v>
      </c>
      <c r="J1540" t="inlineStr">
        <is>
          <t>Bueiros</t>
        </is>
      </c>
      <c r="K1540" t="inlineStr">
        <is>
          <t>2.14</t>
        </is>
      </c>
      <c r="L1540" t="inlineStr">
        <is>
          <t>As Built</t>
        </is>
      </c>
      <c r="M1540" t="inlineStr">
        <is>
          <t>Documental</t>
        </is>
      </c>
      <c r="N1540" t="inlineStr">
        <is>
          <t>As Built pendente de aprovação.</t>
        </is>
      </c>
      <c r="O1540" t="inlineStr">
        <is>
          <t>Tipo B</t>
        </is>
      </c>
      <c r="P1540" t="inlineStr">
        <is>
          <t>38+100</t>
        </is>
      </c>
      <c r="Q1540" t="inlineStr">
        <is>
          <t>46+200</t>
        </is>
      </c>
      <c r="R1540" t="inlineStr">
        <is>
          <t>Aberta</t>
        </is>
      </c>
      <c r="T1540" t="inlineStr">
        <is>
          <t>Aline Batista</t>
        </is>
      </c>
      <c r="U1540" t="inlineStr">
        <is>
          <t>29/05/2026</t>
        </is>
      </c>
      <c r="V1540" t="inlineStr">
        <is>
          <t>13/06/2026</t>
        </is>
      </c>
      <c r="W1540">
        <v>-3</v>
      </c>
      <c r="AA1540" t="inlineStr">
        <is>
          <t>Aberta -30 dias</t>
        </is>
      </c>
      <c r="AB1540" t="inlineStr">
        <is>
          <t>EMPA</t>
        </is>
      </c>
      <c r="AC1540" t="inlineStr">
        <is>
          <t>Aline</t>
        </is>
      </c>
      <c r="AE1540" t="inlineStr">
        <is>
          <t>19/06/2026</t>
        </is>
      </c>
      <c r="AF1540" t="inlineStr">
        <is>
          <t>Ata de reunião de RM p/ BK</t>
        </is>
      </c>
    </row>
    <row r="1541">
      <c r="A1541">
        <v>1539</v>
      </c>
      <c r="B1541">
        <v>1</v>
      </c>
      <c r="C1541" t="inlineStr">
        <is>
          <t>1.4A</t>
        </is>
      </c>
      <c r="D1541" t="inlineStr">
        <is>
          <t>A09</t>
        </is>
      </c>
      <c r="E1541" t="inlineStr">
        <is>
          <t>LE/LD</t>
        </is>
      </c>
      <c r="F1541" t="inlineStr">
        <is>
          <t>EMPA</t>
        </is>
      </c>
      <c r="G1541" t="inlineStr">
        <is>
          <t>CLP-020</t>
        </is>
      </c>
      <c r="H1541" t="inlineStr">
        <is>
          <t>Protocolo</t>
        </is>
      </c>
      <c r="I1541">
        <v>2</v>
      </c>
      <c r="J1541" t="inlineStr">
        <is>
          <t>Bueiros</t>
        </is>
      </c>
      <c r="K1541" t="inlineStr">
        <is>
          <t>2.11</t>
        </is>
      </c>
      <c r="L1541" t="inlineStr">
        <is>
          <t>Bueiro</t>
        </is>
      </c>
      <c r="M1541" t="inlineStr">
        <is>
          <t>Obstrução do dispositivo</t>
        </is>
      </c>
      <c r="N1541" t="inlineStr">
        <is>
          <t>Obstrução do dispositivo de drenagem.</t>
        </is>
      </c>
      <c r="O1541" t="inlineStr">
        <is>
          <t>Tipo A</t>
        </is>
      </c>
      <c r="P1541" t="inlineStr">
        <is>
          <t>37+500</t>
        </is>
      </c>
      <c r="Q1541">
        <v>37500</v>
      </c>
      <c r="R1541" t="inlineStr">
        <is>
          <t>Aberta</t>
        </is>
      </c>
      <c r="T1541" t="inlineStr">
        <is>
          <t>Aline Batista</t>
        </is>
      </c>
      <c r="U1541" t="inlineStr">
        <is>
          <t>29/05/2026</t>
        </is>
      </c>
      <c r="V1541" t="inlineStr">
        <is>
          <t>05/06/2026</t>
        </is>
      </c>
      <c r="W1541">
        <v>5</v>
      </c>
      <c r="AA1541" t="inlineStr">
        <is>
          <t>Aberta -30 dias</t>
        </is>
      </c>
      <c r="AB1541" t="inlineStr">
        <is>
          <t>EMPA</t>
        </is>
      </c>
      <c r="AC1541" t="inlineStr">
        <is>
          <t>Aline</t>
        </is>
      </c>
      <c r="AD1541" t="inlineStr">
        <is>
          <t>31/08/2026</t>
        </is>
      </c>
      <c r="AE1541" t="inlineStr">
        <is>
          <t>10/09/2026</t>
        </is>
      </c>
      <c r="AF1541" t="inlineStr">
        <is>
          <t>Prazo Premissa VALE</t>
        </is>
      </c>
    </row>
    <row r="1542">
      <c r="A1542">
        <v>1540</v>
      </c>
      <c r="B1542">
        <v>1</v>
      </c>
      <c r="C1542" t="inlineStr">
        <is>
          <t>1.4A</t>
        </is>
      </c>
      <c r="D1542" t="inlineStr">
        <is>
          <t>A01</t>
        </is>
      </c>
      <c r="E1542" t="inlineStr">
        <is>
          <t>LE</t>
        </is>
      </c>
      <c r="F1542" t="inlineStr">
        <is>
          <t>EMPA</t>
        </is>
      </c>
      <c r="G1542" t="inlineStr">
        <is>
          <t>CLP-020</t>
        </is>
      </c>
      <c r="H1542" t="inlineStr">
        <is>
          <t>Protocolo</t>
        </is>
      </c>
      <c r="I1542">
        <v>4</v>
      </c>
      <c r="J1542" t="inlineStr">
        <is>
          <t>Terraplenagem</t>
        </is>
      </c>
      <c r="K1542" t="inlineStr">
        <is>
          <t>4.11</t>
        </is>
      </c>
      <c r="L1542" t="inlineStr">
        <is>
          <t>Talude</t>
        </is>
      </c>
      <c r="M1542" t="inlineStr">
        <is>
          <t>Revegetação/ Hidrossemeadura</t>
        </is>
      </c>
      <c r="N1542" t="inlineStr">
        <is>
          <t>Pendente a aplicação da proteção vegetal na lateral do dispositivo de drenagem</t>
        </is>
      </c>
      <c r="O1542" t="inlineStr">
        <is>
          <t>Tipo A</t>
        </is>
      </c>
      <c r="P1542" t="inlineStr">
        <is>
          <t>31+200</t>
        </is>
      </c>
      <c r="Q1542">
        <v>31200</v>
      </c>
      <c r="R1542" t="inlineStr">
        <is>
          <t>Aberta</t>
        </is>
      </c>
      <c r="T1542" t="inlineStr">
        <is>
          <t>Aline Batista</t>
        </is>
      </c>
      <c r="U1542" t="inlineStr">
        <is>
          <t>29/05/2026</t>
        </is>
      </c>
      <c r="V1542" t="inlineStr">
        <is>
          <t>05/06/2026</t>
        </is>
      </c>
      <c r="W1542">
        <v>5</v>
      </c>
      <c r="AA1542" t="inlineStr">
        <is>
          <t>Aberta -30 dias</t>
        </is>
      </c>
      <c r="AB1542" t="inlineStr">
        <is>
          <t>EMPA</t>
        </is>
      </c>
      <c r="AC1542" t="inlineStr">
        <is>
          <t>Aline</t>
        </is>
      </c>
      <c r="AD1542" t="inlineStr">
        <is>
          <t>17/08/2026</t>
        </is>
      </c>
      <c r="AE1542" t="inlineStr">
        <is>
          <t>28/08/2026</t>
        </is>
      </c>
      <c r="AF1542" t="inlineStr">
        <is>
          <t>Prazo Premissa VALE</t>
        </is>
      </c>
    </row>
    <row r="1543">
      <c r="A1543">
        <v>1541</v>
      </c>
      <c r="B1543">
        <v>1</v>
      </c>
      <c r="C1543" t="inlineStr">
        <is>
          <t>1.4A</t>
        </is>
      </c>
      <c r="D1543" t="inlineStr">
        <is>
          <t>A01</t>
        </is>
      </c>
      <c r="E1543" t="inlineStr">
        <is>
          <t>LD</t>
        </is>
      </c>
      <c r="F1543" t="inlineStr">
        <is>
          <t>EMPA</t>
        </is>
      </c>
      <c r="G1543" t="inlineStr">
        <is>
          <t>CLP-020</t>
        </is>
      </c>
      <c r="H1543" t="inlineStr">
        <is>
          <t>Protocolo</t>
        </is>
      </c>
      <c r="I1543">
        <v>4</v>
      </c>
      <c r="J1543" t="inlineStr">
        <is>
          <t>Terraplenagem</t>
        </is>
      </c>
      <c r="K1543" t="inlineStr">
        <is>
          <t>4.11</t>
        </is>
      </c>
      <c r="L1543" t="inlineStr">
        <is>
          <t>Talude</t>
        </is>
      </c>
      <c r="M1543" t="inlineStr">
        <is>
          <t>Revegetação/ Hidrossemeadura</t>
        </is>
      </c>
      <c r="N1543" t="inlineStr">
        <is>
          <t>Pendente a aplicação da proteção vegetal nos taludes (hidrossemeadura)</t>
        </is>
      </c>
      <c r="O1543" t="inlineStr">
        <is>
          <t>Tipo A</t>
        </is>
      </c>
      <c r="P1543" t="inlineStr">
        <is>
          <t>31+200</t>
        </is>
      </c>
      <c r="Q1543">
        <v>31840</v>
      </c>
      <c r="R1543" t="inlineStr">
        <is>
          <t>Aberta</t>
        </is>
      </c>
      <c r="T1543" t="inlineStr">
        <is>
          <t>Aline Batista</t>
        </is>
      </c>
      <c r="U1543" t="inlineStr">
        <is>
          <t>29/05/2026</t>
        </is>
      </c>
      <c r="V1543" t="inlineStr">
        <is>
          <t>05/06/2026</t>
        </is>
      </c>
      <c r="W1543">
        <v>5</v>
      </c>
      <c r="AA1543" t="inlineStr">
        <is>
          <t>Aberta -30 dias</t>
        </is>
      </c>
      <c r="AB1543" t="inlineStr">
        <is>
          <t>EMPA</t>
        </is>
      </c>
      <c r="AC1543" t="inlineStr">
        <is>
          <t>Aline</t>
        </is>
      </c>
      <c r="AD1543" t="inlineStr">
        <is>
          <t>17/08/2026</t>
        </is>
      </c>
      <c r="AE1543" t="inlineStr">
        <is>
          <t>28/08/2026</t>
        </is>
      </c>
      <c r="AF1543" t="inlineStr">
        <is>
          <t>Prazo Premissa VALE</t>
        </is>
      </c>
    </row>
    <row r="1544">
      <c r="A1544">
        <v>1542</v>
      </c>
      <c r="B1544">
        <v>1</v>
      </c>
      <c r="C1544" t="inlineStr">
        <is>
          <t>1.4A</t>
        </is>
      </c>
      <c r="D1544" t="inlineStr">
        <is>
          <t>A01</t>
        </is>
      </c>
      <c r="E1544" t="inlineStr">
        <is>
          <t>LD/LE</t>
        </is>
      </c>
      <c r="F1544" t="inlineStr">
        <is>
          <t>EMPA</t>
        </is>
      </c>
      <c r="G1544" t="inlineStr">
        <is>
          <t>CLP-020</t>
        </is>
      </c>
      <c r="H1544" t="inlineStr">
        <is>
          <t>Protocolo</t>
        </is>
      </c>
      <c r="I1544">
        <v>4</v>
      </c>
      <c r="J1544" t="inlineStr">
        <is>
          <t>Terraplenagem</t>
        </is>
      </c>
      <c r="K1544" t="inlineStr">
        <is>
          <t>4.11</t>
        </is>
      </c>
      <c r="L1544" t="inlineStr">
        <is>
          <t>Talude</t>
        </is>
      </c>
      <c r="M1544" t="inlineStr">
        <is>
          <t>Revegetação/ Hidrossemeadura</t>
        </is>
      </c>
      <c r="N1544" t="inlineStr">
        <is>
          <t>Pendente a aplicação da proteção vegetal nos taludes (hidrossemeadura)</t>
        </is>
      </c>
      <c r="O1544" t="inlineStr">
        <is>
          <t>Tipo A</t>
        </is>
      </c>
      <c r="P1544" t="inlineStr">
        <is>
          <t>31+420</t>
        </is>
      </c>
      <c r="Q1544">
        <v>31840</v>
      </c>
      <c r="R1544" t="inlineStr">
        <is>
          <t>Aberta</t>
        </is>
      </c>
      <c r="T1544" t="inlineStr">
        <is>
          <t>Aline Batista</t>
        </is>
      </c>
      <c r="U1544" t="inlineStr">
        <is>
          <t>29/05/2026</t>
        </is>
      </c>
      <c r="V1544" t="inlineStr">
        <is>
          <t>05/06/2026</t>
        </is>
      </c>
      <c r="W1544">
        <v>5</v>
      </c>
      <c r="AA1544" t="inlineStr">
        <is>
          <t>Aberta -30 dias</t>
        </is>
      </c>
      <c r="AB1544" t="inlineStr">
        <is>
          <t>EMPA</t>
        </is>
      </c>
      <c r="AC1544" t="inlineStr">
        <is>
          <t>Aline</t>
        </is>
      </c>
      <c r="AD1544" t="inlineStr">
        <is>
          <t>17/08/2026</t>
        </is>
      </c>
      <c r="AE1544" t="inlineStr">
        <is>
          <t>28/08/2026</t>
        </is>
      </c>
      <c r="AF1544" t="inlineStr">
        <is>
          <t>Prazo Premissa VALE</t>
        </is>
      </c>
    </row>
    <row r="1545">
      <c r="A1545">
        <v>1543</v>
      </c>
      <c r="B1545">
        <v>1</v>
      </c>
      <c r="C1545" t="inlineStr">
        <is>
          <t>1.4A</t>
        </is>
      </c>
      <c r="D1545" t="inlineStr">
        <is>
          <t>A01</t>
        </is>
      </c>
      <c r="E1545" t="inlineStr">
        <is>
          <t>LD</t>
        </is>
      </c>
      <c r="F1545" t="inlineStr">
        <is>
          <t>EMPA</t>
        </is>
      </c>
      <c r="G1545" t="inlineStr">
        <is>
          <t>CLP-020</t>
        </is>
      </c>
      <c r="H1545" t="inlineStr">
        <is>
          <t>Protocolo</t>
        </is>
      </c>
      <c r="I1545">
        <v>4</v>
      </c>
      <c r="J1545" t="inlineStr">
        <is>
          <t>Terraplenagem</t>
        </is>
      </c>
      <c r="K1545" t="inlineStr">
        <is>
          <t>4.4</t>
        </is>
      </c>
      <c r="L1545" t="inlineStr">
        <is>
          <t>Talude</t>
        </is>
      </c>
      <c r="M1545" t="inlineStr">
        <is>
          <t>Material Solto</t>
        </is>
      </c>
      <c r="N1545" t="inlineStr">
        <is>
          <t>Material depositado de forma inadequada sobre o talude</t>
        </is>
      </c>
      <c r="O1545" t="inlineStr">
        <is>
          <t>Tipo A</t>
        </is>
      </c>
      <c r="P1545" t="inlineStr">
        <is>
          <t>31+500</t>
        </is>
      </c>
      <c r="Q1545">
        <v>31500</v>
      </c>
      <c r="R1545" t="inlineStr">
        <is>
          <t>Aberta</t>
        </is>
      </c>
      <c r="T1545" t="inlineStr">
        <is>
          <t>Aline Batista</t>
        </is>
      </c>
      <c r="U1545" t="inlineStr">
        <is>
          <t>29/05/2026</t>
        </is>
      </c>
      <c r="V1545" t="inlineStr">
        <is>
          <t>05/06/2026</t>
        </is>
      </c>
      <c r="W1545">
        <v>5</v>
      </c>
      <c r="AA1545" t="inlineStr">
        <is>
          <t>Aberta -30 dias</t>
        </is>
      </c>
      <c r="AB1545" t="inlineStr">
        <is>
          <t>EMPA</t>
        </is>
      </c>
      <c r="AC1545" t="inlineStr">
        <is>
          <t>Aline</t>
        </is>
      </c>
      <c r="AD1545" t="inlineStr">
        <is>
          <t>17/08/2026</t>
        </is>
      </c>
      <c r="AE1545" t="inlineStr">
        <is>
          <t>28/08/2026</t>
        </is>
      </c>
      <c r="AF1545" t="inlineStr">
        <is>
          <t>Prazo Premissa VALE</t>
        </is>
      </c>
    </row>
    <row r="1546">
      <c r="A1546">
        <v>1544</v>
      </c>
      <c r="B1546">
        <v>1</v>
      </c>
      <c r="C1546" t="inlineStr">
        <is>
          <t>1.4A</t>
        </is>
      </c>
      <c r="D1546" t="inlineStr">
        <is>
          <t>A01</t>
        </is>
      </c>
      <c r="E1546" t="inlineStr">
        <is>
          <t>LD</t>
        </is>
      </c>
      <c r="F1546" t="inlineStr">
        <is>
          <t>EMPA</t>
        </is>
      </c>
      <c r="G1546" t="inlineStr">
        <is>
          <t>CLP-020</t>
        </is>
      </c>
      <c r="H1546" t="inlineStr">
        <is>
          <t>Protocolo</t>
        </is>
      </c>
      <c r="I1546">
        <v>4</v>
      </c>
      <c r="J1546" t="inlineStr">
        <is>
          <t>Terraplenagem</t>
        </is>
      </c>
      <c r="K1546" t="inlineStr">
        <is>
          <t>4.11</t>
        </is>
      </c>
      <c r="L1546" t="inlineStr">
        <is>
          <t>Talude</t>
        </is>
      </c>
      <c r="M1546" t="inlineStr">
        <is>
          <t>Revegetação/ Hidrossemeadura</t>
        </is>
      </c>
      <c r="N1546" t="inlineStr">
        <is>
          <t>Pendente a aplicação da proteção vegetal nos taludes (hidrossemeadura)</t>
        </is>
      </c>
      <c r="O1546" t="inlineStr">
        <is>
          <t>Tipo A</t>
        </is>
      </c>
      <c r="P1546" t="inlineStr">
        <is>
          <t>31+900</t>
        </is>
      </c>
      <c r="Q1546">
        <v>32100</v>
      </c>
      <c r="R1546" t="inlineStr">
        <is>
          <t>Aberta</t>
        </is>
      </c>
      <c r="T1546" t="inlineStr">
        <is>
          <t>Aline Batista</t>
        </is>
      </c>
      <c r="U1546" t="inlineStr">
        <is>
          <t>29/05/2026</t>
        </is>
      </c>
      <c r="V1546" t="inlineStr">
        <is>
          <t>05/06/2026</t>
        </is>
      </c>
      <c r="W1546">
        <v>5</v>
      </c>
      <c r="AA1546" t="inlineStr">
        <is>
          <t>Aberta -30 dias</t>
        </is>
      </c>
      <c r="AB1546" t="inlineStr">
        <is>
          <t>EMPA</t>
        </is>
      </c>
      <c r="AC1546" t="inlineStr">
        <is>
          <t>Aline</t>
        </is>
      </c>
      <c r="AD1546" t="inlineStr">
        <is>
          <t>17/08/2026</t>
        </is>
      </c>
      <c r="AE1546" t="inlineStr">
        <is>
          <t>28/08/2026</t>
        </is>
      </c>
      <c r="AF1546" t="inlineStr">
        <is>
          <t>Prazo Premissa VALE</t>
        </is>
      </c>
    </row>
    <row r="1547">
      <c r="A1547">
        <v>1545</v>
      </c>
      <c r="B1547">
        <v>1</v>
      </c>
      <c r="C1547" t="inlineStr">
        <is>
          <t>1.4A</t>
        </is>
      </c>
      <c r="D1547" t="inlineStr">
        <is>
          <t>C02</t>
        </is>
      </c>
      <c r="F1547" t="inlineStr">
        <is>
          <t>EMPA</t>
        </is>
      </c>
      <c r="G1547" t="inlineStr">
        <is>
          <t>CLP-020</t>
        </is>
      </c>
      <c r="H1547" t="inlineStr">
        <is>
          <t>Protocolo</t>
        </is>
      </c>
      <c r="I1547">
        <v>4</v>
      </c>
      <c r="J1547" t="inlineStr">
        <is>
          <t>Terraplenagem</t>
        </is>
      </c>
      <c r="K1547" t="inlineStr">
        <is>
          <t>4.11</t>
        </is>
      </c>
      <c r="L1547" t="inlineStr">
        <is>
          <t>Talude</t>
        </is>
      </c>
      <c r="M1547" t="inlineStr">
        <is>
          <t>Revegetação/ Hidrossemeadura</t>
        </is>
      </c>
      <c r="N1547" t="inlineStr">
        <is>
          <t>Pendente a aplicação da proteção vegetal nos taludes (hidrossemeadura)</t>
        </is>
      </c>
      <c r="O1547" t="inlineStr">
        <is>
          <t>Tipo A</t>
        </is>
      </c>
      <c r="P1547" t="inlineStr">
        <is>
          <t>32+100</t>
        </is>
      </c>
      <c r="Q1547">
        <v>32820</v>
      </c>
      <c r="R1547" t="inlineStr">
        <is>
          <t>Aberta</t>
        </is>
      </c>
      <c r="T1547" t="inlineStr">
        <is>
          <t>Aline Batista</t>
        </is>
      </c>
      <c r="U1547" t="inlineStr">
        <is>
          <t>29/05/2026</t>
        </is>
      </c>
      <c r="V1547" t="inlineStr">
        <is>
          <t>05/06/2026</t>
        </is>
      </c>
      <c r="W1547">
        <v>5</v>
      </c>
      <c r="AA1547" t="inlineStr">
        <is>
          <t>Aberta -30 dias</t>
        </is>
      </c>
      <c r="AB1547" t="inlineStr">
        <is>
          <t>EMPA</t>
        </is>
      </c>
      <c r="AC1547" t="inlineStr">
        <is>
          <t>Aline</t>
        </is>
      </c>
      <c r="AD1547" t="inlineStr">
        <is>
          <t>17/08/2026</t>
        </is>
      </c>
      <c r="AE1547" t="inlineStr">
        <is>
          <t>28/08/2026</t>
        </is>
      </c>
      <c r="AF1547" t="inlineStr">
        <is>
          <t>Prazo Premissa VALE</t>
        </is>
      </c>
    </row>
    <row r="1548">
      <c r="A1548">
        <v>1546</v>
      </c>
      <c r="B1548">
        <v>1</v>
      </c>
      <c r="C1548" t="inlineStr">
        <is>
          <t>1.4A</t>
        </is>
      </c>
      <c r="D1548" t="inlineStr">
        <is>
          <t>A02</t>
        </is>
      </c>
      <c r="E1548" t="inlineStr">
        <is>
          <t>LD</t>
        </is>
      </c>
      <c r="F1548" t="inlineStr">
        <is>
          <t>EMPA</t>
        </is>
      </c>
      <c r="G1548" t="inlineStr">
        <is>
          <t>CLP-020</t>
        </is>
      </c>
      <c r="H1548" t="inlineStr">
        <is>
          <t>Protocolo</t>
        </is>
      </c>
      <c r="I1548">
        <v>4</v>
      </c>
      <c r="J1548" t="inlineStr">
        <is>
          <t>Terraplenagem</t>
        </is>
      </c>
      <c r="K1548" t="inlineStr">
        <is>
          <t>4.11</t>
        </is>
      </c>
      <c r="L1548" t="inlineStr">
        <is>
          <t>Talude</t>
        </is>
      </c>
      <c r="M1548" t="inlineStr">
        <is>
          <t>Revegetação/ Hidrossemeadura</t>
        </is>
      </c>
      <c r="N1548" t="inlineStr">
        <is>
          <t>Pendente a aplicação da proteção vegetal nos taludes (hidrossemeadura)</t>
        </is>
      </c>
      <c r="O1548" t="inlineStr">
        <is>
          <t>Tipo A</t>
        </is>
      </c>
      <c r="P1548" t="inlineStr">
        <is>
          <t>32+820</t>
        </is>
      </c>
      <c r="Q1548">
        <v>33180</v>
      </c>
      <c r="R1548" t="inlineStr">
        <is>
          <t>Aberta</t>
        </is>
      </c>
      <c r="T1548" t="inlineStr">
        <is>
          <t>Aline Batista</t>
        </is>
      </c>
      <c r="U1548" t="inlineStr">
        <is>
          <t>29/05/2026</t>
        </is>
      </c>
      <c r="V1548" t="inlineStr">
        <is>
          <t>05/06/2026</t>
        </is>
      </c>
      <c r="W1548">
        <v>5</v>
      </c>
      <c r="AA1548" t="inlineStr">
        <is>
          <t>Aberta -30 dias</t>
        </is>
      </c>
      <c r="AB1548" t="inlineStr">
        <is>
          <t>EMPA</t>
        </is>
      </c>
      <c r="AC1548" t="inlineStr">
        <is>
          <t>Aline</t>
        </is>
      </c>
      <c r="AD1548" t="inlineStr">
        <is>
          <t>17/08/2026</t>
        </is>
      </c>
      <c r="AE1548" t="inlineStr">
        <is>
          <t>28/08/2026</t>
        </is>
      </c>
      <c r="AF1548" t="inlineStr">
        <is>
          <t>Prazo Premissa VALE</t>
        </is>
      </c>
    </row>
    <row r="1549">
      <c r="A1549">
        <v>1547</v>
      </c>
      <c r="B1549">
        <v>1</v>
      </c>
      <c r="C1549" t="inlineStr">
        <is>
          <t>1.4A</t>
        </is>
      </c>
      <c r="D1549" t="inlineStr">
        <is>
          <t>A03</t>
        </is>
      </c>
      <c r="E1549" t="inlineStr">
        <is>
          <t>LD</t>
        </is>
      </c>
      <c r="F1549" t="inlineStr">
        <is>
          <t>EMPA</t>
        </is>
      </c>
      <c r="G1549" t="inlineStr">
        <is>
          <t>CLP-020</t>
        </is>
      </c>
      <c r="H1549" t="inlineStr">
        <is>
          <t>Protocolo</t>
        </is>
      </c>
      <c r="I1549">
        <v>4</v>
      </c>
      <c r="J1549" t="inlineStr">
        <is>
          <t>Terraplenagem</t>
        </is>
      </c>
      <c r="K1549" t="inlineStr">
        <is>
          <t>4.20</t>
        </is>
      </c>
      <c r="L1549" t="inlineStr">
        <is>
          <t>Plataforma</t>
        </is>
      </c>
      <c r="M1549" t="inlineStr">
        <is>
          <t>Erosões</t>
        </is>
      </c>
      <c r="N1549" t="inlineStr">
        <is>
          <t>Processo erosivo na plataforma do acesso viário localizado no lado direito da ferrovia.</t>
        </is>
      </c>
      <c r="O1549" t="inlineStr">
        <is>
          <t>Tipo A</t>
        </is>
      </c>
      <c r="P1549" t="inlineStr">
        <is>
          <t>33+400</t>
        </is>
      </c>
      <c r="Q1549">
        <v>33400</v>
      </c>
      <c r="R1549" t="inlineStr">
        <is>
          <t>Aberta</t>
        </is>
      </c>
      <c r="T1549" t="inlineStr">
        <is>
          <t>Aline Batista</t>
        </is>
      </c>
      <c r="U1549" t="inlineStr">
        <is>
          <t>29/05/2026</t>
        </is>
      </c>
      <c r="V1549" t="inlineStr">
        <is>
          <t>05/06/2026</t>
        </is>
      </c>
      <c r="W1549">
        <v>5</v>
      </c>
      <c r="AA1549" t="inlineStr">
        <is>
          <t>Aberta -30 dias</t>
        </is>
      </c>
      <c r="AB1549" t="inlineStr">
        <is>
          <t>EMPA</t>
        </is>
      </c>
      <c r="AC1549" t="inlineStr">
        <is>
          <t>Aline</t>
        </is>
      </c>
      <c r="AD1549" t="inlineStr">
        <is>
          <t>31/08/2026</t>
        </is>
      </c>
      <c r="AE1549" t="inlineStr">
        <is>
          <t>10/09/2026</t>
        </is>
      </c>
      <c r="AF1549" t="inlineStr">
        <is>
          <t>Prazo Premissa VALE</t>
        </is>
      </c>
    </row>
    <row r="1550">
      <c r="A1550">
        <v>1548</v>
      </c>
      <c r="B1550">
        <v>1</v>
      </c>
      <c r="C1550" t="inlineStr">
        <is>
          <t>1.4A</t>
        </is>
      </c>
      <c r="D1550" t="inlineStr">
        <is>
          <t>A03</t>
        </is>
      </c>
      <c r="E1550" t="inlineStr">
        <is>
          <t>LE</t>
        </is>
      </c>
      <c r="F1550" t="inlineStr">
        <is>
          <t>EMPA</t>
        </is>
      </c>
      <c r="G1550" t="inlineStr">
        <is>
          <t>CLP-020</t>
        </is>
      </c>
      <c r="H1550" t="inlineStr">
        <is>
          <t>Protocolo</t>
        </is>
      </c>
      <c r="I1550">
        <v>4</v>
      </c>
      <c r="J1550" t="inlineStr">
        <is>
          <t>Terraplenagem</t>
        </is>
      </c>
      <c r="K1550" t="inlineStr">
        <is>
          <t>4.11</t>
        </is>
      </c>
      <c r="L1550" t="inlineStr">
        <is>
          <t>Talude</t>
        </is>
      </c>
      <c r="M1550" t="inlineStr">
        <is>
          <t>Revegetação/ Hidrossemeadura</t>
        </is>
      </c>
      <c r="N1550" t="inlineStr">
        <is>
          <t>Falhas na proteção vegetal dos taludes (hidrossemeadura)</t>
        </is>
      </c>
      <c r="O1550" t="inlineStr">
        <is>
          <t>Tipo A</t>
        </is>
      </c>
      <c r="P1550" t="inlineStr">
        <is>
          <t>32+260</t>
        </is>
      </c>
      <c r="Q1550">
        <v>34080</v>
      </c>
      <c r="R1550" t="inlineStr">
        <is>
          <t>Aberta</t>
        </is>
      </c>
      <c r="T1550" t="inlineStr">
        <is>
          <t>Aline Batista</t>
        </is>
      </c>
      <c r="U1550" t="inlineStr">
        <is>
          <t>29/05/2026</t>
        </is>
      </c>
      <c r="V1550" t="inlineStr">
        <is>
          <t>05/06/2026</t>
        </is>
      </c>
      <c r="W1550">
        <v>5</v>
      </c>
      <c r="AA1550" t="inlineStr">
        <is>
          <t>Aberta -30 dias</t>
        </is>
      </c>
      <c r="AB1550" t="inlineStr">
        <is>
          <t>EMPA</t>
        </is>
      </c>
      <c r="AC1550" t="inlineStr">
        <is>
          <t>Aline</t>
        </is>
      </c>
      <c r="AD1550" t="inlineStr">
        <is>
          <t>17/08/2026</t>
        </is>
      </c>
      <c r="AE1550" t="inlineStr">
        <is>
          <t>28/08/2026</t>
        </is>
      </c>
      <c r="AF1550" t="inlineStr">
        <is>
          <t>Prazo Premissa VALE</t>
        </is>
      </c>
    </row>
    <row r="1551">
      <c r="A1551">
        <v>1549</v>
      </c>
      <c r="B1551">
        <v>1</v>
      </c>
      <c r="C1551" t="inlineStr">
        <is>
          <t>1.4A</t>
        </is>
      </c>
      <c r="D1551" t="inlineStr">
        <is>
          <t>A03</t>
        </is>
      </c>
      <c r="E1551" t="inlineStr">
        <is>
          <t>LD/LE</t>
        </is>
      </c>
      <c r="F1551" t="inlineStr">
        <is>
          <t>EMPA</t>
        </is>
      </c>
      <c r="G1551" t="inlineStr">
        <is>
          <t>CLP-020</t>
        </is>
      </c>
      <c r="H1551" t="inlineStr">
        <is>
          <t>Protocolo</t>
        </is>
      </c>
      <c r="I1551">
        <v>4</v>
      </c>
      <c r="J1551" t="inlineStr">
        <is>
          <t>Terraplenagem</t>
        </is>
      </c>
      <c r="K1551" t="inlineStr">
        <is>
          <t>4.11</t>
        </is>
      </c>
      <c r="L1551" t="inlineStr">
        <is>
          <t>Talude</t>
        </is>
      </c>
      <c r="M1551" t="inlineStr">
        <is>
          <t>Revegetação/ Hidrossemeadura</t>
        </is>
      </c>
      <c r="N1551" t="inlineStr">
        <is>
          <t>Falhas na proteção vegetal dos taludes (hidrossemeadura)</t>
        </is>
      </c>
      <c r="O1551" t="inlineStr">
        <is>
          <t>Tipo A</t>
        </is>
      </c>
      <c r="P1551" t="inlineStr">
        <is>
          <t>32+260</t>
        </is>
      </c>
      <c r="Q1551">
        <v>34080</v>
      </c>
      <c r="R1551" t="inlineStr">
        <is>
          <t>Aberta</t>
        </is>
      </c>
      <c r="T1551" t="inlineStr">
        <is>
          <t>Aline Batista</t>
        </is>
      </c>
      <c r="U1551" t="inlineStr">
        <is>
          <t>29/05/2026</t>
        </is>
      </c>
      <c r="V1551" t="inlineStr">
        <is>
          <t>05/06/2026</t>
        </is>
      </c>
      <c r="W1551">
        <v>5</v>
      </c>
      <c r="AA1551" t="inlineStr">
        <is>
          <t>Aberta -30 dias</t>
        </is>
      </c>
      <c r="AB1551" t="inlineStr">
        <is>
          <t>EMPA</t>
        </is>
      </c>
      <c r="AC1551" t="inlineStr">
        <is>
          <t>Aline</t>
        </is>
      </c>
      <c r="AD1551" t="inlineStr">
        <is>
          <t>17/08/2026</t>
        </is>
      </c>
      <c r="AE1551" t="inlineStr">
        <is>
          <t>28/08/2026</t>
        </is>
      </c>
      <c r="AF1551" t="inlineStr">
        <is>
          <t>Prazo Premissa VALE</t>
        </is>
      </c>
    </row>
    <row r="1552">
      <c r="A1552">
        <v>1550</v>
      </c>
      <c r="B1552">
        <v>1</v>
      </c>
      <c r="C1552" t="inlineStr">
        <is>
          <t>1.4A</t>
        </is>
      </c>
      <c r="D1552" t="inlineStr">
        <is>
          <t>A04</t>
        </is>
      </c>
      <c r="E1552" t="inlineStr">
        <is>
          <t>LD</t>
        </is>
      </c>
      <c r="F1552" t="inlineStr">
        <is>
          <t>EMPA</t>
        </is>
      </c>
      <c r="G1552" t="inlineStr">
        <is>
          <t>CLP-020</t>
        </is>
      </c>
      <c r="H1552" t="inlineStr">
        <is>
          <t>Protocolo</t>
        </is>
      </c>
      <c r="I1552">
        <v>4</v>
      </c>
      <c r="J1552" t="inlineStr">
        <is>
          <t>Terraplenagem</t>
        </is>
      </c>
      <c r="K1552" t="inlineStr">
        <is>
          <t>4.11</t>
        </is>
      </c>
      <c r="L1552" t="inlineStr">
        <is>
          <t>Talude</t>
        </is>
      </c>
      <c r="M1552" t="inlineStr">
        <is>
          <t>Revegetação/ Hidrossemeadura</t>
        </is>
      </c>
      <c r="N1552" t="inlineStr">
        <is>
          <t>Falhas na proteção vegetal dos taludes (hidrossemeadura)</t>
        </is>
      </c>
      <c r="O1552" t="inlineStr">
        <is>
          <t>Tipo A</t>
        </is>
      </c>
      <c r="P1552" t="inlineStr">
        <is>
          <t>34+500</t>
        </is>
      </c>
      <c r="Q1552">
        <v>34660</v>
      </c>
      <c r="R1552" t="inlineStr">
        <is>
          <t>Aberta</t>
        </is>
      </c>
      <c r="T1552" t="inlineStr">
        <is>
          <t>Aline Batista</t>
        </is>
      </c>
      <c r="U1552" t="inlineStr">
        <is>
          <t>29/05/2026</t>
        </is>
      </c>
      <c r="V1552" t="inlineStr">
        <is>
          <t>05/06/2026</t>
        </is>
      </c>
      <c r="W1552">
        <v>5</v>
      </c>
      <c r="AA1552" t="inlineStr">
        <is>
          <t>Aberta -30 dias</t>
        </is>
      </c>
      <c r="AB1552" t="inlineStr">
        <is>
          <t>EMPA</t>
        </is>
      </c>
      <c r="AC1552" t="inlineStr">
        <is>
          <t>Aline</t>
        </is>
      </c>
      <c r="AD1552" t="inlineStr">
        <is>
          <t>31/08/2026</t>
        </is>
      </c>
      <c r="AE1552" t="inlineStr">
        <is>
          <t>10/09/2026</t>
        </is>
      </c>
      <c r="AF1552" t="inlineStr">
        <is>
          <t>Prazo Premissa VALE</t>
        </is>
      </c>
    </row>
    <row r="1553">
      <c r="A1553">
        <v>1551</v>
      </c>
      <c r="B1553">
        <v>1</v>
      </c>
      <c r="C1553" t="inlineStr">
        <is>
          <t>1.4A</t>
        </is>
      </c>
      <c r="D1553" t="inlineStr">
        <is>
          <t>A04</t>
        </is>
      </c>
      <c r="E1553" t="inlineStr">
        <is>
          <t>LE</t>
        </is>
      </c>
      <c r="F1553" t="inlineStr">
        <is>
          <t>EMPA</t>
        </is>
      </c>
      <c r="G1553" t="inlineStr">
        <is>
          <t>CLP-020</t>
        </is>
      </c>
      <c r="H1553" t="inlineStr">
        <is>
          <t>Protocolo</t>
        </is>
      </c>
      <c r="I1553">
        <v>4</v>
      </c>
      <c r="J1553" t="inlineStr">
        <is>
          <t>Terraplenagem</t>
        </is>
      </c>
      <c r="K1553" t="inlineStr">
        <is>
          <t>4.11</t>
        </is>
      </c>
      <c r="L1553" t="inlineStr">
        <is>
          <t>Talude</t>
        </is>
      </c>
      <c r="M1553" t="inlineStr">
        <is>
          <t>Revegetação/ Hidrossemeadura</t>
        </is>
      </c>
      <c r="N1553" t="inlineStr">
        <is>
          <t>Falhas na proteção vegetal dos taludes (hidrossemeadura)</t>
        </is>
      </c>
      <c r="O1553" t="inlineStr">
        <is>
          <t>Tipo A</t>
        </is>
      </c>
      <c r="P1553" t="inlineStr">
        <is>
          <t>34+500</t>
        </is>
      </c>
      <c r="Q1553">
        <v>34660</v>
      </c>
      <c r="R1553" t="inlineStr">
        <is>
          <t>Aberta</t>
        </is>
      </c>
      <c r="T1553" t="inlineStr">
        <is>
          <t>Aline Batista</t>
        </is>
      </c>
      <c r="U1553" t="inlineStr">
        <is>
          <t>29/05/2026</t>
        </is>
      </c>
      <c r="V1553" t="inlineStr">
        <is>
          <t>05/06/2026</t>
        </is>
      </c>
      <c r="W1553">
        <v>5</v>
      </c>
      <c r="AA1553" t="inlineStr">
        <is>
          <t>Aberta -30 dias</t>
        </is>
      </c>
      <c r="AB1553" t="inlineStr">
        <is>
          <t>EMPA</t>
        </is>
      </c>
      <c r="AC1553" t="inlineStr">
        <is>
          <t>Aline</t>
        </is>
      </c>
      <c r="AD1553" t="inlineStr">
        <is>
          <t>31/08/2026</t>
        </is>
      </c>
      <c r="AE1553" t="inlineStr">
        <is>
          <t>10/09/2026</t>
        </is>
      </c>
      <c r="AF1553" t="inlineStr">
        <is>
          <t>Prazo Premissa VALE</t>
        </is>
      </c>
    </row>
    <row r="1554">
      <c r="A1554">
        <v>1552</v>
      </c>
      <c r="B1554">
        <v>1</v>
      </c>
      <c r="C1554" t="inlineStr">
        <is>
          <t>1.4A</t>
        </is>
      </c>
      <c r="D1554" t="inlineStr">
        <is>
          <t>C05</t>
        </is>
      </c>
      <c r="E1554" t="inlineStr">
        <is>
          <t>LD/LE</t>
        </is>
      </c>
      <c r="F1554" t="inlineStr">
        <is>
          <t>VALE</t>
        </is>
      </c>
      <c r="G1554" t="inlineStr">
        <is>
          <t>CLP-015</t>
        </is>
      </c>
      <c r="H1554" t="inlineStr">
        <is>
          <t>Protocolo</t>
        </is>
      </c>
      <c r="I1554">
        <v>4</v>
      </c>
      <c r="J1554" t="inlineStr">
        <is>
          <t>Terraplenagem</t>
        </is>
      </c>
      <c r="K1554" t="inlineStr">
        <is>
          <t>4.11</t>
        </is>
      </c>
      <c r="L1554" t="inlineStr">
        <is>
          <t>Talude</t>
        </is>
      </c>
      <c r="M1554" t="inlineStr">
        <is>
          <t>Revegetação/ Hidrossemeadura</t>
        </is>
      </c>
      <c r="N1554" t="inlineStr">
        <is>
          <t>Pendente a aplicação da proteção vegetal nos taludes (hidrossemeadura)</t>
        </is>
      </c>
      <c r="O1554" t="inlineStr">
        <is>
          <t>Tipo A</t>
        </is>
      </c>
      <c r="P1554" t="inlineStr">
        <is>
          <t>34+760</t>
        </is>
      </c>
      <c r="Q1554">
        <v>35080</v>
      </c>
      <c r="R1554" t="inlineStr">
        <is>
          <t>Aberta</t>
        </is>
      </c>
      <c r="T1554" t="inlineStr">
        <is>
          <t>Aline Batista</t>
        </is>
      </c>
      <c r="U1554" t="inlineStr">
        <is>
          <t>25/05/2026</t>
        </is>
      </c>
      <c r="V1554" t="inlineStr">
        <is>
          <t>01/06/2026</t>
        </is>
      </c>
      <c r="W1554">
        <v>9</v>
      </c>
      <c r="AA1554" t="inlineStr">
        <is>
          <t>Aberta -30 dias</t>
        </is>
      </c>
      <c r="AB1554" t="inlineStr">
        <is>
          <t>CT-REMANESCENTE</t>
        </is>
      </c>
      <c r="AC1554" t="inlineStr">
        <is>
          <t>Aline</t>
        </is>
      </c>
      <c r="AD1554" t="inlineStr">
        <is>
          <t>17/07/2026</t>
        </is>
      </c>
      <c r="AE1554" t="inlineStr">
        <is>
          <t>29/07/2026</t>
        </is>
      </c>
      <c r="AF1554" t="inlineStr">
        <is>
          <t>Prazo Premissa VALE</t>
        </is>
      </c>
    </row>
    <row r="1555">
      <c r="A1555">
        <v>1553</v>
      </c>
      <c r="B1555">
        <v>1</v>
      </c>
      <c r="C1555" t="inlineStr">
        <is>
          <t>1.4A</t>
        </is>
      </c>
      <c r="D1555" t="inlineStr">
        <is>
          <t>C05</t>
        </is>
      </c>
      <c r="E1555" t="inlineStr">
        <is>
          <t>LD/LE</t>
        </is>
      </c>
      <c r="F1555" t="inlineStr">
        <is>
          <t>VALE</t>
        </is>
      </c>
      <c r="G1555" t="inlineStr">
        <is>
          <t>CLP-015</t>
        </is>
      </c>
      <c r="H1555" t="inlineStr">
        <is>
          <t>Protocolo</t>
        </is>
      </c>
      <c r="I1555">
        <v>4</v>
      </c>
      <c r="J1555" t="inlineStr">
        <is>
          <t>Terraplenagem</t>
        </is>
      </c>
      <c r="K1555" t="inlineStr">
        <is>
          <t>4.22</t>
        </is>
      </c>
      <c r="L1555" t="inlineStr">
        <is>
          <t>Talude</t>
        </is>
      </c>
      <c r="M1555" t="inlineStr">
        <is>
          <t>Execuçao divergente do projeto</t>
        </is>
      </c>
      <c r="N1555" t="inlineStr">
        <is>
          <t>Verifica-se que o pé do talude apresenta divergência em relação à geometria prevista em projeto, sendo necessária a execução de ajustes para adequação às condições projetadas.</t>
        </is>
      </c>
      <c r="O1555" t="inlineStr">
        <is>
          <t>Tipo A</t>
        </is>
      </c>
      <c r="P1555" t="inlineStr">
        <is>
          <t>34+860</t>
        </is>
      </c>
      <c r="Q1555">
        <v>34860</v>
      </c>
      <c r="R1555" t="inlineStr">
        <is>
          <t>Aberta</t>
        </is>
      </c>
      <c r="T1555" t="inlineStr">
        <is>
          <t>Aline Batista</t>
        </is>
      </c>
      <c r="U1555" t="inlineStr">
        <is>
          <t>25/05/2026</t>
        </is>
      </c>
      <c r="V1555" t="inlineStr">
        <is>
          <t>01/06/2026</t>
        </is>
      </c>
      <c r="W1555">
        <v>9</v>
      </c>
      <c r="AA1555" t="inlineStr">
        <is>
          <t>Aberta -30 dias</t>
        </is>
      </c>
      <c r="AB1555" t="inlineStr">
        <is>
          <t>CT-REMANESCENTE</t>
        </is>
      </c>
      <c r="AC1555" t="inlineStr">
        <is>
          <t>Aline</t>
        </is>
      </c>
      <c r="AD1555" t="inlineStr">
        <is>
          <t>17/07/2026</t>
        </is>
      </c>
      <c r="AE1555" t="inlineStr">
        <is>
          <t>29/07/2026</t>
        </is>
      </c>
      <c r="AF1555" t="inlineStr">
        <is>
          <t>Prazo Premissa VALE</t>
        </is>
      </c>
    </row>
    <row r="1556">
      <c r="A1556">
        <v>1554</v>
      </c>
      <c r="B1556">
        <v>1</v>
      </c>
      <c r="C1556" t="inlineStr">
        <is>
          <t>1.4A</t>
        </is>
      </c>
      <c r="D1556" t="inlineStr">
        <is>
          <t>C05</t>
        </is>
      </c>
      <c r="E1556" t="inlineStr">
        <is>
          <t>LD/LE</t>
        </is>
      </c>
      <c r="F1556" t="inlineStr">
        <is>
          <t>VALE</t>
        </is>
      </c>
      <c r="G1556" t="inlineStr">
        <is>
          <t>CLP-015</t>
        </is>
      </c>
      <c r="H1556" t="inlineStr">
        <is>
          <t>Protocolo</t>
        </is>
      </c>
      <c r="I1556">
        <v>4</v>
      </c>
      <c r="J1556" t="inlineStr">
        <is>
          <t>Terraplenagem</t>
        </is>
      </c>
      <c r="K1556" t="inlineStr">
        <is>
          <t>4.4</t>
        </is>
      </c>
      <c r="L1556" t="inlineStr">
        <is>
          <t>Sublastro</t>
        </is>
      </c>
      <c r="M1556" t="inlineStr">
        <is>
          <t>Material Solto</t>
        </is>
      </c>
      <c r="N1556" t="inlineStr">
        <is>
          <t>Foi observada a presença de material solto adjacente aos dispositivos de drenagem, localizado no pé do talude, proveniente das atividades de limpeza dos dispositivos. Recomenda-se a remoção e destinação adequada desse material.</t>
        </is>
      </c>
      <c r="O1556" t="inlineStr">
        <is>
          <t>Tipo A</t>
        </is>
      </c>
      <c r="P1556" t="inlineStr">
        <is>
          <t>34+700</t>
        </is>
      </c>
      <c r="Q1556">
        <v>35160</v>
      </c>
      <c r="R1556" t="inlineStr">
        <is>
          <t>Aberta</t>
        </is>
      </c>
      <c r="T1556" t="inlineStr">
        <is>
          <t>Aline Batista</t>
        </is>
      </c>
      <c r="U1556" t="inlineStr">
        <is>
          <t>25/05/2026</t>
        </is>
      </c>
      <c r="V1556" t="inlineStr">
        <is>
          <t>01/06/2026</t>
        </is>
      </c>
      <c r="W1556">
        <v>9</v>
      </c>
      <c r="AA1556" t="inlineStr">
        <is>
          <t>Aberta -30 dias</t>
        </is>
      </c>
      <c r="AB1556" t="inlineStr">
        <is>
          <t>CT-REMANESCENTE</t>
        </is>
      </c>
      <c r="AC1556" t="inlineStr">
        <is>
          <t>Aline</t>
        </is>
      </c>
      <c r="AD1556" t="inlineStr">
        <is>
          <t>17/07/2026</t>
        </is>
      </c>
      <c r="AE1556" t="inlineStr">
        <is>
          <t>29/07/2026</t>
        </is>
      </c>
      <c r="AF1556" t="inlineStr">
        <is>
          <t>Prazo Premissa VALE</t>
        </is>
      </c>
    </row>
    <row r="1557">
      <c r="A1557">
        <v>1555</v>
      </c>
      <c r="B1557">
        <v>1</v>
      </c>
      <c r="C1557" t="inlineStr">
        <is>
          <t>1.4A</t>
        </is>
      </c>
      <c r="D1557" t="inlineStr">
        <is>
          <t>A05</t>
        </is>
      </c>
      <c r="E1557" t="inlineStr">
        <is>
          <t>LD/LE</t>
        </is>
      </c>
      <c r="F1557" t="inlineStr">
        <is>
          <t>EMPA</t>
        </is>
      </c>
      <c r="G1557" t="inlineStr">
        <is>
          <t>CLP-020</t>
        </is>
      </c>
      <c r="H1557" t="inlineStr">
        <is>
          <t>Protocolo</t>
        </is>
      </c>
      <c r="I1557">
        <v>4</v>
      </c>
      <c r="J1557" t="inlineStr">
        <is>
          <t>Terraplenagem</t>
        </is>
      </c>
      <c r="K1557" t="inlineStr">
        <is>
          <t>4.11</t>
        </is>
      </c>
      <c r="L1557" t="inlineStr">
        <is>
          <t>Talude</t>
        </is>
      </c>
      <c r="M1557" t="inlineStr">
        <is>
          <t>Revegetação/ Hidrossemeadura</t>
        </is>
      </c>
      <c r="N1557" t="inlineStr">
        <is>
          <t>Falhas na proteção vegetal dos taludes (hidrossemeadura)</t>
        </is>
      </c>
      <c r="O1557" t="inlineStr">
        <is>
          <t>Tipo A</t>
        </is>
      </c>
      <c r="P1557" t="inlineStr">
        <is>
          <t>35+200</t>
        </is>
      </c>
      <c r="Q1557">
        <v>35900</v>
      </c>
      <c r="R1557" t="inlineStr">
        <is>
          <t>Aberta</t>
        </is>
      </c>
      <c r="T1557" t="inlineStr">
        <is>
          <t>Aline Batista</t>
        </is>
      </c>
      <c r="U1557" t="inlineStr">
        <is>
          <t>29/05/2026</t>
        </is>
      </c>
      <c r="V1557" t="inlineStr">
        <is>
          <t>05/06/2026</t>
        </is>
      </c>
      <c r="W1557">
        <v>5</v>
      </c>
      <c r="AA1557" t="inlineStr">
        <is>
          <t>Aberta -30 dias</t>
        </is>
      </c>
      <c r="AB1557" t="inlineStr">
        <is>
          <t>EMPA</t>
        </is>
      </c>
      <c r="AC1557" t="inlineStr">
        <is>
          <t>Aline</t>
        </is>
      </c>
      <c r="AD1557" t="inlineStr">
        <is>
          <t>31/08/2026</t>
        </is>
      </c>
      <c r="AE1557" t="inlineStr">
        <is>
          <t>10/09/2026</t>
        </is>
      </c>
      <c r="AF1557" t="inlineStr">
        <is>
          <t>Prazo Premissa VALE</t>
        </is>
      </c>
    </row>
    <row r="1558">
      <c r="A1558">
        <v>1556</v>
      </c>
      <c r="B1558">
        <v>1</v>
      </c>
      <c r="C1558" t="inlineStr">
        <is>
          <t>1.4A</t>
        </is>
      </c>
      <c r="D1558" t="inlineStr">
        <is>
          <t>A05</t>
        </is>
      </c>
      <c r="E1558" t="inlineStr">
        <is>
          <t>LE</t>
        </is>
      </c>
      <c r="F1558" t="inlineStr">
        <is>
          <t>EMPA</t>
        </is>
      </c>
      <c r="G1558" t="inlineStr">
        <is>
          <t>CLP-020</t>
        </is>
      </c>
      <c r="H1558" t="inlineStr">
        <is>
          <t>Protocolo</t>
        </is>
      </c>
      <c r="I1558">
        <v>4</v>
      </c>
      <c r="J1558" t="inlineStr">
        <is>
          <t>Terraplenagem</t>
        </is>
      </c>
      <c r="K1558" t="inlineStr">
        <is>
          <t>4.11</t>
        </is>
      </c>
      <c r="L1558" t="inlineStr">
        <is>
          <t>Talude</t>
        </is>
      </c>
      <c r="M1558" t="inlineStr">
        <is>
          <t>Revegetação/ Hidrossemeadura</t>
        </is>
      </c>
      <c r="N1558" t="inlineStr">
        <is>
          <t>Falhas na proteção vegetal dos taludes (hidrossemeadura)</t>
        </is>
      </c>
      <c r="O1558" t="inlineStr">
        <is>
          <t>Tipo A</t>
        </is>
      </c>
      <c r="P1558" t="inlineStr">
        <is>
          <t>35+490</t>
        </is>
      </c>
      <c r="Q1558">
        <v>35490</v>
      </c>
      <c r="R1558" t="inlineStr">
        <is>
          <t>Aberta</t>
        </is>
      </c>
      <c r="T1558" t="inlineStr">
        <is>
          <t>Aline Batista</t>
        </is>
      </c>
      <c r="U1558" t="inlineStr">
        <is>
          <t>29/05/2026</t>
        </is>
      </c>
      <c r="V1558" t="inlineStr">
        <is>
          <t>05/06/2026</t>
        </is>
      </c>
      <c r="W1558">
        <v>5</v>
      </c>
      <c r="AA1558" t="inlineStr">
        <is>
          <t>Aberta -30 dias</t>
        </is>
      </c>
      <c r="AB1558" t="inlineStr">
        <is>
          <t>EMPA</t>
        </is>
      </c>
      <c r="AC1558" t="inlineStr">
        <is>
          <t>Aline</t>
        </is>
      </c>
      <c r="AD1558" t="inlineStr">
        <is>
          <t>31/08/2026</t>
        </is>
      </c>
      <c r="AE1558" t="inlineStr">
        <is>
          <t>10/09/2026</t>
        </is>
      </c>
      <c r="AF1558" t="inlineStr">
        <is>
          <t>Prazo Premissa VALE</t>
        </is>
      </c>
    </row>
    <row r="1559">
      <c r="A1559">
        <v>1557</v>
      </c>
      <c r="B1559">
        <v>1</v>
      </c>
      <c r="C1559" t="inlineStr">
        <is>
          <t>1.4A</t>
        </is>
      </c>
      <c r="D1559" t="inlineStr">
        <is>
          <t>A05</t>
        </is>
      </c>
      <c r="E1559" t="inlineStr">
        <is>
          <t>LE</t>
        </is>
      </c>
      <c r="F1559" t="inlineStr">
        <is>
          <t>EMPA</t>
        </is>
      </c>
      <c r="G1559" t="inlineStr">
        <is>
          <t>CLP-020</t>
        </is>
      </c>
      <c r="H1559" t="inlineStr">
        <is>
          <t>Protocolo</t>
        </is>
      </c>
      <c r="I1559">
        <v>4</v>
      </c>
      <c r="J1559" t="inlineStr">
        <is>
          <t>Terraplenagem</t>
        </is>
      </c>
      <c r="K1559" t="inlineStr">
        <is>
          <t>4.11</t>
        </is>
      </c>
      <c r="L1559" t="inlineStr">
        <is>
          <t>Talude</t>
        </is>
      </c>
      <c r="M1559" t="inlineStr">
        <is>
          <t>Revegetação/ Hidrossemeadura</t>
        </is>
      </c>
      <c r="N1559" t="inlineStr">
        <is>
          <t>Falhas na proteção vegetal dos taludes (hidrossemeadura)</t>
        </is>
      </c>
      <c r="O1559" t="inlineStr">
        <is>
          <t>Tipo A</t>
        </is>
      </c>
      <c r="P1559" t="inlineStr">
        <is>
          <t>35+700</t>
        </is>
      </c>
      <c r="Q1559">
        <v>35700</v>
      </c>
      <c r="R1559" t="inlineStr">
        <is>
          <t>Aberta</t>
        </is>
      </c>
      <c r="T1559" t="inlineStr">
        <is>
          <t>Aline Batista</t>
        </is>
      </c>
      <c r="U1559" t="inlineStr">
        <is>
          <t>29/05/2026</t>
        </is>
      </c>
      <c r="V1559" t="inlineStr">
        <is>
          <t>05/06/2026</t>
        </is>
      </c>
      <c r="W1559">
        <v>5</v>
      </c>
      <c r="AA1559" t="inlineStr">
        <is>
          <t>Aberta -30 dias</t>
        </is>
      </c>
      <c r="AB1559" t="inlineStr">
        <is>
          <t>EMPA</t>
        </is>
      </c>
      <c r="AC1559" t="inlineStr">
        <is>
          <t>Aline</t>
        </is>
      </c>
      <c r="AD1559" t="inlineStr">
        <is>
          <t>31/08/2026</t>
        </is>
      </c>
      <c r="AE1559" t="inlineStr">
        <is>
          <t>10/09/2026</t>
        </is>
      </c>
      <c r="AF1559" t="inlineStr">
        <is>
          <t>Prazo Premissa VALE</t>
        </is>
      </c>
    </row>
    <row r="1560">
      <c r="A1560">
        <v>1558</v>
      </c>
      <c r="B1560">
        <v>1</v>
      </c>
      <c r="C1560" t="inlineStr">
        <is>
          <t>1.4A</t>
        </is>
      </c>
      <c r="D1560" t="inlineStr">
        <is>
          <t>C06</t>
        </is>
      </c>
      <c r="E1560" t="inlineStr">
        <is>
          <t>LE</t>
        </is>
      </c>
      <c r="F1560" t="inlineStr">
        <is>
          <t>EMPA</t>
        </is>
      </c>
      <c r="G1560" t="inlineStr">
        <is>
          <t>CLP-020</t>
        </is>
      </c>
      <c r="H1560" t="inlineStr">
        <is>
          <t>Protocolo</t>
        </is>
      </c>
      <c r="I1560">
        <v>4</v>
      </c>
      <c r="J1560" t="inlineStr">
        <is>
          <t>Terraplenagem</t>
        </is>
      </c>
      <c r="K1560" t="inlineStr">
        <is>
          <t>4.10</t>
        </is>
      </c>
      <c r="L1560" t="inlineStr">
        <is>
          <t>Plataforma</t>
        </is>
      </c>
      <c r="M1560" t="inlineStr">
        <is>
          <t>Execuçao divergente do projeto</t>
        </is>
      </c>
      <c r="N1560" t="inlineStr">
        <is>
          <t>Verifica-se que o alargamento não foi executado em conformidade com as especificações de projeto.</t>
        </is>
      </c>
      <c r="O1560" t="inlineStr">
        <is>
          <t>Tipo A</t>
        </is>
      </c>
      <c r="P1560" t="inlineStr">
        <is>
          <t>35+940</t>
        </is>
      </c>
      <c r="Q1560">
        <v>36100</v>
      </c>
      <c r="R1560" t="inlineStr">
        <is>
          <t>Aberta</t>
        </is>
      </c>
      <c r="T1560" t="inlineStr">
        <is>
          <t>Aline Batista</t>
        </is>
      </c>
      <c r="U1560" t="inlineStr">
        <is>
          <t>29/05/2026</t>
        </is>
      </c>
      <c r="V1560" t="inlineStr">
        <is>
          <t>05/06/2026</t>
        </is>
      </c>
      <c r="W1560">
        <v>5</v>
      </c>
      <c r="AA1560" t="inlineStr">
        <is>
          <t>Aberta -30 dias</t>
        </is>
      </c>
      <c r="AB1560" t="inlineStr">
        <is>
          <t>EMPA</t>
        </is>
      </c>
      <c r="AC1560" t="inlineStr">
        <is>
          <t>Aline</t>
        </is>
      </c>
      <c r="AD1560" t="inlineStr">
        <is>
          <t>31/08/2026</t>
        </is>
      </c>
      <c r="AE1560" t="inlineStr">
        <is>
          <t>10/09/2026</t>
        </is>
      </c>
      <c r="AF1560" t="inlineStr">
        <is>
          <t>Prazo Premissa VALE</t>
        </is>
      </c>
    </row>
    <row r="1561">
      <c r="A1561">
        <v>1559</v>
      </c>
      <c r="B1561">
        <v>1</v>
      </c>
      <c r="C1561" t="inlineStr">
        <is>
          <t>1.4A</t>
        </is>
      </c>
      <c r="D1561" t="inlineStr">
        <is>
          <t>A10</t>
        </is>
      </c>
      <c r="E1561" t="inlineStr">
        <is>
          <t>LD e LE</t>
        </is>
      </c>
      <c r="F1561" t="inlineStr">
        <is>
          <t>EMPA</t>
        </is>
      </c>
      <c r="G1561" t="inlineStr">
        <is>
          <t>CLP-020</t>
        </is>
      </c>
      <c r="H1561" t="inlineStr">
        <is>
          <t>Protocolo</t>
        </is>
      </c>
      <c r="I1561">
        <v>4</v>
      </c>
      <c r="J1561" t="inlineStr">
        <is>
          <t>Terraplenagem</t>
        </is>
      </c>
      <c r="K1561" t="inlineStr">
        <is>
          <t>4.25</t>
        </is>
      </c>
      <c r="L1561" t="inlineStr">
        <is>
          <t>APP</t>
        </is>
      </c>
      <c r="M1561" t="inlineStr">
        <is>
          <t>Limpeza/ remoção de material</t>
        </is>
      </c>
      <c r="N1561" t="inlineStr">
        <is>
          <t>Material em APP; necessária limpeza/desassoreamento, conclusão das drenagens e recuperação ambiental.</t>
        </is>
      </c>
      <c r="O1561" t="inlineStr">
        <is>
          <t>Tipo A</t>
        </is>
      </c>
      <c r="P1561" t="inlineStr">
        <is>
          <t>38+044</t>
        </is>
      </c>
      <c r="Q1561" t="inlineStr">
        <is>
          <t>38+044</t>
        </is>
      </c>
      <c r="R1561" t="inlineStr">
        <is>
          <t>Aberta</t>
        </is>
      </c>
      <c r="T1561" t="inlineStr">
        <is>
          <t>Aline Batista</t>
        </is>
      </c>
      <c r="U1561" t="inlineStr">
        <is>
          <t>29/05/2026</t>
        </is>
      </c>
      <c r="V1561" t="inlineStr">
        <is>
          <t>05/06/2026</t>
        </is>
      </c>
      <c r="W1561">
        <v>5</v>
      </c>
      <c r="AA1561" t="inlineStr">
        <is>
          <t>Aberta -30 dias</t>
        </is>
      </c>
      <c r="AB1561" t="inlineStr">
        <is>
          <t>EMPA</t>
        </is>
      </c>
      <c r="AC1561" t="inlineStr">
        <is>
          <t>Aline</t>
        </is>
      </c>
      <c r="AD1561" t="inlineStr">
        <is>
          <t>31/08/2026</t>
        </is>
      </c>
      <c r="AE1561" t="inlineStr">
        <is>
          <t>10/09/2026</t>
        </is>
      </c>
      <c r="AF1561" t="inlineStr">
        <is>
          <t>Prazo Premissa VALE</t>
        </is>
      </c>
    </row>
    <row r="1562">
      <c r="A1562">
        <v>1560</v>
      </c>
      <c r="B1562">
        <v>1</v>
      </c>
      <c r="C1562" t="inlineStr">
        <is>
          <t>1.4A</t>
        </is>
      </c>
      <c r="D1562" t="inlineStr">
        <is>
          <t>A08</t>
        </is>
      </c>
      <c r="E1562" t="inlineStr">
        <is>
          <t>LD/LE</t>
        </is>
      </c>
      <c r="F1562" t="inlineStr">
        <is>
          <t>EMPA</t>
        </is>
      </c>
      <c r="G1562" t="inlineStr">
        <is>
          <t>CLP-020</t>
        </is>
      </c>
      <c r="H1562" t="inlineStr">
        <is>
          <t>Protocolo</t>
        </is>
      </c>
      <c r="I1562">
        <v>4</v>
      </c>
      <c r="J1562" t="inlineStr">
        <is>
          <t>Terraplenagem</t>
        </is>
      </c>
      <c r="K1562" t="inlineStr">
        <is>
          <t>4.4</t>
        </is>
      </c>
      <c r="L1562" t="inlineStr">
        <is>
          <t>Talude</t>
        </is>
      </c>
      <c r="M1562" t="inlineStr">
        <is>
          <t>Material Solto</t>
        </is>
      </c>
      <c r="N1562" t="inlineStr">
        <is>
          <t>Observa-se o lançamento de material solto sobre o talude já protegido por hidrossemeadura, ocasionando comprometimento e falhas na cobertura vegetal de proteção do talude.</t>
        </is>
      </c>
      <c r="O1562" t="inlineStr">
        <is>
          <t>Tipo A</t>
        </is>
      </c>
      <c r="P1562" t="inlineStr">
        <is>
          <t>36+740</t>
        </is>
      </c>
      <c r="Q1562">
        <v>37000</v>
      </c>
      <c r="R1562" t="inlineStr">
        <is>
          <t>Aberta</t>
        </is>
      </c>
      <c r="T1562" t="inlineStr">
        <is>
          <t>Aline Batista</t>
        </is>
      </c>
      <c r="U1562" t="inlineStr">
        <is>
          <t>29/05/2026</t>
        </is>
      </c>
      <c r="V1562" t="inlineStr">
        <is>
          <t>05/06/2026</t>
        </is>
      </c>
      <c r="W1562">
        <v>5</v>
      </c>
      <c r="AA1562" t="inlineStr">
        <is>
          <t>Aberta -30 dias</t>
        </is>
      </c>
      <c r="AB1562" t="inlineStr">
        <is>
          <t>EMPA</t>
        </is>
      </c>
      <c r="AC1562" t="inlineStr">
        <is>
          <t>Aline</t>
        </is>
      </c>
      <c r="AD1562" t="inlineStr">
        <is>
          <t>31/08/2026</t>
        </is>
      </c>
      <c r="AE1562" t="inlineStr">
        <is>
          <t>10/09/2026</t>
        </is>
      </c>
      <c r="AF1562" t="inlineStr">
        <is>
          <t>Prazo Premissa VALE</t>
        </is>
      </c>
    </row>
    <row r="1563">
      <c r="A1563">
        <v>1561</v>
      </c>
      <c r="B1563">
        <v>1</v>
      </c>
      <c r="C1563" t="inlineStr">
        <is>
          <t>1.4A</t>
        </is>
      </c>
      <c r="D1563" t="inlineStr">
        <is>
          <t>C09</t>
        </is>
      </c>
      <c r="E1563" t="inlineStr">
        <is>
          <t>LE</t>
        </is>
      </c>
      <c r="F1563" t="inlineStr">
        <is>
          <t>EMPA</t>
        </is>
      </c>
      <c r="G1563" t="inlineStr">
        <is>
          <t>CLP-020</t>
        </is>
      </c>
      <c r="H1563" t="inlineStr">
        <is>
          <t>Protocolo</t>
        </is>
      </c>
      <c r="I1563">
        <v>4</v>
      </c>
      <c r="J1563" t="inlineStr">
        <is>
          <t>Terraplenagem</t>
        </is>
      </c>
      <c r="K1563" t="inlineStr">
        <is>
          <t>4.11</t>
        </is>
      </c>
      <c r="L1563" t="inlineStr">
        <is>
          <t>Talude</t>
        </is>
      </c>
      <c r="M1563" t="inlineStr">
        <is>
          <t>Revegetação/ Hidrossemeadura</t>
        </is>
      </c>
      <c r="N1563" t="inlineStr">
        <is>
          <t>Pendente a aplicação da proteção vegetal nos taludes (hidrossemeadura)</t>
        </is>
      </c>
      <c r="O1563" t="inlineStr">
        <is>
          <t>Tipo A</t>
        </is>
      </c>
      <c r="P1563" t="inlineStr">
        <is>
          <t>37+180</t>
        </is>
      </c>
      <c r="Q1563">
        <v>37210</v>
      </c>
      <c r="R1563" t="inlineStr">
        <is>
          <t>Aberta</t>
        </is>
      </c>
      <c r="T1563" t="inlineStr">
        <is>
          <t>Aline Batista</t>
        </is>
      </c>
      <c r="U1563" t="inlineStr">
        <is>
          <t>29/05/2026</t>
        </is>
      </c>
      <c r="V1563" t="inlineStr">
        <is>
          <t>05/06/2026</t>
        </is>
      </c>
      <c r="W1563">
        <v>5</v>
      </c>
      <c r="AA1563" t="inlineStr">
        <is>
          <t>Aberta -30 dias</t>
        </is>
      </c>
      <c r="AB1563" t="inlineStr">
        <is>
          <t>EMPA</t>
        </is>
      </c>
      <c r="AC1563" t="inlineStr">
        <is>
          <t>Aline</t>
        </is>
      </c>
      <c r="AD1563" t="inlineStr">
        <is>
          <t>31/08/2026</t>
        </is>
      </c>
      <c r="AE1563" t="inlineStr">
        <is>
          <t>10/09/2026</t>
        </is>
      </c>
      <c r="AF1563" t="inlineStr">
        <is>
          <t>Prazo Premissa VALE</t>
        </is>
      </c>
    </row>
    <row r="1564">
      <c r="A1564">
        <v>1562</v>
      </c>
      <c r="B1564">
        <v>1</v>
      </c>
      <c r="C1564" t="inlineStr">
        <is>
          <t>1.4A</t>
        </is>
      </c>
      <c r="D1564" t="inlineStr">
        <is>
          <t>A09</t>
        </is>
      </c>
      <c r="E1564" t="inlineStr">
        <is>
          <t>LD/LE</t>
        </is>
      </c>
      <c r="F1564" t="inlineStr">
        <is>
          <t>EMPA</t>
        </is>
      </c>
      <c r="G1564" t="inlineStr">
        <is>
          <t>CLP-020</t>
        </is>
      </c>
      <c r="H1564" t="inlineStr">
        <is>
          <t>Protocolo</t>
        </is>
      </c>
      <c r="I1564">
        <v>4</v>
      </c>
      <c r="J1564" t="inlineStr">
        <is>
          <t>Terraplenagem</t>
        </is>
      </c>
      <c r="K1564" t="inlineStr">
        <is>
          <t>4.4</t>
        </is>
      </c>
      <c r="L1564" t="inlineStr">
        <is>
          <t>Talude</t>
        </is>
      </c>
      <c r="M1564" t="inlineStr">
        <is>
          <t>Material Solto</t>
        </is>
      </c>
      <c r="N1564" t="inlineStr">
        <is>
          <t>Observa-se o lançamento de material solto sobre o talude já protegido por hidrossemeadura, ocasionando comprometimento e falhas na cobertura vegetal de proteção do talude.</t>
        </is>
      </c>
      <c r="O1564" t="inlineStr">
        <is>
          <t>Tipo A</t>
        </is>
      </c>
      <c r="P1564" t="inlineStr">
        <is>
          <t>37+220</t>
        </is>
      </c>
      <c r="Q1564">
        <v>37400</v>
      </c>
      <c r="R1564" t="inlineStr">
        <is>
          <t>Aberta</t>
        </is>
      </c>
      <c r="T1564" t="inlineStr">
        <is>
          <t>Aline Batista</t>
        </is>
      </c>
      <c r="U1564" t="inlineStr">
        <is>
          <t>29/05/2026</t>
        </is>
      </c>
      <c r="V1564" t="inlineStr">
        <is>
          <t>05/06/2026</t>
        </is>
      </c>
      <c r="W1564">
        <v>5</v>
      </c>
      <c r="AA1564" t="inlineStr">
        <is>
          <t>Aberta -30 dias</t>
        </is>
      </c>
      <c r="AB1564" t="inlineStr">
        <is>
          <t>EMPA</t>
        </is>
      </c>
      <c r="AC1564" t="inlineStr">
        <is>
          <t>Aline</t>
        </is>
      </c>
      <c r="AD1564" t="inlineStr">
        <is>
          <t>31/08/2026</t>
        </is>
      </c>
      <c r="AE1564" t="inlineStr">
        <is>
          <t>10/09/2026</t>
        </is>
      </c>
      <c r="AF1564" t="inlineStr">
        <is>
          <t>Prazo Premissa VALE</t>
        </is>
      </c>
    </row>
    <row r="1565">
      <c r="A1565">
        <v>1563</v>
      </c>
      <c r="B1565">
        <v>1</v>
      </c>
      <c r="C1565" t="inlineStr">
        <is>
          <t>1.4A</t>
        </is>
      </c>
      <c r="D1565" t="inlineStr">
        <is>
          <t>C10</t>
        </is>
      </c>
      <c r="E1565" t="inlineStr">
        <is>
          <t>LD/LE</t>
        </is>
      </c>
      <c r="F1565" t="inlineStr">
        <is>
          <t>EMPA</t>
        </is>
      </c>
      <c r="G1565" t="inlineStr">
        <is>
          <t>CLP-020</t>
        </is>
      </c>
      <c r="H1565" t="inlineStr">
        <is>
          <t>Protocolo</t>
        </is>
      </c>
      <c r="I1565">
        <v>4</v>
      </c>
      <c r="J1565" t="inlineStr">
        <is>
          <t>Terraplenagem</t>
        </is>
      </c>
      <c r="K1565" t="inlineStr">
        <is>
          <t>4.11</t>
        </is>
      </c>
      <c r="L1565" t="inlineStr">
        <is>
          <t>Talude</t>
        </is>
      </c>
      <c r="M1565" t="inlineStr">
        <is>
          <t>Revegetação/ Hidrossemeadura</t>
        </is>
      </c>
      <c r="N1565" t="inlineStr">
        <is>
          <t>Pendente a aplicação da proteção vegetal nos taludes (hidrossemeadura)</t>
        </is>
      </c>
      <c r="O1565" t="inlineStr">
        <is>
          <t>Tipo A</t>
        </is>
      </c>
      <c r="P1565" t="inlineStr">
        <is>
          <t>37+460</t>
        </is>
      </c>
      <c r="Q1565">
        <v>37620</v>
      </c>
      <c r="R1565" t="inlineStr">
        <is>
          <t>Aberta</t>
        </is>
      </c>
      <c r="T1565" t="inlineStr">
        <is>
          <t>Aline Batista</t>
        </is>
      </c>
      <c r="U1565" t="inlineStr">
        <is>
          <t>29/05/2026</t>
        </is>
      </c>
      <c r="V1565" t="inlineStr">
        <is>
          <t>05/06/2026</t>
        </is>
      </c>
      <c r="W1565">
        <v>5</v>
      </c>
      <c r="AA1565" t="inlineStr">
        <is>
          <t>Aberta -30 dias</t>
        </is>
      </c>
      <c r="AB1565" t="inlineStr">
        <is>
          <t>EMPA</t>
        </is>
      </c>
      <c r="AC1565" t="inlineStr">
        <is>
          <t>Aline</t>
        </is>
      </c>
      <c r="AD1565" t="inlineStr">
        <is>
          <t>31/08/2026</t>
        </is>
      </c>
      <c r="AE1565" t="inlineStr">
        <is>
          <t>10/09/2026</t>
        </is>
      </c>
      <c r="AF1565" t="inlineStr">
        <is>
          <t>Prazo Premissa VALE</t>
        </is>
      </c>
    </row>
    <row r="1566">
      <c r="A1566">
        <v>1564</v>
      </c>
      <c r="B1566">
        <v>1</v>
      </c>
      <c r="C1566" t="inlineStr">
        <is>
          <t>1.4A</t>
        </is>
      </c>
      <c r="D1566" t="inlineStr">
        <is>
          <t>A10</t>
        </is>
      </c>
      <c r="E1566" t="inlineStr">
        <is>
          <t>LD/LE</t>
        </is>
      </c>
      <c r="F1566" t="inlineStr">
        <is>
          <t>EMPA</t>
        </is>
      </c>
      <c r="G1566" t="inlineStr">
        <is>
          <t>CLP-020</t>
        </is>
      </c>
      <c r="H1566" t="inlineStr">
        <is>
          <t>Protocolo</t>
        </is>
      </c>
      <c r="I1566">
        <v>4</v>
      </c>
      <c r="J1566" t="inlineStr">
        <is>
          <t>Terraplenagem</t>
        </is>
      </c>
      <c r="K1566" t="inlineStr">
        <is>
          <t>4.11</t>
        </is>
      </c>
      <c r="L1566" t="inlineStr">
        <is>
          <t>Talude</t>
        </is>
      </c>
      <c r="M1566" t="inlineStr">
        <is>
          <t>Revegetação/ Hidrossemeadura</t>
        </is>
      </c>
      <c r="N1566" t="inlineStr">
        <is>
          <t>Falhas na proteção vegetal dos taludes (hidrossemeadura)</t>
        </is>
      </c>
      <c r="O1566" t="inlineStr">
        <is>
          <t>Tipo A</t>
        </is>
      </c>
      <c r="P1566" t="inlineStr">
        <is>
          <t>37+620</t>
        </is>
      </c>
      <c r="Q1566">
        <v>38100</v>
      </c>
      <c r="R1566" t="inlineStr">
        <is>
          <t>Aberta</t>
        </is>
      </c>
      <c r="T1566" t="inlineStr">
        <is>
          <t>Aline Batista</t>
        </is>
      </c>
      <c r="U1566" t="inlineStr">
        <is>
          <t>29/05/2026</t>
        </is>
      </c>
      <c r="V1566" t="inlineStr">
        <is>
          <t>05/06/2026</t>
        </is>
      </c>
      <c r="W1566">
        <v>5</v>
      </c>
      <c r="AA1566" t="inlineStr">
        <is>
          <t>Aberta -30 dias</t>
        </is>
      </c>
      <c r="AB1566" t="inlineStr">
        <is>
          <t>EMPA</t>
        </is>
      </c>
      <c r="AC1566" t="inlineStr">
        <is>
          <t>Aline</t>
        </is>
      </c>
      <c r="AD1566" t="inlineStr">
        <is>
          <t>31/08/2026</t>
        </is>
      </c>
      <c r="AE1566" t="inlineStr">
        <is>
          <t>10/09/2026</t>
        </is>
      </c>
      <c r="AF1566" t="inlineStr">
        <is>
          <t>Prazo Premissa VALE</t>
        </is>
      </c>
    </row>
    <row r="1567">
      <c r="A1567">
        <v>1565</v>
      </c>
      <c r="B1567">
        <v>1</v>
      </c>
      <c r="C1567" t="inlineStr">
        <is>
          <t>1.4A</t>
        </is>
      </c>
      <c r="D1567" t="inlineStr">
        <is>
          <t>C05</t>
        </is>
      </c>
      <c r="E1567" t="inlineStr">
        <is>
          <t>LE</t>
        </is>
      </c>
      <c r="F1567" t="inlineStr">
        <is>
          <t>VALE</t>
        </is>
      </c>
      <c r="G1567" t="inlineStr">
        <is>
          <t>CLP-015</t>
        </is>
      </c>
      <c r="H1567" t="inlineStr">
        <is>
          <t>Protocolo</t>
        </is>
      </c>
      <c r="I1567">
        <v>4</v>
      </c>
      <c r="J1567" t="inlineStr">
        <is>
          <t>Terraplenagem</t>
        </is>
      </c>
      <c r="K1567" t="inlineStr">
        <is>
          <t>4.11</t>
        </is>
      </c>
      <c r="L1567" t="inlineStr">
        <is>
          <t>Talude</t>
        </is>
      </c>
      <c r="M1567" t="inlineStr">
        <is>
          <t>Execuçao divergente do projeto</t>
        </is>
      </c>
      <c r="N1567" t="inlineStr">
        <is>
          <t>Em alguns trechos do corte o pé do talude está verticalizado</t>
        </is>
      </c>
      <c r="O1567" t="inlineStr">
        <is>
          <t>Tipo A</t>
        </is>
      </c>
      <c r="P1567" t="inlineStr">
        <is>
          <t>34+680</t>
        </is>
      </c>
      <c r="Q1567">
        <v>35180</v>
      </c>
      <c r="R1567" t="inlineStr">
        <is>
          <t>Aberta</t>
        </is>
      </c>
      <c r="T1567" t="inlineStr">
        <is>
          <t>Aline Batista</t>
        </is>
      </c>
      <c r="U1567" t="inlineStr">
        <is>
          <t>25/05/2026</t>
        </is>
      </c>
      <c r="V1567" t="inlineStr">
        <is>
          <t>01/06/2026</t>
        </is>
      </c>
      <c r="W1567">
        <v>9</v>
      </c>
      <c r="AA1567" t="inlineStr">
        <is>
          <t>Aberta -30 dias</t>
        </is>
      </c>
      <c r="AB1567" t="inlineStr">
        <is>
          <t>CT-REMANESCENTE</t>
        </is>
      </c>
      <c r="AC1567" t="inlineStr">
        <is>
          <t>Aline</t>
        </is>
      </c>
      <c r="AD1567" t="inlineStr">
        <is>
          <t>17/07/2026</t>
        </is>
      </c>
      <c r="AE1567" t="inlineStr">
        <is>
          <t>29/07/2026</t>
        </is>
      </c>
      <c r="AF1567" t="inlineStr">
        <is>
          <t>Prazo Premissa VALE</t>
        </is>
      </c>
    </row>
    <row r="1568">
      <c r="A1568">
        <v>1566</v>
      </c>
      <c r="B1568">
        <v>1</v>
      </c>
      <c r="C1568" t="inlineStr">
        <is>
          <t>1.4A</t>
        </is>
      </c>
      <c r="D1568" t="inlineStr">
        <is>
          <t>C05</t>
        </is>
      </c>
      <c r="E1568" t="inlineStr">
        <is>
          <t>LD/LE</t>
        </is>
      </c>
      <c r="F1568" t="inlineStr">
        <is>
          <t>VALE</t>
        </is>
      </c>
      <c r="G1568" t="inlineStr">
        <is>
          <t>CLP-015</t>
        </is>
      </c>
      <c r="H1568" t="inlineStr">
        <is>
          <t>Protocolo</t>
        </is>
      </c>
      <c r="I1568">
        <v>4</v>
      </c>
      <c r="J1568" t="inlineStr">
        <is>
          <t>Terraplenagem</t>
        </is>
      </c>
      <c r="K1568" t="inlineStr">
        <is>
          <t>4.4</t>
        </is>
      </c>
      <c r="L1568" t="inlineStr">
        <is>
          <t>Talude</t>
        </is>
      </c>
      <c r="M1568" t="inlineStr">
        <is>
          <t>Material solto</t>
        </is>
      </c>
      <c r="N1568" t="inlineStr">
        <is>
          <t xml:space="preserve">Material depositado entre o talude e a sarjeta, de forma a assorear os dispositivos com as chuvas </t>
        </is>
      </c>
      <c r="O1568" t="inlineStr">
        <is>
          <t>Tipo A</t>
        </is>
      </c>
      <c r="P1568" t="inlineStr">
        <is>
          <t>34+680</t>
        </is>
      </c>
      <c r="Q1568">
        <v>35180</v>
      </c>
      <c r="R1568" t="inlineStr">
        <is>
          <t>Aberta</t>
        </is>
      </c>
      <c r="T1568" t="inlineStr">
        <is>
          <t>Aline Batista</t>
        </is>
      </c>
      <c r="U1568" t="inlineStr">
        <is>
          <t>25/05/2026</t>
        </is>
      </c>
      <c r="V1568" t="inlineStr">
        <is>
          <t>01/06/2026</t>
        </is>
      </c>
      <c r="W1568">
        <v>9</v>
      </c>
      <c r="AA1568" t="inlineStr">
        <is>
          <t>Aberta -30 dias</t>
        </is>
      </c>
      <c r="AB1568" t="inlineStr">
        <is>
          <t>CT-REMANESCENTE</t>
        </is>
      </c>
      <c r="AC1568" t="inlineStr">
        <is>
          <t>Aline</t>
        </is>
      </c>
      <c r="AD1568" t="inlineStr">
        <is>
          <t>17/07/2026</t>
        </is>
      </c>
      <c r="AE1568" t="inlineStr">
        <is>
          <t>29/07/2026</t>
        </is>
      </c>
      <c r="AF1568" t="inlineStr">
        <is>
          <t>Prazo Premissa VALE</t>
        </is>
      </c>
    </row>
    <row r="1569">
      <c r="A1569">
        <v>1567</v>
      </c>
      <c r="B1569">
        <v>1</v>
      </c>
      <c r="C1569" t="inlineStr">
        <is>
          <t>1.4A</t>
        </is>
      </c>
      <c r="D1569" t="inlineStr">
        <is>
          <t>C08</t>
        </is>
      </c>
      <c r="E1569" t="inlineStr">
        <is>
          <t>E</t>
        </is>
      </c>
      <c r="F1569" t="inlineStr">
        <is>
          <t>EMPA</t>
        </is>
      </c>
      <c r="G1569" t="inlineStr">
        <is>
          <t>CLP-020</t>
        </is>
      </c>
      <c r="H1569" t="inlineStr">
        <is>
          <t>Protocolo</t>
        </is>
      </c>
      <c r="I1569">
        <v>4</v>
      </c>
      <c r="J1569" t="inlineStr">
        <is>
          <t>Terraplenagem</t>
        </is>
      </c>
      <c r="K1569" t="inlineStr">
        <is>
          <t>4.20</t>
        </is>
      </c>
      <c r="L1569" t="inlineStr">
        <is>
          <t>Talude</t>
        </is>
      </c>
      <c r="M1569" t="inlineStr">
        <is>
          <t>Erosões</t>
        </is>
      </c>
      <c r="N1569" t="inlineStr">
        <is>
          <t>Pé do talude verticalizado e processos erosicvos no talude do corte.</t>
        </is>
      </c>
      <c r="O1569" t="inlineStr">
        <is>
          <t>Tipo A</t>
        </is>
      </c>
      <c r="P1569" t="inlineStr">
        <is>
          <t>36+040</t>
        </is>
      </c>
      <c r="Q1569" t="inlineStr">
        <is>
          <t>36+700</t>
        </is>
      </c>
      <c r="R1569" t="inlineStr">
        <is>
          <t>Aberta</t>
        </is>
      </c>
      <c r="T1569" t="inlineStr">
        <is>
          <t>Aline Batista</t>
        </is>
      </c>
      <c r="U1569" t="inlineStr">
        <is>
          <t>29/05/2026</t>
        </is>
      </c>
      <c r="V1569" t="inlineStr">
        <is>
          <t>05/06/2026</t>
        </is>
      </c>
      <c r="W1569">
        <v>5</v>
      </c>
      <c r="AA1569" t="inlineStr">
        <is>
          <t>Aberta -30 dias</t>
        </is>
      </c>
      <c r="AB1569" t="inlineStr">
        <is>
          <t>EMPA</t>
        </is>
      </c>
      <c r="AC1569" t="inlineStr">
        <is>
          <t>Aline</t>
        </is>
      </c>
      <c r="AD1569" t="inlineStr">
        <is>
          <t>31/08/2026</t>
        </is>
      </c>
      <c r="AE1569" t="inlineStr">
        <is>
          <t>10/09/2026</t>
        </is>
      </c>
      <c r="AF1569" t="inlineStr">
        <is>
          <t>Prazo Premissa VALE</t>
        </is>
      </c>
    </row>
    <row r="1570">
      <c r="A1570">
        <v>1568</v>
      </c>
      <c r="B1570">
        <v>1</v>
      </c>
      <c r="C1570" t="inlineStr">
        <is>
          <t>1.4A</t>
        </is>
      </c>
      <c r="D1570" t="inlineStr">
        <is>
          <t>A10</t>
        </is>
      </c>
      <c r="E1570" t="inlineStr">
        <is>
          <t>E/D</t>
        </is>
      </c>
      <c r="F1570" t="inlineStr">
        <is>
          <t>EMPA</t>
        </is>
      </c>
      <c r="G1570" t="inlineStr">
        <is>
          <t>CLP-020</t>
        </is>
      </c>
      <c r="H1570" t="inlineStr">
        <is>
          <t>Protocolo</t>
        </is>
      </c>
      <c r="I1570">
        <v>2</v>
      </c>
      <c r="J1570" t="inlineStr">
        <is>
          <t>Bueiros</t>
        </is>
      </c>
      <c r="K1570" t="inlineStr">
        <is>
          <t>2.11</t>
        </is>
      </c>
      <c r="L1570" t="inlineStr">
        <is>
          <t>Bueiro</t>
        </is>
      </c>
      <c r="M1570" t="inlineStr">
        <is>
          <t>Execuçao divergente do projeto</t>
        </is>
      </c>
      <c r="N1570" t="inlineStr">
        <is>
          <t>Canais laterais devem casar o fundo do dispositivo com a cota do bueiro, conforme respondido em SIT.</t>
        </is>
      </c>
      <c r="O1570" t="inlineStr">
        <is>
          <t>Tipo A</t>
        </is>
      </c>
      <c r="P1570" t="inlineStr">
        <is>
          <t>38+000</t>
        </is>
      </c>
      <c r="Q1570" t="inlineStr">
        <is>
          <t>38+000</t>
        </is>
      </c>
      <c r="R1570" t="inlineStr">
        <is>
          <t>Aberta</t>
        </is>
      </c>
      <c r="T1570" t="inlineStr">
        <is>
          <t>Aline Batista</t>
        </is>
      </c>
      <c r="U1570" t="inlineStr">
        <is>
          <t>29/05/2026</t>
        </is>
      </c>
      <c r="V1570" t="inlineStr">
        <is>
          <t>05/06/2026</t>
        </is>
      </c>
      <c r="W1570">
        <v>5</v>
      </c>
      <c r="AA1570" t="inlineStr">
        <is>
          <t>Aberta -30 dias</t>
        </is>
      </c>
      <c r="AB1570" t="inlineStr">
        <is>
          <t>EMPA</t>
        </is>
      </c>
      <c r="AC1570" t="inlineStr">
        <is>
          <t>Aline</t>
        </is>
      </c>
      <c r="AD1570" t="inlineStr">
        <is>
          <t>31/08/2026</t>
        </is>
      </c>
      <c r="AE1570" t="inlineStr">
        <is>
          <t>10/09/2026</t>
        </is>
      </c>
      <c r="AF1570" t="inlineStr">
        <is>
          <t>Prazo Premissa VALE</t>
        </is>
      </c>
    </row>
    <row r="1571">
      <c r="A1571">
        <v>1569</v>
      </c>
      <c r="B1571">
        <v>1</v>
      </c>
      <c r="C1571" t="inlineStr">
        <is>
          <t>1.4A</t>
        </is>
      </c>
      <c r="D1571" t="inlineStr">
        <is>
          <t>C02</t>
        </is>
      </c>
      <c r="E1571" t="inlineStr">
        <is>
          <t>D</t>
        </is>
      </c>
      <c r="F1571" t="inlineStr">
        <is>
          <t>EMPA</t>
        </is>
      </c>
      <c r="G1571" t="inlineStr">
        <is>
          <t>CLP-020</t>
        </is>
      </c>
      <c r="H1571" t="inlineStr">
        <is>
          <t>Protocolo</t>
        </is>
      </c>
      <c r="I1571">
        <v>4</v>
      </c>
      <c r="J1571" t="inlineStr">
        <is>
          <t>Terraplenagem</t>
        </is>
      </c>
      <c r="K1571" t="inlineStr">
        <is>
          <t>4.4</t>
        </is>
      </c>
      <c r="L1571" t="inlineStr">
        <is>
          <t>Talude</t>
        </is>
      </c>
      <c r="M1571" t="inlineStr">
        <is>
          <t>Material Solto</t>
        </is>
      </c>
      <c r="N1571" t="inlineStr">
        <is>
          <t>Material solto na região do talvegue.</t>
        </is>
      </c>
      <c r="O1571" t="inlineStr">
        <is>
          <t>Tipo A</t>
        </is>
      </c>
      <c r="P1571" t="inlineStr">
        <is>
          <t>32+760</t>
        </is>
      </c>
      <c r="Q1571" t="inlineStr">
        <is>
          <t>32+760</t>
        </is>
      </c>
      <c r="R1571" t="inlineStr">
        <is>
          <t>Aberta</t>
        </is>
      </c>
      <c r="T1571" t="inlineStr">
        <is>
          <t>Aline Batista</t>
        </is>
      </c>
      <c r="U1571" t="inlineStr">
        <is>
          <t>29/05/2026</t>
        </is>
      </c>
      <c r="V1571" t="inlineStr">
        <is>
          <t>05/06/2026</t>
        </is>
      </c>
      <c r="W1571">
        <v>5</v>
      </c>
      <c r="AA1571" t="inlineStr">
        <is>
          <t>Aberta -30 dias</t>
        </is>
      </c>
      <c r="AB1571" t="inlineStr">
        <is>
          <t>EMPA</t>
        </is>
      </c>
      <c r="AC1571" t="inlineStr">
        <is>
          <t>Aline</t>
        </is>
      </c>
      <c r="AD1571" t="inlineStr">
        <is>
          <t>17/08/2026</t>
        </is>
      </c>
      <c r="AE1571" t="inlineStr">
        <is>
          <t>28/08/2026</t>
        </is>
      </c>
      <c r="AF1571" t="inlineStr">
        <is>
          <t>Prazo Premissa VALE</t>
        </is>
      </c>
    </row>
    <row r="1572">
      <c r="A1572">
        <v>1570</v>
      </c>
      <c r="B1572">
        <v>1</v>
      </c>
      <c r="C1572" t="inlineStr">
        <is>
          <t>1.4A</t>
        </is>
      </c>
      <c r="D1572" t="inlineStr">
        <is>
          <t>A01</t>
        </is>
      </c>
      <c r="E1572" t="inlineStr">
        <is>
          <t>LD</t>
        </is>
      </c>
      <c r="F1572" t="inlineStr">
        <is>
          <t>EMPA</t>
        </is>
      </c>
      <c r="G1572" t="inlineStr">
        <is>
          <t>CLP-020</t>
        </is>
      </c>
      <c r="H1572" t="inlineStr">
        <is>
          <t>Protocolo</t>
        </is>
      </c>
      <c r="I1572">
        <v>4</v>
      </c>
      <c r="J1572" t="inlineStr">
        <is>
          <t>Terraplenagem</t>
        </is>
      </c>
      <c r="K1572" t="inlineStr">
        <is>
          <t>4.9</t>
        </is>
      </c>
      <c r="L1572" t="inlineStr">
        <is>
          <t>ADME</t>
        </is>
      </c>
      <c r="M1572" t="inlineStr">
        <is>
          <t>Revegetação/ Hidrossemeadura</t>
        </is>
      </c>
      <c r="N1572" t="inlineStr">
        <is>
          <t>ADME com solo exposto; necessário repasse de hidrossemeadura.</t>
        </is>
      </c>
      <c r="O1572" t="inlineStr">
        <is>
          <t>Tipo A</t>
        </is>
      </c>
      <c r="P1572" t="inlineStr">
        <is>
          <t>31+700</t>
        </is>
      </c>
      <c r="Q1572" t="inlineStr">
        <is>
          <t>31+700</t>
        </is>
      </c>
      <c r="R1572" t="inlineStr">
        <is>
          <t>Aberta</t>
        </is>
      </c>
      <c r="T1572" t="inlineStr">
        <is>
          <t>Aline Batista</t>
        </is>
      </c>
      <c r="U1572" t="inlineStr">
        <is>
          <t>29/05/2026</t>
        </is>
      </c>
      <c r="V1572" t="inlineStr">
        <is>
          <t>05/06/2026</t>
        </is>
      </c>
      <c r="W1572">
        <v>5</v>
      </c>
      <c r="AA1572" t="inlineStr">
        <is>
          <t>Aberta -30 dias</t>
        </is>
      </c>
      <c r="AB1572" t="inlineStr">
        <is>
          <t>EMPA</t>
        </is>
      </c>
      <c r="AC1572" t="inlineStr">
        <is>
          <t>Aline</t>
        </is>
      </c>
      <c r="AD1572" t="inlineStr">
        <is>
          <t>17/08/2026</t>
        </is>
      </c>
      <c r="AE1572" t="inlineStr">
        <is>
          <t>28/08/2026</t>
        </is>
      </c>
      <c r="AF1572" t="inlineStr">
        <is>
          <t>Prazo Premissa VALE</t>
        </is>
      </c>
    </row>
    <row r="1573">
      <c r="A1573">
        <v>1571</v>
      </c>
      <c r="B1573">
        <v>1</v>
      </c>
      <c r="C1573" t="inlineStr">
        <is>
          <t>1.4A</t>
        </is>
      </c>
      <c r="D1573" t="inlineStr">
        <is>
          <t>A01</t>
        </is>
      </c>
      <c r="E1573" t="inlineStr">
        <is>
          <t>LE</t>
        </is>
      </c>
      <c r="F1573" t="inlineStr">
        <is>
          <t>EMPA</t>
        </is>
      </c>
      <c r="G1573" t="inlineStr">
        <is>
          <t>CLP-020</t>
        </is>
      </c>
      <c r="H1573" t="inlineStr">
        <is>
          <t>Protocolo</t>
        </is>
      </c>
      <c r="I1573">
        <v>4</v>
      </c>
      <c r="J1573" t="inlineStr">
        <is>
          <t>Terraplenagem</t>
        </is>
      </c>
      <c r="K1573" t="inlineStr">
        <is>
          <t>4.11</t>
        </is>
      </c>
      <c r="L1573" t="inlineStr">
        <is>
          <t>Acesso</t>
        </is>
      </c>
      <c r="M1573" t="inlineStr">
        <is>
          <t>Revegetação/ Hidrossemeadura</t>
        </is>
      </c>
      <c r="N1573" t="inlineStr">
        <is>
          <t>Caminho de serviço com solo e talude expostos; necessário conformar e executar hidrossemeadura.</t>
        </is>
      </c>
      <c r="O1573" t="inlineStr">
        <is>
          <t>Tipo A</t>
        </is>
      </c>
      <c r="P1573" t="inlineStr">
        <is>
          <t>31+750</t>
        </is>
      </c>
      <c r="Q1573" t="inlineStr">
        <is>
          <t>31+750</t>
        </is>
      </c>
      <c r="R1573" t="inlineStr">
        <is>
          <t>Aberta</t>
        </is>
      </c>
      <c r="T1573" t="inlineStr">
        <is>
          <t>Aline Batista</t>
        </is>
      </c>
      <c r="U1573" t="inlineStr">
        <is>
          <t>29/05/2026</t>
        </is>
      </c>
      <c r="V1573" t="inlineStr">
        <is>
          <t>05/06/2026</t>
        </is>
      </c>
      <c r="W1573">
        <v>5</v>
      </c>
      <c r="AA1573" t="inlineStr">
        <is>
          <t>Aberta -30 dias</t>
        </is>
      </c>
      <c r="AB1573" t="inlineStr">
        <is>
          <t>EMPA</t>
        </is>
      </c>
      <c r="AC1573" t="inlineStr">
        <is>
          <t>Aline</t>
        </is>
      </c>
      <c r="AD1573" t="inlineStr">
        <is>
          <t>17/08/2026</t>
        </is>
      </c>
      <c r="AE1573" t="inlineStr">
        <is>
          <t>28/08/2026</t>
        </is>
      </c>
      <c r="AF1573" t="inlineStr">
        <is>
          <t>Prazo Premissa VALE</t>
        </is>
      </c>
    </row>
    <row r="1574">
      <c r="A1574">
        <v>1572</v>
      </c>
      <c r="B1574">
        <v>1</v>
      </c>
      <c r="C1574" t="inlineStr">
        <is>
          <t>1.4A</t>
        </is>
      </c>
      <c r="D1574" t="inlineStr">
        <is>
          <t>A01</t>
        </is>
      </c>
      <c r="E1574" t="inlineStr">
        <is>
          <t>LD</t>
        </is>
      </c>
      <c r="F1574" t="inlineStr">
        <is>
          <t>EMPA</t>
        </is>
      </c>
      <c r="G1574" t="inlineStr">
        <is>
          <t>CLP-020</t>
        </is>
      </c>
      <c r="H1574" t="inlineStr">
        <is>
          <t>Protocolo</t>
        </is>
      </c>
      <c r="I1574">
        <v>4</v>
      </c>
      <c r="J1574" t="inlineStr">
        <is>
          <t>Terraplenagem</t>
        </is>
      </c>
      <c r="K1574" t="inlineStr">
        <is>
          <t>4.9</t>
        </is>
      </c>
      <c r="L1574" t="inlineStr">
        <is>
          <t>Acesso</t>
        </is>
      </c>
      <c r="M1574" t="inlineStr">
        <is>
          <t>Limpeza/ remoção de material</t>
        </is>
      </c>
      <c r="N1574" t="inlineStr">
        <is>
          <t xml:space="preserve">Árvore caída por causas naturais; necessária retirada e limpeza da área.
Verificar com MA sobre a pertinencia </t>
        </is>
      </c>
      <c r="O1574" t="inlineStr">
        <is>
          <t>Tipo A</t>
        </is>
      </c>
      <c r="P1574" t="inlineStr">
        <is>
          <t>31+800</t>
        </is>
      </c>
      <c r="Q1574" t="inlineStr">
        <is>
          <t>31+800</t>
        </is>
      </c>
      <c r="R1574" t="inlineStr">
        <is>
          <t>Aberta</t>
        </is>
      </c>
      <c r="T1574" t="inlineStr">
        <is>
          <t>Aline Batista</t>
        </is>
      </c>
      <c r="U1574" t="inlineStr">
        <is>
          <t>29/05/2026</t>
        </is>
      </c>
      <c r="V1574" t="inlineStr">
        <is>
          <t>05/06/2026</t>
        </is>
      </c>
      <c r="W1574">
        <v>5</v>
      </c>
      <c r="AA1574" t="inlineStr">
        <is>
          <t>Aberta -30 dias</t>
        </is>
      </c>
      <c r="AB1574" t="inlineStr">
        <is>
          <t>EMPA</t>
        </is>
      </c>
      <c r="AC1574" t="inlineStr">
        <is>
          <t>Aline</t>
        </is>
      </c>
      <c r="AD1574" t="inlineStr">
        <is>
          <t>17/08/2026</t>
        </is>
      </c>
      <c r="AE1574" t="inlineStr">
        <is>
          <t>28/08/2026</t>
        </is>
      </c>
      <c r="AF1574" t="inlineStr">
        <is>
          <t>Prazo Premissa VALE</t>
        </is>
      </c>
    </row>
    <row r="1575">
      <c r="A1575">
        <v>1573</v>
      </c>
      <c r="B1575">
        <v>1</v>
      </c>
      <c r="C1575" t="inlineStr">
        <is>
          <t>1.4A</t>
        </is>
      </c>
      <c r="D1575" t="inlineStr">
        <is>
          <t>C02</t>
        </is>
      </c>
      <c r="E1575" t="inlineStr">
        <is>
          <t>LE</t>
        </is>
      </c>
      <c r="F1575" t="inlineStr">
        <is>
          <t>EMPA</t>
        </is>
      </c>
      <c r="G1575" t="inlineStr">
        <is>
          <t>CLP-020</t>
        </is>
      </c>
      <c r="H1575" t="inlineStr">
        <is>
          <t>Protocolo</t>
        </is>
      </c>
      <c r="I1575">
        <v>4</v>
      </c>
      <c r="J1575" t="inlineStr">
        <is>
          <t>Terraplenagem</t>
        </is>
      </c>
      <c r="K1575" t="inlineStr">
        <is>
          <t>4.11</t>
        </is>
      </c>
      <c r="L1575" t="inlineStr">
        <is>
          <t>ADME</t>
        </is>
      </c>
      <c r="M1575" t="inlineStr">
        <is>
          <t>Revegetação/ Hidrossemeadura</t>
        </is>
      </c>
      <c r="N1575" t="inlineStr">
        <is>
          <t>ADME com solo e talude expostos; necessária regularização do terreno e execução de hidrossemeadura.</t>
        </is>
      </c>
      <c r="O1575" t="inlineStr">
        <is>
          <t>Tipo A</t>
        </is>
      </c>
      <c r="P1575" t="inlineStr">
        <is>
          <t>32+100</t>
        </is>
      </c>
      <c r="Q1575" t="inlineStr">
        <is>
          <t>32+100</t>
        </is>
      </c>
      <c r="R1575" t="inlineStr">
        <is>
          <t>Aberta</t>
        </is>
      </c>
      <c r="T1575" t="inlineStr">
        <is>
          <t>Aline Batista</t>
        </is>
      </c>
      <c r="U1575" t="inlineStr">
        <is>
          <t>29/05/2026</t>
        </is>
      </c>
      <c r="V1575" t="inlineStr">
        <is>
          <t>05/06/2026</t>
        </is>
      </c>
      <c r="W1575">
        <v>5</v>
      </c>
      <c r="AA1575" t="inlineStr">
        <is>
          <t>Aberta -30 dias</t>
        </is>
      </c>
      <c r="AB1575" t="inlineStr">
        <is>
          <t>EMPA</t>
        </is>
      </c>
      <c r="AC1575" t="inlineStr">
        <is>
          <t>Aline</t>
        </is>
      </c>
      <c r="AD1575" t="inlineStr">
        <is>
          <t>17/08/2026</t>
        </is>
      </c>
      <c r="AE1575" t="inlineStr">
        <is>
          <t>28/08/2026</t>
        </is>
      </c>
      <c r="AF1575" t="inlineStr">
        <is>
          <t>Prazo Premissa VALE</t>
        </is>
      </c>
    </row>
    <row r="1576">
      <c r="A1576">
        <v>1574</v>
      </c>
      <c r="B1576">
        <v>1</v>
      </c>
      <c r="C1576" t="inlineStr">
        <is>
          <t>1.4A</t>
        </is>
      </c>
      <c r="D1576" t="inlineStr">
        <is>
          <t>C02</t>
        </is>
      </c>
      <c r="E1576" t="inlineStr">
        <is>
          <t>LD e LE</t>
        </is>
      </c>
      <c r="F1576" t="inlineStr">
        <is>
          <t>EMPA</t>
        </is>
      </c>
      <c r="G1576" t="inlineStr">
        <is>
          <t>CLP-020</t>
        </is>
      </c>
      <c r="H1576" t="inlineStr">
        <is>
          <t>Protocolo</t>
        </is>
      </c>
      <c r="I1576">
        <v>4</v>
      </c>
      <c r="J1576" t="inlineStr">
        <is>
          <t>Terraplenagem</t>
        </is>
      </c>
      <c r="K1576" t="inlineStr">
        <is>
          <t>4.11</t>
        </is>
      </c>
      <c r="L1576" t="inlineStr">
        <is>
          <t>Acesso</t>
        </is>
      </c>
      <c r="M1576" t="inlineStr">
        <is>
          <t>Revegetação/ Hidrossemeadura</t>
        </is>
      </c>
      <c r="N1576" t="inlineStr">
        <is>
          <t>Caminho de serviço desprotegido; necessário conformar e executar hidrossemeadura.</t>
        </is>
      </c>
      <c r="O1576" t="inlineStr">
        <is>
          <t>Tipo A</t>
        </is>
      </c>
      <c r="P1576" t="inlineStr">
        <is>
          <t>32+100</t>
        </is>
      </c>
      <c r="Q1576" t="inlineStr">
        <is>
          <t>32+100</t>
        </is>
      </c>
      <c r="R1576" t="inlineStr">
        <is>
          <t>Aberta</t>
        </is>
      </c>
      <c r="T1576" t="inlineStr">
        <is>
          <t>Aline Batista</t>
        </is>
      </c>
      <c r="U1576" t="inlineStr">
        <is>
          <t>29/05/2026</t>
        </is>
      </c>
      <c r="V1576" t="inlineStr">
        <is>
          <t>05/06/2026</t>
        </is>
      </c>
      <c r="W1576">
        <v>5</v>
      </c>
      <c r="AA1576" t="inlineStr">
        <is>
          <t>Aberta -30 dias</t>
        </is>
      </c>
      <c r="AB1576" t="inlineStr">
        <is>
          <t>EMPA</t>
        </is>
      </c>
      <c r="AC1576" t="inlineStr">
        <is>
          <t>Aline</t>
        </is>
      </c>
      <c r="AD1576" t="inlineStr">
        <is>
          <t>17/08/2026</t>
        </is>
      </c>
      <c r="AE1576" t="inlineStr">
        <is>
          <t>28/08/2026</t>
        </is>
      </c>
      <c r="AF1576" t="inlineStr">
        <is>
          <t>Prazo Premissa VALE</t>
        </is>
      </c>
    </row>
    <row r="1577">
      <c r="A1577">
        <v>1575</v>
      </c>
      <c r="B1577">
        <v>1</v>
      </c>
      <c r="C1577" t="inlineStr">
        <is>
          <t>1.4A</t>
        </is>
      </c>
      <c r="D1577" t="inlineStr">
        <is>
          <t>A02</t>
        </is>
      </c>
      <c r="E1577" t="inlineStr">
        <is>
          <t>LD e LE</t>
        </is>
      </c>
      <c r="F1577" t="inlineStr">
        <is>
          <t>EMPA</t>
        </is>
      </c>
      <c r="G1577" t="inlineStr">
        <is>
          <t>CLP-020</t>
        </is>
      </c>
      <c r="H1577" t="inlineStr">
        <is>
          <t>Protocolo</t>
        </is>
      </c>
      <c r="I1577">
        <v>4</v>
      </c>
      <c r="J1577" t="inlineStr">
        <is>
          <t>Terraplenagem</t>
        </is>
      </c>
      <c r="K1577" t="inlineStr">
        <is>
          <t>4.11</t>
        </is>
      </c>
      <c r="L1577" t="inlineStr">
        <is>
          <t>Acesso</t>
        </is>
      </c>
      <c r="M1577" t="inlineStr">
        <is>
          <t>Revegetação/ Hidrossemeadura</t>
        </is>
      </c>
      <c r="N1577" t="inlineStr">
        <is>
          <t>Caminho de serviço desprotegido; necessário conformar e executar hidrossemeadura.</t>
        </is>
      </c>
      <c r="O1577" t="inlineStr">
        <is>
          <t>Tipo A</t>
        </is>
      </c>
      <c r="P1577" t="inlineStr">
        <is>
          <t>32+400</t>
        </is>
      </c>
      <c r="Q1577" t="inlineStr">
        <is>
          <t xml:space="preserve"> 33+100</t>
        </is>
      </c>
      <c r="R1577" t="inlineStr">
        <is>
          <t>Aberta</t>
        </is>
      </c>
      <c r="T1577" t="inlineStr">
        <is>
          <t>Aline Batista</t>
        </is>
      </c>
      <c r="U1577" t="inlineStr">
        <is>
          <t>29/05/2026</t>
        </is>
      </c>
      <c r="V1577" t="inlineStr">
        <is>
          <t>05/06/2026</t>
        </is>
      </c>
      <c r="W1577">
        <v>5</v>
      </c>
      <c r="AA1577" t="inlineStr">
        <is>
          <t>Aberta -30 dias</t>
        </is>
      </c>
      <c r="AB1577" t="inlineStr">
        <is>
          <t>EMPA</t>
        </is>
      </c>
      <c r="AC1577" t="inlineStr">
        <is>
          <t>Aline</t>
        </is>
      </c>
      <c r="AD1577" t="inlineStr">
        <is>
          <t>17/08/2026</t>
        </is>
      </c>
      <c r="AE1577" t="inlineStr">
        <is>
          <t>28/08/2026</t>
        </is>
      </c>
      <c r="AF1577" t="inlineStr">
        <is>
          <t>Prazo Premissa VALE</t>
        </is>
      </c>
    </row>
    <row r="1578">
      <c r="A1578">
        <v>1576</v>
      </c>
      <c r="B1578">
        <v>1</v>
      </c>
      <c r="C1578" t="inlineStr">
        <is>
          <t>1.4A</t>
        </is>
      </c>
      <c r="D1578" t="inlineStr">
        <is>
          <t>A02</t>
        </is>
      </c>
      <c r="E1578" t="inlineStr">
        <is>
          <t>LD e LE</t>
        </is>
      </c>
      <c r="F1578" t="inlineStr">
        <is>
          <t>EMPA</t>
        </is>
      </c>
      <c r="G1578" t="inlineStr">
        <is>
          <t>CLP-020</t>
        </is>
      </c>
      <c r="H1578" t="inlineStr">
        <is>
          <t>Protocolo</t>
        </is>
      </c>
      <c r="I1578">
        <v>4</v>
      </c>
      <c r="J1578" t="inlineStr">
        <is>
          <t>Terraplenagem</t>
        </is>
      </c>
      <c r="K1578" t="inlineStr">
        <is>
          <t>4.11</t>
        </is>
      </c>
      <c r="L1578" t="inlineStr">
        <is>
          <t>Talude</t>
        </is>
      </c>
      <c r="M1578" t="inlineStr">
        <is>
          <t>Revegetação/ Hidrossemeadura</t>
        </is>
      </c>
      <c r="N1578" t="inlineStr">
        <is>
          <t>Aterro sem hidrossemeadura, necessária execução de hidrossemeadura.</t>
        </is>
      </c>
      <c r="O1578" t="inlineStr">
        <is>
          <t>Tipo A</t>
        </is>
      </c>
      <c r="P1578" t="inlineStr">
        <is>
          <t>32+600</t>
        </is>
      </c>
      <c r="Q1578" t="inlineStr">
        <is>
          <t>32+600</t>
        </is>
      </c>
      <c r="R1578" t="inlineStr">
        <is>
          <t>Aberta</t>
        </is>
      </c>
      <c r="T1578" t="inlineStr">
        <is>
          <t>Aline Batista</t>
        </is>
      </c>
      <c r="U1578" t="inlineStr">
        <is>
          <t>29/05/2026</t>
        </is>
      </c>
      <c r="V1578" t="inlineStr">
        <is>
          <t>05/06/2026</t>
        </is>
      </c>
      <c r="W1578">
        <v>5</v>
      </c>
      <c r="AA1578" t="inlineStr">
        <is>
          <t>Aberta -30 dias</t>
        </is>
      </c>
      <c r="AB1578" t="inlineStr">
        <is>
          <t>EMPA</t>
        </is>
      </c>
      <c r="AC1578" t="inlineStr">
        <is>
          <t>Aline</t>
        </is>
      </c>
      <c r="AD1578" t="inlineStr">
        <is>
          <t>17/08/2026</t>
        </is>
      </c>
      <c r="AE1578" t="inlineStr">
        <is>
          <t>28/08/2026</t>
        </is>
      </c>
      <c r="AF1578" t="inlineStr">
        <is>
          <t>Prazo Premissa VALE</t>
        </is>
      </c>
    </row>
    <row r="1579">
      <c r="A1579">
        <v>1577</v>
      </c>
      <c r="B1579">
        <v>1</v>
      </c>
      <c r="C1579" t="inlineStr">
        <is>
          <t>1.4A</t>
        </is>
      </c>
      <c r="D1579" t="inlineStr">
        <is>
          <t>A02</t>
        </is>
      </c>
      <c r="E1579" t="inlineStr">
        <is>
          <t>LD</t>
        </is>
      </c>
      <c r="F1579" t="inlineStr">
        <is>
          <t>EMPA</t>
        </is>
      </c>
      <c r="G1579" t="inlineStr">
        <is>
          <t>CLP-020</t>
        </is>
      </c>
      <c r="H1579" t="inlineStr">
        <is>
          <t>Protocolo</t>
        </is>
      </c>
      <c r="I1579">
        <v>4</v>
      </c>
      <c r="J1579" t="inlineStr">
        <is>
          <t>Terraplenagem</t>
        </is>
      </c>
      <c r="K1579" t="inlineStr">
        <is>
          <t>4.11</t>
        </is>
      </c>
      <c r="L1579" t="inlineStr">
        <is>
          <t>Acesso</t>
        </is>
      </c>
      <c r="M1579" t="inlineStr">
        <is>
          <t>Revegetação/ Hidrossemeadura</t>
        </is>
      </c>
      <c r="N1579" t="inlineStr">
        <is>
          <t>Caminho de serviço com processo erosivo; necessária estabilização, conformação e hidrossemeadura.</t>
        </is>
      </c>
      <c r="O1579" t="inlineStr">
        <is>
          <t>Tipo A</t>
        </is>
      </c>
      <c r="P1579" t="inlineStr">
        <is>
          <t>32+600</t>
        </is>
      </c>
      <c r="Q1579" t="inlineStr">
        <is>
          <t>32+600</t>
        </is>
      </c>
      <c r="R1579" t="inlineStr">
        <is>
          <t>Aberta</t>
        </is>
      </c>
      <c r="T1579" t="inlineStr">
        <is>
          <t>Aline Batista</t>
        </is>
      </c>
      <c r="U1579" t="inlineStr">
        <is>
          <t>29/05/2026</t>
        </is>
      </c>
      <c r="V1579" t="inlineStr">
        <is>
          <t>05/06/2026</t>
        </is>
      </c>
      <c r="W1579">
        <v>5</v>
      </c>
      <c r="AA1579" t="inlineStr">
        <is>
          <t>Aberta -30 dias</t>
        </is>
      </c>
      <c r="AB1579" t="inlineStr">
        <is>
          <t>EMPA</t>
        </is>
      </c>
      <c r="AC1579" t="inlineStr">
        <is>
          <t>Aline</t>
        </is>
      </c>
      <c r="AD1579" t="inlineStr">
        <is>
          <t>17/08/2026</t>
        </is>
      </c>
      <c r="AE1579" t="inlineStr">
        <is>
          <t>28/08/2026</t>
        </is>
      </c>
      <c r="AF1579" t="inlineStr">
        <is>
          <t>Prazo Premissa VALE</t>
        </is>
      </c>
    </row>
    <row r="1580">
      <c r="A1580">
        <v>1578</v>
      </c>
      <c r="B1580">
        <v>1</v>
      </c>
      <c r="C1580" t="inlineStr">
        <is>
          <t>1.4A</t>
        </is>
      </c>
      <c r="D1580" t="inlineStr">
        <is>
          <t>A02</t>
        </is>
      </c>
      <c r="E1580" t="inlineStr">
        <is>
          <t>LE</t>
        </is>
      </c>
      <c r="F1580" t="inlineStr">
        <is>
          <t>EMPA</t>
        </is>
      </c>
      <c r="G1580" t="inlineStr">
        <is>
          <t>CLP-020</t>
        </is>
      </c>
      <c r="H1580" t="inlineStr">
        <is>
          <t>Protocolo</t>
        </is>
      </c>
      <c r="I1580">
        <v>4</v>
      </c>
      <c r="J1580" t="inlineStr">
        <is>
          <t>Terraplenagem</t>
        </is>
      </c>
      <c r="K1580" t="inlineStr">
        <is>
          <t>4.25</t>
        </is>
      </c>
      <c r="L1580" t="inlineStr">
        <is>
          <t>Acesso</t>
        </is>
      </c>
      <c r="M1580" t="inlineStr">
        <is>
          <t>Regularização e recuperação de área</t>
        </is>
      </c>
      <c r="N1580" t="inlineStr">
        <is>
          <t>Material carreado para fora da faixa de serviço; necessário recolhimento do material e recomposição da área.</t>
        </is>
      </c>
      <c r="O1580" t="inlineStr">
        <is>
          <t>Tipo A</t>
        </is>
      </c>
      <c r="P1580" t="inlineStr">
        <is>
          <t>32+650</t>
        </is>
      </c>
      <c r="Q1580" t="inlineStr">
        <is>
          <t>32+650</t>
        </is>
      </c>
      <c r="R1580" t="inlineStr">
        <is>
          <t>Aberta</t>
        </is>
      </c>
      <c r="T1580" t="inlineStr">
        <is>
          <t>Aline Batista</t>
        </is>
      </c>
      <c r="U1580" t="inlineStr">
        <is>
          <t>29/05/2026</t>
        </is>
      </c>
      <c r="V1580" t="inlineStr">
        <is>
          <t>05/06/2026</t>
        </is>
      </c>
      <c r="W1580">
        <v>5</v>
      </c>
      <c r="AA1580" t="inlineStr">
        <is>
          <t>Aberta -30 dias</t>
        </is>
      </c>
      <c r="AB1580" t="inlineStr">
        <is>
          <t>EMPA</t>
        </is>
      </c>
      <c r="AC1580" t="inlineStr">
        <is>
          <t>Aline</t>
        </is>
      </c>
      <c r="AD1580" t="inlineStr">
        <is>
          <t>17/08/2026</t>
        </is>
      </c>
      <c r="AE1580" t="inlineStr">
        <is>
          <t>28/08/2026</t>
        </is>
      </c>
      <c r="AF1580" t="inlineStr">
        <is>
          <t>Prazo Premissa VALE</t>
        </is>
      </c>
    </row>
    <row r="1581">
      <c r="A1581">
        <v>1579</v>
      </c>
      <c r="B1581">
        <v>1</v>
      </c>
      <c r="C1581" t="inlineStr">
        <is>
          <t>1.4A</t>
        </is>
      </c>
      <c r="D1581" t="inlineStr">
        <is>
          <t>A02</t>
        </is>
      </c>
      <c r="E1581" t="inlineStr">
        <is>
          <t>LD</t>
        </is>
      </c>
      <c r="F1581" t="inlineStr">
        <is>
          <t>EMPA</t>
        </is>
      </c>
      <c r="G1581" t="inlineStr">
        <is>
          <t>CLP-020</t>
        </is>
      </c>
      <c r="H1581" t="inlineStr">
        <is>
          <t>Protocolo</t>
        </is>
      </c>
      <c r="I1581">
        <v>4</v>
      </c>
      <c r="J1581" t="inlineStr">
        <is>
          <t>Terraplenagem</t>
        </is>
      </c>
      <c r="K1581" t="inlineStr">
        <is>
          <t>4.20</t>
        </is>
      </c>
      <c r="L1581" t="inlineStr">
        <is>
          <t>Acesso</t>
        </is>
      </c>
      <c r="M1581" t="inlineStr">
        <is>
          <t>Erosões</t>
        </is>
      </c>
      <c r="N1581" t="inlineStr">
        <is>
          <t>Processo erosivo com carreamento de sedimentos para fora da faixa de domínio; necessária contenção e recuperação da área.</t>
        </is>
      </c>
      <c r="O1581" t="inlineStr">
        <is>
          <t>Tipo A</t>
        </is>
      </c>
      <c r="P1581" t="inlineStr">
        <is>
          <t>32+760</t>
        </is>
      </c>
      <c r="Q1581" t="inlineStr">
        <is>
          <t>32+760</t>
        </is>
      </c>
      <c r="R1581" t="inlineStr">
        <is>
          <t>Aberta</t>
        </is>
      </c>
      <c r="T1581" t="inlineStr">
        <is>
          <t>Aline Batista</t>
        </is>
      </c>
      <c r="U1581" t="inlineStr">
        <is>
          <t>29/05/2026</t>
        </is>
      </c>
      <c r="V1581" t="inlineStr">
        <is>
          <t>05/06/2026</t>
        </is>
      </c>
      <c r="W1581">
        <v>5</v>
      </c>
      <c r="AA1581" t="inlineStr">
        <is>
          <t>Aberta -30 dias</t>
        </is>
      </c>
      <c r="AB1581" t="inlineStr">
        <is>
          <t>EMPA</t>
        </is>
      </c>
      <c r="AC1581" t="inlineStr">
        <is>
          <t>Aline</t>
        </is>
      </c>
      <c r="AD1581" t="inlineStr">
        <is>
          <t>17/08/2026</t>
        </is>
      </c>
      <c r="AE1581" t="inlineStr">
        <is>
          <t>28/08/2026</t>
        </is>
      </c>
      <c r="AF1581" t="inlineStr">
        <is>
          <t>Prazo Premissa VALE</t>
        </is>
      </c>
    </row>
    <row r="1582">
      <c r="A1582">
        <v>1580</v>
      </c>
      <c r="B1582">
        <v>1</v>
      </c>
      <c r="C1582" t="inlineStr">
        <is>
          <t>1.4A</t>
        </is>
      </c>
      <c r="D1582" t="inlineStr">
        <is>
          <t>A02</t>
        </is>
      </c>
      <c r="E1582" t="inlineStr">
        <is>
          <t>LD e LE</t>
        </is>
      </c>
      <c r="F1582" t="inlineStr">
        <is>
          <t>EMPA</t>
        </is>
      </c>
      <c r="G1582" t="inlineStr">
        <is>
          <t>CLP-020</t>
        </is>
      </c>
      <c r="H1582" t="inlineStr">
        <is>
          <t>Protocolo</t>
        </is>
      </c>
      <c r="I1582">
        <v>4</v>
      </c>
      <c r="J1582" t="inlineStr">
        <is>
          <t>Terraplenagem</t>
        </is>
      </c>
      <c r="K1582" t="inlineStr">
        <is>
          <t>4.22</t>
        </is>
      </c>
      <c r="L1582" t="inlineStr">
        <is>
          <t>APP</t>
        </is>
      </c>
      <c r="M1582" t="inlineStr">
        <is>
          <t>Assoreamento</t>
        </is>
      </c>
      <c r="N1582" t="inlineStr">
        <is>
          <t>Aterro com rampa não descarregada, com solo solto em área de APP; necessário regularizar a rampa, retirar o material e recuperar a área.</t>
        </is>
      </c>
      <c r="O1582" t="inlineStr">
        <is>
          <t>Tipo A</t>
        </is>
      </c>
      <c r="P1582" t="inlineStr">
        <is>
          <t>32+800</t>
        </is>
      </c>
      <c r="Q1582" t="inlineStr">
        <is>
          <t>32+800</t>
        </is>
      </c>
      <c r="R1582" t="inlineStr">
        <is>
          <t>Aberta</t>
        </is>
      </c>
      <c r="T1582" t="inlineStr">
        <is>
          <t>Aline Batista</t>
        </is>
      </c>
      <c r="U1582" t="inlineStr">
        <is>
          <t>29/05/2026</t>
        </is>
      </c>
      <c r="V1582" t="inlineStr">
        <is>
          <t>05/06/2026</t>
        </is>
      </c>
      <c r="W1582">
        <v>5</v>
      </c>
      <c r="AA1582" t="inlineStr">
        <is>
          <t>Aberta -30 dias</t>
        </is>
      </c>
      <c r="AB1582" t="inlineStr">
        <is>
          <t>EMPA</t>
        </is>
      </c>
      <c r="AC1582" t="inlineStr">
        <is>
          <t>Aline</t>
        </is>
      </c>
      <c r="AD1582" t="inlineStr">
        <is>
          <t>17/08/2026</t>
        </is>
      </c>
      <c r="AE1582" t="inlineStr">
        <is>
          <t>28/08/2026</t>
        </is>
      </c>
      <c r="AF1582" t="inlineStr">
        <is>
          <t>Prazo Premissa VALE</t>
        </is>
      </c>
    </row>
    <row r="1583">
      <c r="A1583">
        <v>1581</v>
      </c>
      <c r="B1583">
        <v>1</v>
      </c>
      <c r="C1583" t="inlineStr">
        <is>
          <t>1.4A</t>
        </is>
      </c>
      <c r="D1583" t="inlineStr">
        <is>
          <t>A02</t>
        </is>
      </c>
      <c r="E1583" t="inlineStr">
        <is>
          <t>LD</t>
        </is>
      </c>
      <c r="F1583" t="inlineStr">
        <is>
          <t>EMPA</t>
        </is>
      </c>
      <c r="G1583" t="inlineStr">
        <is>
          <t>CLP-020</t>
        </is>
      </c>
      <c r="H1583" t="inlineStr">
        <is>
          <t>Protocolo</t>
        </is>
      </c>
      <c r="I1583">
        <v>4</v>
      </c>
      <c r="J1583" t="inlineStr">
        <is>
          <t>Terraplenagem</t>
        </is>
      </c>
      <c r="K1583" t="inlineStr">
        <is>
          <t>4.25</t>
        </is>
      </c>
      <c r="L1583" t="inlineStr">
        <is>
          <t>Acesso</t>
        </is>
      </c>
      <c r="M1583" t="inlineStr">
        <is>
          <t>Regularização e recuperação de área</t>
        </is>
      </c>
      <c r="N1583" t="inlineStr">
        <is>
          <t>Carreamento de material para fora da faixa de domínio em bueiro no aterro; necessária limpeza do dispositivo e recomposição da área.</t>
        </is>
      </c>
      <c r="O1583" t="inlineStr">
        <is>
          <t>Tipo A</t>
        </is>
      </c>
      <c r="P1583" t="inlineStr">
        <is>
          <t>33+100</t>
        </is>
      </c>
      <c r="Q1583" t="inlineStr">
        <is>
          <t>33+100</t>
        </is>
      </c>
      <c r="R1583" t="inlineStr">
        <is>
          <t>Aberta</t>
        </is>
      </c>
      <c r="T1583" t="inlineStr">
        <is>
          <t>Aline Batista</t>
        </is>
      </c>
      <c r="U1583" t="inlineStr">
        <is>
          <t>29/05/2026</t>
        </is>
      </c>
      <c r="V1583" t="inlineStr">
        <is>
          <t>05/06/2026</t>
        </is>
      </c>
      <c r="W1583">
        <v>5</v>
      </c>
      <c r="AA1583" t="inlineStr">
        <is>
          <t>Aberta -30 dias</t>
        </is>
      </c>
      <c r="AB1583" t="inlineStr">
        <is>
          <t>EMPA</t>
        </is>
      </c>
      <c r="AC1583" t="inlineStr">
        <is>
          <t>Aline</t>
        </is>
      </c>
      <c r="AD1583" t="inlineStr">
        <is>
          <t>31/08/2026</t>
        </is>
      </c>
      <c r="AE1583" t="inlineStr">
        <is>
          <t>10/09/2026</t>
        </is>
      </c>
      <c r="AF1583" t="inlineStr">
        <is>
          <t>Prazo Premissa VALE</t>
        </is>
      </c>
    </row>
    <row r="1584">
      <c r="A1584">
        <v>1582</v>
      </c>
      <c r="B1584">
        <v>1</v>
      </c>
      <c r="C1584" t="inlineStr">
        <is>
          <t>1.4A</t>
        </is>
      </c>
      <c r="D1584" t="inlineStr">
        <is>
          <t>A02</t>
        </is>
      </c>
      <c r="E1584" t="inlineStr">
        <is>
          <t>LE</t>
        </is>
      </c>
      <c r="F1584" t="inlineStr">
        <is>
          <t>EMPA</t>
        </is>
      </c>
      <c r="G1584" t="inlineStr">
        <is>
          <t>CLP-020</t>
        </is>
      </c>
      <c r="H1584" t="inlineStr">
        <is>
          <t>Protocolo</t>
        </is>
      </c>
      <c r="I1584">
        <v>4</v>
      </c>
      <c r="J1584" t="inlineStr">
        <is>
          <t>Terraplenagem</t>
        </is>
      </c>
      <c r="K1584" t="inlineStr">
        <is>
          <t>4.25</t>
        </is>
      </c>
      <c r="L1584" t="inlineStr">
        <is>
          <t>ADME</t>
        </is>
      </c>
      <c r="M1584" t="inlineStr">
        <is>
          <t>Revegetação/ Hidrossemeadura</t>
        </is>
      </c>
      <c r="N1584" t="inlineStr">
        <is>
          <t>Área de empréstimo aberta, com solo e talude expostos; necessária recuperação da área e execução de hidrossemeadura.</t>
        </is>
      </c>
      <c r="O1584" t="inlineStr">
        <is>
          <t>Tipo A</t>
        </is>
      </c>
      <c r="P1584" t="inlineStr">
        <is>
          <t>33+120</t>
        </is>
      </c>
      <c r="Q1584" t="inlineStr">
        <is>
          <t>33+120</t>
        </is>
      </c>
      <c r="R1584" t="inlineStr">
        <is>
          <t>Aberta</t>
        </is>
      </c>
      <c r="T1584" t="inlineStr">
        <is>
          <t>Aline Batista</t>
        </is>
      </c>
      <c r="U1584" t="inlineStr">
        <is>
          <t>29/05/2026</t>
        </is>
      </c>
      <c r="V1584" t="inlineStr">
        <is>
          <t>05/06/2026</t>
        </is>
      </c>
      <c r="W1584">
        <v>5</v>
      </c>
      <c r="AA1584" t="inlineStr">
        <is>
          <t>Aberta -30 dias</t>
        </is>
      </c>
      <c r="AB1584" t="inlineStr">
        <is>
          <t>EMPA</t>
        </is>
      </c>
      <c r="AC1584" t="inlineStr">
        <is>
          <t>Aline</t>
        </is>
      </c>
      <c r="AD1584" t="inlineStr">
        <is>
          <t>31/08/2026</t>
        </is>
      </c>
      <c r="AE1584" t="inlineStr">
        <is>
          <t>10/09/2026</t>
        </is>
      </c>
      <c r="AF1584" t="inlineStr">
        <is>
          <t>Prazo Premissa VALE</t>
        </is>
      </c>
    </row>
    <row r="1585">
      <c r="A1585">
        <v>1583</v>
      </c>
      <c r="B1585">
        <v>1</v>
      </c>
      <c r="C1585" t="inlineStr">
        <is>
          <t>1.4A</t>
        </is>
      </c>
      <c r="D1585" t="inlineStr">
        <is>
          <t>A03</t>
        </is>
      </c>
      <c r="E1585" t="inlineStr">
        <is>
          <t>LD/LE</t>
        </is>
      </c>
      <c r="F1585" t="inlineStr">
        <is>
          <t>EMPA</t>
        </is>
      </c>
      <c r="G1585" t="inlineStr">
        <is>
          <t>CLP-020</t>
        </is>
      </c>
      <c r="H1585" t="inlineStr">
        <is>
          <t>Protocolo</t>
        </is>
      </c>
      <c r="I1585">
        <v>4</v>
      </c>
      <c r="J1585" t="inlineStr">
        <is>
          <t>Terraplenagem</t>
        </is>
      </c>
      <c r="K1585" t="inlineStr">
        <is>
          <t>4.11</t>
        </is>
      </c>
      <c r="L1585" t="inlineStr">
        <is>
          <t>Talude</t>
        </is>
      </c>
      <c r="M1585" t="inlineStr">
        <is>
          <t>Revegetação/ Hidrossemeadura</t>
        </is>
      </c>
      <c r="N1585" t="inlineStr">
        <is>
          <t>Solo exposto; necessário executar hidrossemeadura.</t>
        </is>
      </c>
      <c r="O1585" t="inlineStr">
        <is>
          <t>Tipo A</t>
        </is>
      </c>
      <c r="P1585" t="inlineStr">
        <is>
          <t>33+300</t>
        </is>
      </c>
      <c r="Q1585" t="inlineStr">
        <is>
          <t>33+300</t>
        </is>
      </c>
      <c r="R1585" t="inlineStr">
        <is>
          <t>Aberta</t>
        </is>
      </c>
      <c r="T1585" t="inlineStr">
        <is>
          <t>Aline Batista</t>
        </is>
      </c>
      <c r="U1585" t="inlineStr">
        <is>
          <t>29/05/2026</t>
        </is>
      </c>
      <c r="V1585" t="inlineStr">
        <is>
          <t>05/06/2026</t>
        </is>
      </c>
      <c r="W1585">
        <v>5</v>
      </c>
      <c r="AA1585" t="inlineStr">
        <is>
          <t>Aberta -30 dias</t>
        </is>
      </c>
      <c r="AB1585" t="inlineStr">
        <is>
          <t>EMPA</t>
        </is>
      </c>
      <c r="AC1585" t="inlineStr">
        <is>
          <t>Aline</t>
        </is>
      </c>
      <c r="AD1585" t="inlineStr">
        <is>
          <t>31/08/2026</t>
        </is>
      </c>
      <c r="AE1585" t="inlineStr">
        <is>
          <t>10/09/2026</t>
        </is>
      </c>
      <c r="AF1585" t="inlineStr">
        <is>
          <t>Prazo Premissa VALE</t>
        </is>
      </c>
    </row>
    <row r="1586">
      <c r="A1586">
        <v>1584</v>
      </c>
      <c r="B1586">
        <v>1</v>
      </c>
      <c r="C1586" t="inlineStr">
        <is>
          <t>1.4A</t>
        </is>
      </c>
      <c r="D1586" t="inlineStr">
        <is>
          <t>A03</t>
        </is>
      </c>
      <c r="E1586" t="inlineStr">
        <is>
          <t>LD</t>
        </is>
      </c>
      <c r="F1586" t="inlineStr">
        <is>
          <t>EMPA</t>
        </is>
      </c>
      <c r="G1586" t="inlineStr">
        <is>
          <t>CLP-020</t>
        </is>
      </c>
      <c r="H1586" t="inlineStr">
        <is>
          <t>Protocolo</t>
        </is>
      </c>
      <c r="I1586">
        <v>4</v>
      </c>
      <c r="J1586" t="inlineStr">
        <is>
          <t>Terraplenagem</t>
        </is>
      </c>
      <c r="K1586" t="inlineStr">
        <is>
          <t>4.20</t>
        </is>
      </c>
      <c r="L1586" t="inlineStr">
        <is>
          <t>Acesso</t>
        </is>
      </c>
      <c r="M1586" t="inlineStr">
        <is>
          <t>Erosões</t>
        </is>
      </c>
      <c r="N1586" t="inlineStr">
        <is>
          <t>Acesso da comunidade com processo erosivo; necessária estabilização e correção da erosão.</t>
        </is>
      </c>
      <c r="O1586" t="inlineStr">
        <is>
          <t>Tipo A</t>
        </is>
      </c>
      <c r="P1586" t="inlineStr">
        <is>
          <t>33+350</t>
        </is>
      </c>
      <c r="Q1586" t="inlineStr">
        <is>
          <t>33+350</t>
        </is>
      </c>
      <c r="R1586" t="inlineStr">
        <is>
          <t>Aberta</t>
        </is>
      </c>
      <c r="T1586" t="inlineStr">
        <is>
          <t>Aline Batista</t>
        </is>
      </c>
      <c r="U1586" t="inlineStr">
        <is>
          <t>29/05/2026</t>
        </is>
      </c>
      <c r="V1586" t="inlineStr">
        <is>
          <t>05/06/2026</t>
        </is>
      </c>
      <c r="W1586">
        <v>5</v>
      </c>
      <c r="AA1586" t="inlineStr">
        <is>
          <t>Aberta -30 dias</t>
        </is>
      </c>
      <c r="AB1586" t="inlineStr">
        <is>
          <t>EMPA</t>
        </is>
      </c>
      <c r="AC1586" t="inlineStr">
        <is>
          <t>Aline</t>
        </is>
      </c>
      <c r="AD1586" t="inlineStr">
        <is>
          <t>31/08/2026</t>
        </is>
      </c>
      <c r="AE1586" t="inlineStr">
        <is>
          <t>10/09/2026</t>
        </is>
      </c>
      <c r="AF1586" t="inlineStr">
        <is>
          <t>Prazo Premissa VALE</t>
        </is>
      </c>
    </row>
    <row r="1587">
      <c r="A1587">
        <v>1585</v>
      </c>
      <c r="B1587">
        <v>1</v>
      </c>
      <c r="C1587" t="inlineStr">
        <is>
          <t>1.4A</t>
        </is>
      </c>
      <c r="D1587" t="inlineStr">
        <is>
          <t>A03</t>
        </is>
      </c>
      <c r="E1587" t="inlineStr">
        <is>
          <t>LD</t>
        </is>
      </c>
      <c r="F1587" t="inlineStr">
        <is>
          <t>EMPA</t>
        </is>
      </c>
      <c r="G1587" t="inlineStr">
        <is>
          <t>CLP-020</t>
        </is>
      </c>
      <c r="H1587" t="inlineStr">
        <is>
          <t>Protocolo</t>
        </is>
      </c>
      <c r="I1587">
        <v>4</v>
      </c>
      <c r="J1587" t="inlineStr">
        <is>
          <t>Terraplenagem</t>
        </is>
      </c>
      <c r="K1587" t="inlineStr">
        <is>
          <t>4.11</t>
        </is>
      </c>
      <c r="L1587" t="inlineStr">
        <is>
          <t>APP</t>
        </is>
      </c>
      <c r="M1587" t="inlineStr">
        <is>
          <t>Revegetação/ Hidrossemeadura</t>
        </is>
      </c>
      <c r="N1587" t="inlineStr">
        <is>
          <t>Área de APP desprotegida; necessária recuperação ambiental com estabilização e hidrossemeadura.</t>
        </is>
      </c>
      <c r="O1587" t="inlineStr">
        <is>
          <t>Tipo A</t>
        </is>
      </c>
      <c r="P1587" t="inlineStr">
        <is>
          <t>33+360</t>
        </is>
      </c>
      <c r="Q1587" t="inlineStr">
        <is>
          <t>33+360</t>
        </is>
      </c>
      <c r="R1587" t="inlineStr">
        <is>
          <t>Aberta</t>
        </is>
      </c>
      <c r="T1587" t="inlineStr">
        <is>
          <t>Aline Batista</t>
        </is>
      </c>
      <c r="U1587" t="inlineStr">
        <is>
          <t>29/05/2026</t>
        </is>
      </c>
      <c r="V1587" t="inlineStr">
        <is>
          <t>05/06/2026</t>
        </is>
      </c>
      <c r="W1587">
        <v>5</v>
      </c>
      <c r="AA1587" t="inlineStr">
        <is>
          <t>Aberta -30 dias</t>
        </is>
      </c>
      <c r="AB1587" t="inlineStr">
        <is>
          <t>EMPA</t>
        </is>
      </c>
      <c r="AC1587" t="inlineStr">
        <is>
          <t>Aline</t>
        </is>
      </c>
      <c r="AD1587" t="inlineStr">
        <is>
          <t>31/08/2026</t>
        </is>
      </c>
      <c r="AE1587" t="inlineStr">
        <is>
          <t>10/09/2026</t>
        </is>
      </c>
      <c r="AF1587" t="inlineStr">
        <is>
          <t>Prazo Premissa VALE</t>
        </is>
      </c>
    </row>
    <row r="1588">
      <c r="A1588">
        <v>1586</v>
      </c>
      <c r="B1588">
        <v>1</v>
      </c>
      <c r="C1588" t="inlineStr">
        <is>
          <t>1.4A</t>
        </is>
      </c>
      <c r="D1588" t="inlineStr">
        <is>
          <t>A03</t>
        </is>
      </c>
      <c r="E1588" t="inlineStr">
        <is>
          <t>LE</t>
        </is>
      </c>
      <c r="F1588" t="inlineStr">
        <is>
          <t>EMPA</t>
        </is>
      </c>
      <c r="G1588" t="inlineStr">
        <is>
          <t>CLP-020</t>
        </is>
      </c>
      <c r="H1588" t="inlineStr">
        <is>
          <t>Protocolo</t>
        </is>
      </c>
      <c r="I1588">
        <v>4</v>
      </c>
      <c r="J1588" t="inlineStr">
        <is>
          <t>Terraplenagem</t>
        </is>
      </c>
      <c r="K1588" t="inlineStr">
        <is>
          <t>4.11</t>
        </is>
      </c>
      <c r="L1588" t="inlineStr">
        <is>
          <t>APP</t>
        </is>
      </c>
      <c r="M1588" t="inlineStr">
        <is>
          <t>Revegetação/ Hidrossemeadura</t>
        </is>
      </c>
      <c r="N1588" t="inlineStr">
        <is>
          <t>Solo exposto com acúmulo de material em APP; necessário retirar material, regularizar e executar hidrossemeadura.</t>
        </is>
      </c>
      <c r="O1588" t="inlineStr">
        <is>
          <t>Tipo A</t>
        </is>
      </c>
      <c r="P1588" t="inlineStr">
        <is>
          <t>33+360</t>
        </is>
      </c>
      <c r="Q1588" t="inlineStr">
        <is>
          <t>33+360</t>
        </is>
      </c>
      <c r="R1588" t="inlineStr">
        <is>
          <t>Aberta</t>
        </is>
      </c>
      <c r="T1588" t="inlineStr">
        <is>
          <t>Aline Batista</t>
        </is>
      </c>
      <c r="U1588" t="inlineStr">
        <is>
          <t>29/05/2026</t>
        </is>
      </c>
      <c r="V1588" t="inlineStr">
        <is>
          <t>05/06/2026</t>
        </is>
      </c>
      <c r="W1588">
        <v>5</v>
      </c>
      <c r="AA1588" t="inlineStr">
        <is>
          <t>Aberta -30 dias</t>
        </is>
      </c>
      <c r="AB1588" t="inlineStr">
        <is>
          <t>EMPA</t>
        </is>
      </c>
      <c r="AC1588" t="inlineStr">
        <is>
          <t>Aline</t>
        </is>
      </c>
      <c r="AD1588" t="inlineStr">
        <is>
          <t>31/08/2026</t>
        </is>
      </c>
      <c r="AE1588" t="inlineStr">
        <is>
          <t>10/09/2026</t>
        </is>
      </c>
      <c r="AF1588" t="inlineStr">
        <is>
          <t>Prazo Premissa VALE</t>
        </is>
      </c>
    </row>
    <row r="1589">
      <c r="A1589">
        <v>1587</v>
      </c>
      <c r="B1589">
        <v>1</v>
      </c>
      <c r="C1589" t="inlineStr">
        <is>
          <t>1.4A</t>
        </is>
      </c>
      <c r="D1589" t="inlineStr">
        <is>
          <t>A03</t>
        </is>
      </c>
      <c r="E1589" t="inlineStr">
        <is>
          <t>LD/LE</t>
        </is>
      </c>
      <c r="F1589" t="inlineStr">
        <is>
          <t>EMPA</t>
        </is>
      </c>
      <c r="G1589" t="inlineStr">
        <is>
          <t>CLP-020</t>
        </is>
      </c>
      <c r="H1589" t="inlineStr">
        <is>
          <t>Protocolo</t>
        </is>
      </c>
      <c r="I1589">
        <v>4</v>
      </c>
      <c r="J1589" t="inlineStr">
        <is>
          <t>Terraplenagem</t>
        </is>
      </c>
      <c r="K1589" t="inlineStr">
        <is>
          <t>4.11</t>
        </is>
      </c>
      <c r="L1589" t="inlineStr">
        <is>
          <t>Acesso</t>
        </is>
      </c>
      <c r="M1589" t="inlineStr">
        <is>
          <t>Revegetação/ Hidrossemeadura</t>
        </is>
      </c>
      <c r="N1589" t="inlineStr">
        <is>
          <t>Caminho de serviço com solo exposto, necessário recuperação</t>
        </is>
      </c>
      <c r="O1589" t="inlineStr">
        <is>
          <t>Tipo A</t>
        </is>
      </c>
      <c r="P1589" t="inlineStr">
        <is>
          <t>33+600</t>
        </is>
      </c>
      <c r="Q1589" t="inlineStr">
        <is>
          <t>34+500</t>
        </is>
      </c>
      <c r="R1589" t="inlineStr">
        <is>
          <t>Aberta</t>
        </is>
      </c>
      <c r="T1589" t="inlineStr">
        <is>
          <t>Aline Batista</t>
        </is>
      </c>
      <c r="U1589" t="inlineStr">
        <is>
          <t>29/05/2026</t>
        </is>
      </c>
      <c r="V1589" t="inlineStr">
        <is>
          <t>05/06/2026</t>
        </is>
      </c>
      <c r="W1589">
        <v>5</v>
      </c>
      <c r="AA1589" t="inlineStr">
        <is>
          <t>Aberta -30 dias</t>
        </is>
      </c>
      <c r="AB1589" t="inlineStr">
        <is>
          <t>EMPA</t>
        </is>
      </c>
      <c r="AC1589" t="inlineStr">
        <is>
          <t>Aline</t>
        </is>
      </c>
      <c r="AD1589" t="inlineStr">
        <is>
          <t>31/08/2026</t>
        </is>
      </c>
      <c r="AE1589" t="inlineStr">
        <is>
          <t>10/09/2026</t>
        </is>
      </c>
      <c r="AF1589" t="inlineStr">
        <is>
          <t>Prazo Premissa VALE</t>
        </is>
      </c>
    </row>
    <row r="1590">
      <c r="A1590">
        <v>1588</v>
      </c>
      <c r="B1590">
        <v>1</v>
      </c>
      <c r="C1590" t="inlineStr">
        <is>
          <t>1.4A</t>
        </is>
      </c>
      <c r="D1590" t="inlineStr">
        <is>
          <t>A03</t>
        </is>
      </c>
      <c r="E1590" t="inlineStr">
        <is>
          <t>LD e LE</t>
        </is>
      </c>
      <c r="F1590" t="inlineStr">
        <is>
          <t>EMPA</t>
        </is>
      </c>
      <c r="G1590" t="inlineStr">
        <is>
          <t>CLP-020</t>
        </is>
      </c>
      <c r="H1590" t="inlineStr">
        <is>
          <t>Protocolo</t>
        </is>
      </c>
      <c r="I1590">
        <v>4</v>
      </c>
      <c r="J1590" t="inlineStr">
        <is>
          <t>Terraplenagem</t>
        </is>
      </c>
      <c r="K1590" t="inlineStr">
        <is>
          <t>4.11</t>
        </is>
      </c>
      <c r="L1590" t="inlineStr">
        <is>
          <t>APP</t>
        </is>
      </c>
      <c r="M1590" t="inlineStr">
        <is>
          <t>Regularização e recuperação de área</t>
        </is>
      </c>
      <c r="N1590" t="inlineStr">
        <is>
          <t>Material de descarregamento de rampa em área de APP; necessária retirada do material e recuperação da área.</t>
        </is>
      </c>
      <c r="O1590" t="inlineStr">
        <is>
          <t>Tipo A</t>
        </is>
      </c>
      <c r="P1590" t="inlineStr">
        <is>
          <t>33+800</t>
        </is>
      </c>
      <c r="Q1590" t="inlineStr">
        <is>
          <t>33+800</t>
        </is>
      </c>
      <c r="R1590" t="inlineStr">
        <is>
          <t>Aberta</t>
        </is>
      </c>
      <c r="T1590" t="inlineStr">
        <is>
          <t>Aline Batista</t>
        </is>
      </c>
      <c r="U1590" t="inlineStr">
        <is>
          <t>29/05/2026</t>
        </is>
      </c>
      <c r="V1590" t="inlineStr">
        <is>
          <t>05/06/2026</t>
        </is>
      </c>
      <c r="W1590">
        <v>5</v>
      </c>
      <c r="AA1590" t="inlineStr">
        <is>
          <t>Aberta -30 dias</t>
        </is>
      </c>
      <c r="AB1590" t="inlineStr">
        <is>
          <t>EMPA</t>
        </is>
      </c>
      <c r="AC1590" t="inlineStr">
        <is>
          <t>Aline</t>
        </is>
      </c>
      <c r="AD1590" t="inlineStr">
        <is>
          <t>31/08/2026</t>
        </is>
      </c>
      <c r="AE1590" t="inlineStr">
        <is>
          <t>10/09/2026</t>
        </is>
      </c>
      <c r="AF1590" t="inlineStr">
        <is>
          <t>Prazo Premissa VALE</t>
        </is>
      </c>
    </row>
    <row r="1591">
      <c r="A1591">
        <v>1589</v>
      </c>
      <c r="B1591">
        <v>1</v>
      </c>
      <c r="C1591" t="inlineStr">
        <is>
          <t>1.4A</t>
        </is>
      </c>
      <c r="D1591" t="inlineStr">
        <is>
          <t>A04</t>
        </is>
      </c>
      <c r="E1591" t="inlineStr">
        <is>
          <t>LE</t>
        </is>
      </c>
      <c r="F1591" t="inlineStr">
        <is>
          <t>EMPA</t>
        </is>
      </c>
      <c r="G1591" t="inlineStr">
        <is>
          <t>CLP-020</t>
        </is>
      </c>
      <c r="H1591" t="inlineStr">
        <is>
          <t>Protocolo</t>
        </is>
      </c>
      <c r="I1591">
        <v>4</v>
      </c>
      <c r="J1591" t="inlineStr">
        <is>
          <t>Terraplenagem</t>
        </is>
      </c>
      <c r="K1591" t="inlineStr">
        <is>
          <t>4.11</t>
        </is>
      </c>
      <c r="L1591" t="inlineStr">
        <is>
          <t>Acesso</t>
        </is>
      </c>
      <c r="M1591" t="inlineStr">
        <is>
          <t>Revegetação/ Hidrossemeadura</t>
        </is>
      </c>
      <c r="N1591" t="inlineStr">
        <is>
          <t>Caminho de serviço desprotegido; necessário conformar e executar hidrossemeadura.</t>
        </is>
      </c>
      <c r="O1591" t="inlineStr">
        <is>
          <t>Tipo A</t>
        </is>
      </c>
      <c r="P1591" t="inlineStr">
        <is>
          <t>33+800</t>
        </is>
      </c>
      <c r="Q1591" t="inlineStr">
        <is>
          <t>33+800</t>
        </is>
      </c>
      <c r="R1591" t="inlineStr">
        <is>
          <t>Aberta</t>
        </is>
      </c>
      <c r="T1591" t="inlineStr">
        <is>
          <t>Aline Batista</t>
        </is>
      </c>
      <c r="U1591" t="inlineStr">
        <is>
          <t>29/05/2026</t>
        </is>
      </c>
      <c r="V1591" t="inlineStr">
        <is>
          <t>05/06/2026</t>
        </is>
      </c>
      <c r="W1591">
        <v>5</v>
      </c>
      <c r="AA1591" t="inlineStr">
        <is>
          <t>Aberta -30 dias</t>
        </is>
      </c>
      <c r="AB1591" t="inlineStr">
        <is>
          <t>EMPA</t>
        </is>
      </c>
      <c r="AC1591" t="inlineStr">
        <is>
          <t>Aline</t>
        </is>
      </c>
      <c r="AD1591" t="inlineStr">
        <is>
          <t>31/08/2026</t>
        </is>
      </c>
      <c r="AE1591" t="inlineStr">
        <is>
          <t>10/09/2026</t>
        </is>
      </c>
      <c r="AF1591" t="inlineStr">
        <is>
          <t>Prazo Premissa VALE</t>
        </is>
      </c>
    </row>
    <row r="1592">
      <c r="A1592">
        <v>1590</v>
      </c>
      <c r="B1592">
        <v>1</v>
      </c>
      <c r="C1592" t="inlineStr">
        <is>
          <t>1.4A</t>
        </is>
      </c>
      <c r="D1592" t="inlineStr">
        <is>
          <t>C04</t>
        </is>
      </c>
      <c r="E1592" t="inlineStr">
        <is>
          <t>LE</t>
        </is>
      </c>
      <c r="F1592" t="inlineStr">
        <is>
          <t>EMPA</t>
        </is>
      </c>
      <c r="G1592" t="inlineStr">
        <is>
          <t>CLP-020</t>
        </is>
      </c>
      <c r="H1592" t="inlineStr">
        <is>
          <t>Protocolo</t>
        </is>
      </c>
      <c r="I1592">
        <v>4</v>
      </c>
      <c r="J1592" t="inlineStr">
        <is>
          <t>Terraplenagem</t>
        </is>
      </c>
      <c r="K1592" t="inlineStr">
        <is>
          <t>4.9</t>
        </is>
      </c>
      <c r="L1592" t="inlineStr">
        <is>
          <t>ADME</t>
        </is>
      </c>
      <c r="M1592" t="inlineStr">
        <is>
          <t>Revegetação/ Hidrossemeadura</t>
        </is>
      </c>
      <c r="N1592" t="inlineStr">
        <is>
          <t>ADME com solo exposto; necessário executar hidrossemeadura.</t>
        </is>
      </c>
      <c r="O1592" t="inlineStr">
        <is>
          <t>Tipo A</t>
        </is>
      </c>
      <c r="P1592" t="inlineStr">
        <is>
          <t>34+200</t>
        </is>
      </c>
      <c r="Q1592" t="inlineStr">
        <is>
          <t>34+200</t>
        </is>
      </c>
      <c r="R1592" t="inlineStr">
        <is>
          <t>Aberta</t>
        </is>
      </c>
      <c r="T1592" t="inlineStr">
        <is>
          <t>Aline Batista</t>
        </is>
      </c>
      <c r="U1592" t="inlineStr">
        <is>
          <t>29/05/2026</t>
        </is>
      </c>
      <c r="V1592" t="inlineStr">
        <is>
          <t>05/06/2026</t>
        </is>
      </c>
      <c r="W1592">
        <v>5</v>
      </c>
      <c r="AA1592" t="inlineStr">
        <is>
          <t>Aberta -30 dias</t>
        </is>
      </c>
      <c r="AB1592" t="inlineStr">
        <is>
          <t>EMPA</t>
        </is>
      </c>
      <c r="AC1592" t="inlineStr">
        <is>
          <t>Aline</t>
        </is>
      </c>
      <c r="AD1592" t="inlineStr">
        <is>
          <t>31/08/2026</t>
        </is>
      </c>
      <c r="AE1592" t="inlineStr">
        <is>
          <t>10/09/2026</t>
        </is>
      </c>
      <c r="AF1592" t="inlineStr">
        <is>
          <t>Prazo Premissa VALE</t>
        </is>
      </c>
    </row>
    <row r="1593">
      <c r="A1593">
        <v>1591</v>
      </c>
      <c r="B1593">
        <v>1</v>
      </c>
      <c r="C1593" t="inlineStr">
        <is>
          <t>1.4A</t>
        </is>
      </c>
      <c r="D1593" t="inlineStr">
        <is>
          <t>C04</t>
        </is>
      </c>
      <c r="E1593" t="inlineStr">
        <is>
          <t>LD</t>
        </is>
      </c>
      <c r="F1593" t="inlineStr">
        <is>
          <t>EMPA</t>
        </is>
      </c>
      <c r="G1593" t="inlineStr">
        <is>
          <t>CLP-020</t>
        </is>
      </c>
      <c r="H1593" t="inlineStr">
        <is>
          <t>Protocolo</t>
        </is>
      </c>
      <c r="I1593">
        <v>4</v>
      </c>
      <c r="J1593" t="inlineStr">
        <is>
          <t>Terraplenagem</t>
        </is>
      </c>
      <c r="K1593" t="inlineStr">
        <is>
          <t>4.11</t>
        </is>
      </c>
      <c r="L1593" t="inlineStr">
        <is>
          <t>Talude</t>
        </is>
      </c>
      <c r="M1593" t="inlineStr">
        <is>
          <t>Revegetação/ Hidrossemeadura</t>
        </is>
      </c>
      <c r="N1593" t="inlineStr">
        <is>
          <t>Hidrossemeadura não estabelecida; necessário repasse.</t>
        </is>
      </c>
      <c r="O1593" t="inlineStr">
        <is>
          <t>Tipo A</t>
        </is>
      </c>
      <c r="P1593" t="inlineStr">
        <is>
          <t>34+200</t>
        </is>
      </c>
      <c r="Q1593" t="inlineStr">
        <is>
          <t>34+200</t>
        </is>
      </c>
      <c r="R1593" t="inlineStr">
        <is>
          <t>Aberta</t>
        </is>
      </c>
      <c r="T1593" t="inlineStr">
        <is>
          <t>Aline Batista</t>
        </is>
      </c>
      <c r="U1593" t="inlineStr">
        <is>
          <t>29/05/2026</t>
        </is>
      </c>
      <c r="V1593" t="inlineStr">
        <is>
          <t>05/06/2026</t>
        </is>
      </c>
      <c r="W1593">
        <v>5</v>
      </c>
      <c r="AA1593" t="inlineStr">
        <is>
          <t>Aberta -30 dias</t>
        </is>
      </c>
      <c r="AB1593" t="inlineStr">
        <is>
          <t>EMPA</t>
        </is>
      </c>
      <c r="AC1593" t="inlineStr">
        <is>
          <t>Aline</t>
        </is>
      </c>
      <c r="AD1593" t="inlineStr">
        <is>
          <t>31/08/2026</t>
        </is>
      </c>
      <c r="AE1593" t="inlineStr">
        <is>
          <t>10/09/2026</t>
        </is>
      </c>
      <c r="AF1593" t="inlineStr">
        <is>
          <t>Prazo Premissa VALE</t>
        </is>
      </c>
    </row>
    <row r="1594">
      <c r="A1594">
        <v>1592</v>
      </c>
      <c r="B1594">
        <v>1</v>
      </c>
      <c r="C1594" t="inlineStr">
        <is>
          <t>1.4A</t>
        </is>
      </c>
      <c r="D1594" t="inlineStr">
        <is>
          <t>C04</t>
        </is>
      </c>
      <c r="E1594" t="inlineStr">
        <is>
          <t>LD</t>
        </is>
      </c>
      <c r="F1594" t="inlineStr">
        <is>
          <t>EMPA</t>
        </is>
      </c>
      <c r="G1594" t="inlineStr">
        <is>
          <t>CLP-020</t>
        </is>
      </c>
      <c r="H1594" t="inlineStr">
        <is>
          <t>Protocolo</t>
        </is>
      </c>
      <c r="I1594">
        <v>4</v>
      </c>
      <c r="J1594" t="inlineStr">
        <is>
          <t>Terraplenagem</t>
        </is>
      </c>
      <c r="K1594" t="inlineStr">
        <is>
          <t>4.25</t>
        </is>
      </c>
      <c r="L1594" t="inlineStr">
        <is>
          <t>Talude</t>
        </is>
      </c>
      <c r="M1594" t="inlineStr">
        <is>
          <t>Revegetação/ Hidrossemeadura</t>
        </is>
      </c>
      <c r="N1594" t="inlineStr">
        <is>
          <t>Solo exposto com acúmulo de material; necessária limpeza, regularização e recuperação da área.</t>
        </is>
      </c>
      <c r="O1594" t="inlineStr">
        <is>
          <t>Tipo A</t>
        </is>
      </c>
      <c r="P1594" t="inlineStr">
        <is>
          <t>34+500</t>
        </is>
      </c>
      <c r="Q1594" t="inlineStr">
        <is>
          <t>34+500</t>
        </is>
      </c>
      <c r="R1594" t="inlineStr">
        <is>
          <t>Aberta</t>
        </is>
      </c>
      <c r="T1594" t="inlineStr">
        <is>
          <t>Aline Batista</t>
        </is>
      </c>
      <c r="U1594" t="inlineStr">
        <is>
          <t>29/05/2026</t>
        </is>
      </c>
      <c r="V1594" t="inlineStr">
        <is>
          <t>05/06/2026</t>
        </is>
      </c>
      <c r="W1594">
        <v>5</v>
      </c>
      <c r="AA1594" t="inlineStr">
        <is>
          <t>Aberta -30 dias</t>
        </is>
      </c>
      <c r="AB1594" t="inlineStr">
        <is>
          <t>EMPA</t>
        </is>
      </c>
      <c r="AC1594" t="inlineStr">
        <is>
          <t>Aline</t>
        </is>
      </c>
      <c r="AD1594" t="inlineStr">
        <is>
          <t>31/08/2026</t>
        </is>
      </c>
      <c r="AE1594" t="inlineStr">
        <is>
          <t>10/09/2026</t>
        </is>
      </c>
      <c r="AF1594" t="inlineStr">
        <is>
          <t>Prazo Premissa VALE</t>
        </is>
      </c>
    </row>
    <row r="1595">
      <c r="A1595">
        <v>1593</v>
      </c>
      <c r="B1595">
        <v>1</v>
      </c>
      <c r="C1595" t="inlineStr">
        <is>
          <t>1.4A</t>
        </is>
      </c>
      <c r="D1595" t="inlineStr">
        <is>
          <t>A04</t>
        </is>
      </c>
      <c r="E1595" t="inlineStr">
        <is>
          <t>LD e LE</t>
        </is>
      </c>
      <c r="F1595" t="inlineStr">
        <is>
          <t>EMPA</t>
        </is>
      </c>
      <c r="G1595" t="inlineStr">
        <is>
          <t>CLP-020</t>
        </is>
      </c>
      <c r="H1595" t="inlineStr">
        <is>
          <t>Protocolo</t>
        </is>
      </c>
      <c r="I1595">
        <v>4</v>
      </c>
      <c r="J1595" t="inlineStr">
        <is>
          <t>Terraplenagem</t>
        </is>
      </c>
      <c r="K1595" t="inlineStr">
        <is>
          <t>4.25</t>
        </is>
      </c>
      <c r="L1595" t="inlineStr">
        <is>
          <t>APP</t>
        </is>
      </c>
      <c r="M1595" t="inlineStr">
        <is>
          <t>Limpeza/ remoção de material</t>
        </is>
      </c>
      <c r="N1595" t="inlineStr">
        <is>
          <t>Material de descarregamento de rampa em área de APP; necessária retirada, conformação e recuperação da área.</t>
        </is>
      </c>
      <c r="O1595" t="inlineStr">
        <is>
          <t>Tipo A</t>
        </is>
      </c>
      <c r="P1595" t="inlineStr">
        <is>
          <t>34+600</t>
        </is>
      </c>
      <c r="Q1595" t="inlineStr">
        <is>
          <t>34+600</t>
        </is>
      </c>
      <c r="R1595" t="inlineStr">
        <is>
          <t>Aberta</t>
        </is>
      </c>
      <c r="T1595" t="inlineStr">
        <is>
          <t>Aline Batista</t>
        </is>
      </c>
      <c r="U1595" t="inlineStr">
        <is>
          <t>29/05/2026</t>
        </is>
      </c>
      <c r="V1595" t="inlineStr">
        <is>
          <t>05/06/2026</t>
        </is>
      </c>
      <c r="W1595">
        <v>5</v>
      </c>
      <c r="AA1595" t="inlineStr">
        <is>
          <t>Aberta -30 dias</t>
        </is>
      </c>
      <c r="AB1595" t="inlineStr">
        <is>
          <t>EMPA</t>
        </is>
      </c>
      <c r="AC1595" t="inlineStr">
        <is>
          <t>Aline</t>
        </is>
      </c>
      <c r="AD1595" t="inlineStr">
        <is>
          <t>31/08/2026</t>
        </is>
      </c>
      <c r="AE1595" t="inlineStr">
        <is>
          <t>10/09/2026</t>
        </is>
      </c>
      <c r="AF1595" t="inlineStr">
        <is>
          <t>Prazo Premissa VALE</t>
        </is>
      </c>
    </row>
    <row r="1596">
      <c r="A1596">
        <v>1594</v>
      </c>
      <c r="B1596">
        <v>1</v>
      </c>
      <c r="C1596" t="inlineStr">
        <is>
          <t>1.4A</t>
        </is>
      </c>
      <c r="D1596" t="inlineStr">
        <is>
          <t>A04</t>
        </is>
      </c>
      <c r="E1596" t="inlineStr">
        <is>
          <t>LD</t>
        </is>
      </c>
      <c r="F1596" t="inlineStr">
        <is>
          <t>EMPA</t>
        </is>
      </c>
      <c r="G1596" t="inlineStr">
        <is>
          <t>CLP-020</t>
        </is>
      </c>
      <c r="H1596" t="inlineStr">
        <is>
          <t>Protocolo</t>
        </is>
      </c>
      <c r="I1596">
        <v>4</v>
      </c>
      <c r="J1596" t="inlineStr">
        <is>
          <t>Terraplenagem</t>
        </is>
      </c>
      <c r="K1596" t="inlineStr">
        <is>
          <t>4.25</t>
        </is>
      </c>
      <c r="L1596" t="inlineStr">
        <is>
          <t>Corpo Hídrico</t>
        </is>
      </c>
      <c r="M1596" t="inlineStr">
        <is>
          <t>Assoreamento</t>
        </is>
      </c>
      <c r="N1596" t="inlineStr">
        <is>
          <t>Material carreado para corpo hídrico; necessária remoção imediata e mitigação dos impactos.</t>
        </is>
      </c>
      <c r="O1596" t="inlineStr">
        <is>
          <t>Tipo A</t>
        </is>
      </c>
      <c r="P1596" t="inlineStr">
        <is>
          <t>34+600</t>
        </is>
      </c>
      <c r="Q1596" t="inlineStr">
        <is>
          <t>34+600</t>
        </is>
      </c>
      <c r="R1596" t="inlineStr">
        <is>
          <t>Aberta</t>
        </is>
      </c>
      <c r="T1596" t="inlineStr">
        <is>
          <t>Aline Batista</t>
        </is>
      </c>
      <c r="U1596" t="inlineStr">
        <is>
          <t>29/05/2026</t>
        </is>
      </c>
      <c r="V1596" t="inlineStr">
        <is>
          <t>05/06/2026</t>
        </is>
      </c>
      <c r="W1596">
        <v>5</v>
      </c>
      <c r="AA1596" t="inlineStr">
        <is>
          <t>Aberta -30 dias</t>
        </is>
      </c>
      <c r="AB1596" t="inlineStr">
        <is>
          <t>EMPA</t>
        </is>
      </c>
      <c r="AC1596" t="inlineStr">
        <is>
          <t>Aline</t>
        </is>
      </c>
      <c r="AD1596" t="inlineStr">
        <is>
          <t>31/08/2026</t>
        </is>
      </c>
      <c r="AE1596" t="inlineStr">
        <is>
          <t>10/09/2026</t>
        </is>
      </c>
      <c r="AF1596" t="inlineStr">
        <is>
          <t>Prazo Premissa VALE</t>
        </is>
      </c>
    </row>
    <row r="1597">
      <c r="A1597">
        <v>1595</v>
      </c>
      <c r="B1597">
        <v>1</v>
      </c>
      <c r="C1597" t="inlineStr">
        <is>
          <t>1.4A</t>
        </is>
      </c>
      <c r="D1597" t="inlineStr">
        <is>
          <t>A04</t>
        </is>
      </c>
      <c r="E1597" t="inlineStr">
        <is>
          <t>LD/LE</t>
        </is>
      </c>
      <c r="F1597" t="inlineStr">
        <is>
          <t>EMPA</t>
        </is>
      </c>
      <c r="G1597" t="inlineStr">
        <is>
          <t>CLP-020</t>
        </is>
      </c>
      <c r="H1597" t="inlineStr">
        <is>
          <t>Protocolo</t>
        </is>
      </c>
      <c r="I1597">
        <v>4</v>
      </c>
      <c r="J1597" t="inlineStr">
        <is>
          <t>Terraplenagem</t>
        </is>
      </c>
      <c r="K1597" t="inlineStr">
        <is>
          <t>4.11</t>
        </is>
      </c>
      <c r="L1597" t="inlineStr">
        <is>
          <t>Talude</t>
        </is>
      </c>
      <c r="M1597" t="inlineStr">
        <is>
          <t>Revegetação/ Hidrossemeadura</t>
        </is>
      </c>
      <c r="N1597" t="inlineStr">
        <is>
          <t>Aterro com solo exposto; necessário executar hidrossemeadura.</t>
        </is>
      </c>
      <c r="O1597" t="inlineStr">
        <is>
          <t>Tipo A</t>
        </is>
      </c>
      <c r="P1597" t="inlineStr">
        <is>
          <t>34+600</t>
        </is>
      </c>
      <c r="Q1597" t="inlineStr">
        <is>
          <t>34+600</t>
        </is>
      </c>
      <c r="R1597" t="inlineStr">
        <is>
          <t>Aberta</t>
        </is>
      </c>
      <c r="T1597" t="inlineStr">
        <is>
          <t>Aline Batista</t>
        </is>
      </c>
      <c r="U1597" t="inlineStr">
        <is>
          <t>29/05/2026</t>
        </is>
      </c>
      <c r="V1597" t="inlineStr">
        <is>
          <t>05/06/2026</t>
        </is>
      </c>
      <c r="W1597">
        <v>5</v>
      </c>
      <c r="AA1597" t="inlineStr">
        <is>
          <t>Aberta -30 dias</t>
        </is>
      </c>
      <c r="AB1597" t="inlineStr">
        <is>
          <t>EMPA</t>
        </is>
      </c>
      <c r="AC1597" t="inlineStr">
        <is>
          <t>Aline</t>
        </is>
      </c>
      <c r="AD1597" t="inlineStr">
        <is>
          <t>31/08/2026</t>
        </is>
      </c>
      <c r="AE1597" t="inlineStr">
        <is>
          <t>10/09/2026</t>
        </is>
      </c>
      <c r="AF1597" t="inlineStr">
        <is>
          <t>Prazo Premissa VALE</t>
        </is>
      </c>
    </row>
    <row r="1598">
      <c r="A1598">
        <v>1596</v>
      </c>
      <c r="B1598">
        <v>1</v>
      </c>
      <c r="C1598" t="inlineStr">
        <is>
          <t>1.4A</t>
        </is>
      </c>
      <c r="D1598" t="inlineStr">
        <is>
          <t>C05</t>
        </is>
      </c>
      <c r="E1598" t="inlineStr">
        <is>
          <t>LD e LE</t>
        </is>
      </c>
      <c r="F1598" t="inlineStr">
        <is>
          <t>VALE</t>
        </is>
      </c>
      <c r="G1598" t="inlineStr">
        <is>
          <t>CLP-015</t>
        </is>
      </c>
      <c r="H1598" t="inlineStr">
        <is>
          <t>Protocolo</t>
        </is>
      </c>
      <c r="I1598">
        <v>4</v>
      </c>
      <c r="J1598" t="inlineStr">
        <is>
          <t>Terraplenagem</t>
        </is>
      </c>
      <c r="K1598" t="inlineStr">
        <is>
          <t>4.11</t>
        </is>
      </c>
      <c r="L1598" t="inlineStr">
        <is>
          <t>Talude</t>
        </is>
      </c>
      <c r="M1598" t="inlineStr">
        <is>
          <t>Revegetação/ Hidrossemeadura</t>
        </is>
      </c>
      <c r="N1598" t="inlineStr">
        <is>
          <t>Caminhos de serviço não recuperado; necessário recuperar com conformação, estabilização e hidrossemeadura; no LD, realizar retirada de resíduos.</t>
        </is>
      </c>
      <c r="O1598" t="inlineStr">
        <is>
          <t>Tipo A</t>
        </is>
      </c>
      <c r="P1598" t="inlineStr">
        <is>
          <t>34+700</t>
        </is>
      </c>
      <c r="Q1598" t="inlineStr">
        <is>
          <t>34+700</t>
        </is>
      </c>
      <c r="R1598" t="inlineStr">
        <is>
          <t>Aberta</t>
        </is>
      </c>
      <c r="T1598" t="inlineStr">
        <is>
          <t>Aline Batista</t>
        </is>
      </c>
      <c r="U1598" t="inlineStr">
        <is>
          <t>25/05/2026</t>
        </is>
      </c>
      <c r="V1598" t="inlineStr">
        <is>
          <t>01/06/2026</t>
        </is>
      </c>
      <c r="W1598">
        <v>9</v>
      </c>
      <c r="AA1598" t="inlineStr">
        <is>
          <t>Aberta -30 dias</t>
        </is>
      </c>
      <c r="AB1598" t="inlineStr">
        <is>
          <t>CT-REMANESCENTE</t>
        </is>
      </c>
      <c r="AC1598" t="inlineStr">
        <is>
          <t>Aline</t>
        </is>
      </c>
      <c r="AD1598" t="inlineStr">
        <is>
          <t>17/07/2026</t>
        </is>
      </c>
      <c r="AE1598" t="inlineStr">
        <is>
          <t>29/07/2026</t>
        </is>
      </c>
      <c r="AF1598" t="inlineStr">
        <is>
          <t>Prazo Premissa VALE</t>
        </is>
      </c>
    </row>
    <row r="1599">
      <c r="A1599">
        <v>1597</v>
      </c>
      <c r="B1599">
        <v>1</v>
      </c>
      <c r="C1599" t="inlineStr">
        <is>
          <t>1.4A</t>
        </is>
      </c>
      <c r="D1599" t="inlineStr">
        <is>
          <t>C05</t>
        </is>
      </c>
      <c r="E1599" t="inlineStr">
        <is>
          <t>LE</t>
        </is>
      </c>
      <c r="F1599" t="inlineStr">
        <is>
          <t>VALE</t>
        </is>
      </c>
      <c r="G1599" t="inlineStr">
        <is>
          <t>CLP-015</t>
        </is>
      </c>
      <c r="H1599" t="inlineStr">
        <is>
          <t>Protocolo</t>
        </is>
      </c>
      <c r="I1599">
        <v>4</v>
      </c>
      <c r="J1599" t="inlineStr">
        <is>
          <t>Terraplenagem</t>
        </is>
      </c>
      <c r="K1599" t="inlineStr">
        <is>
          <t>4.11</t>
        </is>
      </c>
      <c r="L1599" t="inlineStr">
        <is>
          <t>Talude</t>
        </is>
      </c>
      <c r="M1599" t="inlineStr">
        <is>
          <t>Revegetação/ Hidrossemeadura</t>
        </is>
      </c>
      <c r="N1599" t="inlineStr">
        <is>
          <t>Necessário conformar o corte e executar hidrossemeadura.</t>
        </is>
      </c>
      <c r="O1599" t="inlineStr">
        <is>
          <t>Tipo A</t>
        </is>
      </c>
      <c r="P1599" t="inlineStr">
        <is>
          <t xml:space="preserve">34+700 </t>
        </is>
      </c>
      <c r="Q1599" t="inlineStr">
        <is>
          <t xml:space="preserve"> 35+100</t>
        </is>
      </c>
      <c r="R1599" t="inlineStr">
        <is>
          <t>Aberta</t>
        </is>
      </c>
      <c r="T1599" t="inlineStr">
        <is>
          <t>Aline Batista</t>
        </is>
      </c>
      <c r="U1599" t="inlineStr">
        <is>
          <t>25/05/2026</t>
        </is>
      </c>
      <c r="V1599" t="inlineStr">
        <is>
          <t>01/06/2026</t>
        </is>
      </c>
      <c r="W1599">
        <v>9</v>
      </c>
      <c r="AA1599" t="inlineStr">
        <is>
          <t>Aberta -30 dias</t>
        </is>
      </c>
      <c r="AB1599" t="inlineStr">
        <is>
          <t>CT-REMANESCENTE</t>
        </is>
      </c>
      <c r="AC1599" t="inlineStr">
        <is>
          <t>Aline</t>
        </is>
      </c>
      <c r="AD1599" t="inlineStr">
        <is>
          <t>17/07/2026</t>
        </is>
      </c>
      <c r="AE1599" t="inlineStr">
        <is>
          <t>29/07/2026</t>
        </is>
      </c>
      <c r="AF1599" t="inlineStr">
        <is>
          <t>Prazo Premissa VALE</t>
        </is>
      </c>
    </row>
    <row r="1600">
      <c r="A1600">
        <v>1598</v>
      </c>
      <c r="B1600">
        <v>1</v>
      </c>
      <c r="C1600" t="inlineStr">
        <is>
          <t>1.4A</t>
        </is>
      </c>
      <c r="D1600" t="inlineStr">
        <is>
          <t>C05</t>
        </is>
      </c>
      <c r="E1600" t="inlineStr">
        <is>
          <t>LD</t>
        </is>
      </c>
      <c r="F1600" t="inlineStr">
        <is>
          <t>EMPA</t>
        </is>
      </c>
      <c r="G1600" t="inlineStr">
        <is>
          <t>CLP-020</t>
        </is>
      </c>
      <c r="H1600" t="inlineStr">
        <is>
          <t>Protocolo</t>
        </is>
      </c>
      <c r="I1600">
        <v>4</v>
      </c>
      <c r="J1600" t="inlineStr">
        <is>
          <t>Terraplenagem</t>
        </is>
      </c>
      <c r="K1600" t="inlineStr">
        <is>
          <t>4.4</t>
        </is>
      </c>
      <c r="L1600" t="inlineStr">
        <is>
          <t>Talude</t>
        </is>
      </c>
      <c r="M1600" t="inlineStr">
        <is>
          <t>Conformação</t>
        </is>
      </c>
      <c r="N1600" t="inlineStr">
        <is>
          <t>Presença de material excedente; necessária retirada e conformação do terreno.</t>
        </is>
      </c>
      <c r="O1600" t="inlineStr">
        <is>
          <t>Tipo A</t>
        </is>
      </c>
      <c r="P1600" t="inlineStr">
        <is>
          <t>34+900</t>
        </is>
      </c>
      <c r="Q1600" t="inlineStr">
        <is>
          <t>34+900</t>
        </is>
      </c>
      <c r="R1600" t="inlineStr">
        <is>
          <t>Aberta</t>
        </is>
      </c>
      <c r="T1600" t="inlineStr">
        <is>
          <t>Aline Batista</t>
        </is>
      </c>
      <c r="U1600" t="inlineStr">
        <is>
          <t>29/05/2026</t>
        </is>
      </c>
      <c r="V1600" t="inlineStr">
        <is>
          <t>05/06/2026</t>
        </is>
      </c>
      <c r="W1600">
        <v>5</v>
      </c>
      <c r="AA1600" t="inlineStr">
        <is>
          <t>Aberta -30 dias</t>
        </is>
      </c>
      <c r="AB1600" t="inlineStr">
        <is>
          <t>EMPA</t>
        </is>
      </c>
      <c r="AC1600" t="inlineStr">
        <is>
          <t>Aline</t>
        </is>
      </c>
      <c r="AD1600" t="inlineStr">
        <is>
          <t>31/08/2026</t>
        </is>
      </c>
      <c r="AE1600" t="inlineStr">
        <is>
          <t>10/09/2026</t>
        </is>
      </c>
      <c r="AF1600" t="inlineStr">
        <is>
          <t>Prazo Premissa VALE</t>
        </is>
      </c>
    </row>
    <row r="1601">
      <c r="A1601">
        <v>1599</v>
      </c>
      <c r="B1601">
        <v>1</v>
      </c>
      <c r="C1601" t="inlineStr">
        <is>
          <t>1.4A</t>
        </is>
      </c>
      <c r="D1601" t="inlineStr">
        <is>
          <t>C05</t>
        </is>
      </c>
      <c r="E1601" t="inlineStr">
        <is>
          <t>LE</t>
        </is>
      </c>
      <c r="F1601" t="inlineStr">
        <is>
          <t>VALE</t>
        </is>
      </c>
      <c r="G1601" t="inlineStr">
        <is>
          <t>CLP-015</t>
        </is>
      </c>
      <c r="H1601" t="inlineStr">
        <is>
          <t>Protocolo</t>
        </is>
      </c>
      <c r="I1601">
        <v>4</v>
      </c>
      <c r="J1601" t="inlineStr">
        <is>
          <t>Terraplenagem</t>
        </is>
      </c>
      <c r="K1601" t="inlineStr">
        <is>
          <t>4.11</t>
        </is>
      </c>
      <c r="L1601" t="inlineStr">
        <is>
          <t>Talude</t>
        </is>
      </c>
      <c r="M1601" t="inlineStr">
        <is>
          <t>Revegetação/ Hidrossemeadura</t>
        </is>
      </c>
      <c r="N1601" t="inlineStr">
        <is>
          <t>Área com cobertura vegetal insuficiente; necessário repasse de hidrossemeadura.</t>
        </is>
      </c>
      <c r="O1601" t="inlineStr">
        <is>
          <t>Tipo A</t>
        </is>
      </c>
      <c r="P1601" t="inlineStr">
        <is>
          <t>35+120</t>
        </is>
      </c>
      <c r="Q1601" t="inlineStr">
        <is>
          <t>35+120</t>
        </is>
      </c>
      <c r="R1601" t="inlineStr">
        <is>
          <t>Aberta</t>
        </is>
      </c>
      <c r="T1601" t="inlineStr">
        <is>
          <t>Aline Batista</t>
        </is>
      </c>
      <c r="U1601" t="inlineStr">
        <is>
          <t>25/05/2026</t>
        </is>
      </c>
      <c r="V1601" t="inlineStr">
        <is>
          <t>01/06/2026</t>
        </is>
      </c>
      <c r="W1601">
        <v>9</v>
      </c>
      <c r="AA1601" t="inlineStr">
        <is>
          <t>Aberta -30 dias</t>
        </is>
      </c>
      <c r="AB1601" t="inlineStr">
        <is>
          <t>CT-REMANESCENTE</t>
        </is>
      </c>
      <c r="AC1601" t="inlineStr">
        <is>
          <t>Aline</t>
        </is>
      </c>
      <c r="AD1601" t="inlineStr">
        <is>
          <t>17/07/2026</t>
        </is>
      </c>
      <c r="AE1601" t="inlineStr">
        <is>
          <t>29/07/2026</t>
        </is>
      </c>
      <c r="AF1601" t="inlineStr">
        <is>
          <t>Prazo Premissa VALE</t>
        </is>
      </c>
    </row>
    <row r="1602">
      <c r="A1602">
        <v>1600</v>
      </c>
      <c r="B1602">
        <v>1</v>
      </c>
      <c r="C1602" t="inlineStr">
        <is>
          <t>1.4A</t>
        </is>
      </c>
      <c r="D1602" t="inlineStr">
        <is>
          <t>C05</t>
        </is>
      </c>
      <c r="E1602" t="inlineStr">
        <is>
          <t>LD</t>
        </is>
      </c>
      <c r="F1602" t="inlineStr">
        <is>
          <t>EMPA</t>
        </is>
      </c>
      <c r="G1602" t="inlineStr">
        <is>
          <t>CLP-020</t>
        </is>
      </c>
      <c r="H1602" t="inlineStr">
        <is>
          <t>Protocolo</t>
        </is>
      </c>
      <c r="I1602">
        <v>4</v>
      </c>
      <c r="J1602" t="inlineStr">
        <is>
          <t>Terraplenagem</t>
        </is>
      </c>
      <c r="K1602" t="inlineStr">
        <is>
          <t>4.32</t>
        </is>
      </c>
      <c r="L1602" t="inlineStr">
        <is>
          <t>Plataforma</t>
        </is>
      </c>
      <c r="M1602" t="inlineStr">
        <is>
          <t>Limpeza/ remoção de material</t>
        </is>
      </c>
      <c r="N1602" t="inlineStr">
        <is>
          <t>Resíduos de concreto próximos à canaleta; necessária retirada e limpeza do dispositivo.</t>
        </is>
      </c>
      <c r="O1602" t="inlineStr">
        <is>
          <t>Tipo A</t>
        </is>
      </c>
      <c r="P1602" t="inlineStr">
        <is>
          <t>35+150</t>
        </is>
      </c>
      <c r="Q1602" t="inlineStr">
        <is>
          <t>35+150</t>
        </is>
      </c>
      <c r="R1602" t="inlineStr">
        <is>
          <t>Aberta</t>
        </is>
      </c>
      <c r="T1602" t="inlineStr">
        <is>
          <t>Aline Batista</t>
        </is>
      </c>
      <c r="U1602" t="inlineStr">
        <is>
          <t>29/05/2026</t>
        </is>
      </c>
      <c r="V1602" t="inlineStr">
        <is>
          <t>05/06/2026</t>
        </is>
      </c>
      <c r="W1602">
        <v>5</v>
      </c>
      <c r="AA1602" t="inlineStr">
        <is>
          <t>Aberta -30 dias</t>
        </is>
      </c>
      <c r="AB1602" t="inlineStr">
        <is>
          <t>EMPA</t>
        </is>
      </c>
      <c r="AC1602" t="inlineStr">
        <is>
          <t>Aline</t>
        </is>
      </c>
      <c r="AD1602" t="inlineStr">
        <is>
          <t>31/08/2026</t>
        </is>
      </c>
      <c r="AE1602" t="inlineStr">
        <is>
          <t>10/09/2026</t>
        </is>
      </c>
      <c r="AF1602" t="inlineStr">
        <is>
          <t>Prazo Premissa VALE</t>
        </is>
      </c>
    </row>
    <row r="1603">
      <c r="A1603">
        <v>1601</v>
      </c>
      <c r="B1603">
        <v>1</v>
      </c>
      <c r="C1603" t="inlineStr">
        <is>
          <t>1.4A</t>
        </is>
      </c>
      <c r="D1603" t="inlineStr">
        <is>
          <t>A05</t>
        </is>
      </c>
      <c r="E1603" t="inlineStr">
        <is>
          <t>LD</t>
        </is>
      </c>
      <c r="F1603" t="inlineStr">
        <is>
          <t>EMPA</t>
        </is>
      </c>
      <c r="G1603" t="inlineStr">
        <is>
          <t>CLP-020</t>
        </is>
      </c>
      <c r="H1603" t="inlineStr">
        <is>
          <t>Protocolo</t>
        </is>
      </c>
      <c r="I1603">
        <v>4</v>
      </c>
      <c r="J1603" t="inlineStr">
        <is>
          <t>Terraplenagem</t>
        </is>
      </c>
      <c r="K1603" t="inlineStr">
        <is>
          <t>4.9</t>
        </is>
      </c>
      <c r="L1603" t="inlineStr">
        <is>
          <t>ADME</t>
        </is>
      </c>
      <c r="M1603" t="inlineStr">
        <is>
          <t>Erosões</t>
        </is>
      </c>
      <c r="N1603" t="inlineStr">
        <is>
          <t>ADME com processo erosivo e solo exposto devido à abertura por equipamento; necessária estabilização da área e execução de hidrossemeadura.</t>
        </is>
      </c>
      <c r="O1603" t="inlineStr">
        <is>
          <t>Tipo A</t>
        </is>
      </c>
      <c r="P1603" t="inlineStr">
        <is>
          <t>35+200</t>
        </is>
      </c>
      <c r="Q1603" t="inlineStr">
        <is>
          <t>35+200</t>
        </is>
      </c>
      <c r="R1603" t="inlineStr">
        <is>
          <t>Aberta</t>
        </is>
      </c>
      <c r="T1603" t="inlineStr">
        <is>
          <t>Aline Batista</t>
        </is>
      </c>
      <c r="U1603" t="inlineStr">
        <is>
          <t>29/05/2026</t>
        </is>
      </c>
      <c r="V1603" t="inlineStr">
        <is>
          <t>05/06/2026</t>
        </is>
      </c>
      <c r="W1603">
        <v>5</v>
      </c>
      <c r="AA1603" t="inlineStr">
        <is>
          <t>Aberta -30 dias</t>
        </is>
      </c>
      <c r="AB1603" t="inlineStr">
        <is>
          <t>EMPA</t>
        </is>
      </c>
      <c r="AC1603" t="inlineStr">
        <is>
          <t>Aline</t>
        </is>
      </c>
      <c r="AD1603" t="inlineStr">
        <is>
          <t>31/08/2026</t>
        </is>
      </c>
      <c r="AE1603" t="inlineStr">
        <is>
          <t>10/09/2026</t>
        </is>
      </c>
      <c r="AF1603" t="inlineStr">
        <is>
          <t>Prazo Premissa VALE</t>
        </is>
      </c>
    </row>
    <row r="1604">
      <c r="A1604">
        <v>1602</v>
      </c>
      <c r="B1604">
        <v>1</v>
      </c>
      <c r="C1604" t="inlineStr">
        <is>
          <t>1.4A</t>
        </is>
      </c>
      <c r="D1604" t="inlineStr">
        <is>
          <t>A05</t>
        </is>
      </c>
      <c r="E1604" t="inlineStr">
        <is>
          <t>LD e LE</t>
        </is>
      </c>
      <c r="F1604" t="inlineStr">
        <is>
          <t>EMPA</t>
        </is>
      </c>
      <c r="G1604" t="inlineStr">
        <is>
          <t>CLP-020</t>
        </is>
      </c>
      <c r="H1604" t="inlineStr">
        <is>
          <t>Protocolo</t>
        </is>
      </c>
      <c r="I1604">
        <v>4</v>
      </c>
      <c r="J1604" t="inlineStr">
        <is>
          <t>Terraplenagem</t>
        </is>
      </c>
      <c r="K1604" t="inlineStr">
        <is>
          <t>4.25</t>
        </is>
      </c>
      <c r="L1604" t="inlineStr">
        <is>
          <t>APP</t>
        </is>
      </c>
      <c r="M1604" t="inlineStr">
        <is>
          <t>Revegetação/ Hidrossemeadura</t>
        </is>
      </c>
      <c r="N1604" t="inlineStr">
        <is>
          <t>Material de descarregamento de rampa em área de APP, com solo exposto; necessária retirada do material e recuperação da área.</t>
        </is>
      </c>
      <c r="O1604" t="inlineStr">
        <is>
          <t>Tipo A</t>
        </is>
      </c>
      <c r="P1604" t="inlineStr">
        <is>
          <t>35+200</t>
        </is>
      </c>
      <c r="Q1604" t="inlineStr">
        <is>
          <t>35+850</t>
        </is>
      </c>
      <c r="R1604" t="inlineStr">
        <is>
          <t>Aberta</t>
        </is>
      </c>
      <c r="T1604" t="inlineStr">
        <is>
          <t>Aline Batista</t>
        </is>
      </c>
      <c r="U1604" t="inlineStr">
        <is>
          <t>29/05/2026</t>
        </is>
      </c>
      <c r="V1604" t="inlineStr">
        <is>
          <t>05/06/2026</t>
        </is>
      </c>
      <c r="W1604">
        <v>5</v>
      </c>
      <c r="AA1604" t="inlineStr">
        <is>
          <t>Aberta -30 dias</t>
        </is>
      </c>
      <c r="AB1604" t="inlineStr">
        <is>
          <t>EMPA</t>
        </is>
      </c>
      <c r="AC1604" t="inlineStr">
        <is>
          <t>Aline</t>
        </is>
      </c>
      <c r="AD1604" t="inlineStr">
        <is>
          <t>31/08/2026</t>
        </is>
      </c>
      <c r="AE1604" t="inlineStr">
        <is>
          <t>10/09/2026</t>
        </is>
      </c>
      <c r="AF1604" t="inlineStr">
        <is>
          <t>Prazo Premissa VALE</t>
        </is>
      </c>
    </row>
    <row r="1605">
      <c r="A1605">
        <v>1603</v>
      </c>
      <c r="B1605">
        <v>1</v>
      </c>
      <c r="C1605" t="inlineStr">
        <is>
          <t>1.4A</t>
        </is>
      </c>
      <c r="D1605" t="inlineStr">
        <is>
          <t>A05</t>
        </is>
      </c>
      <c r="E1605" t="inlineStr">
        <is>
          <t>LE</t>
        </is>
      </c>
      <c r="F1605" t="inlineStr">
        <is>
          <t>EMPA</t>
        </is>
      </c>
      <c r="G1605" t="inlineStr">
        <is>
          <t>CLP-020</t>
        </is>
      </c>
      <c r="H1605" t="inlineStr">
        <is>
          <t>Protocolo</t>
        </is>
      </c>
      <c r="I1605">
        <v>4</v>
      </c>
      <c r="J1605" t="inlineStr">
        <is>
          <t>Terraplenagem</t>
        </is>
      </c>
      <c r="K1605" t="inlineStr">
        <is>
          <t>4.25</t>
        </is>
      </c>
      <c r="L1605" t="inlineStr">
        <is>
          <t xml:space="preserve">Faixa de domínio </t>
        </is>
      </c>
      <c r="M1605" t="inlineStr">
        <is>
          <t>Assoreamento</t>
        </is>
      </c>
      <c r="N1605" t="inlineStr">
        <is>
          <t>Carreamento de sedimentos para fora da faixa</t>
        </is>
      </c>
      <c r="O1605" t="inlineStr">
        <is>
          <t>Tipo A</t>
        </is>
      </c>
      <c r="P1605" t="inlineStr">
        <is>
          <t>35+500</t>
        </is>
      </c>
      <c r="Q1605" t="inlineStr">
        <is>
          <t>35+500</t>
        </is>
      </c>
      <c r="R1605" t="inlineStr">
        <is>
          <t>Aberta</t>
        </is>
      </c>
      <c r="T1605" t="inlineStr">
        <is>
          <t>Aline Batista</t>
        </is>
      </c>
      <c r="U1605" t="inlineStr">
        <is>
          <t>29/05/2026</t>
        </is>
      </c>
      <c r="V1605" t="inlineStr">
        <is>
          <t>05/06/2026</t>
        </is>
      </c>
      <c r="W1605">
        <v>5</v>
      </c>
      <c r="AA1605" t="inlineStr">
        <is>
          <t>Aberta -30 dias</t>
        </is>
      </c>
      <c r="AB1605" t="inlineStr">
        <is>
          <t>EMPA</t>
        </is>
      </c>
      <c r="AC1605" t="inlineStr">
        <is>
          <t>Aline</t>
        </is>
      </c>
      <c r="AD1605" t="inlineStr">
        <is>
          <t>31/08/2026</t>
        </is>
      </c>
      <c r="AE1605" t="inlineStr">
        <is>
          <t>10/09/2026</t>
        </is>
      </c>
      <c r="AF1605" t="inlineStr">
        <is>
          <t>Prazo Premissa VALE</t>
        </is>
      </c>
    </row>
    <row r="1606">
      <c r="A1606">
        <v>1604</v>
      </c>
      <c r="B1606">
        <v>1</v>
      </c>
      <c r="C1606" t="inlineStr">
        <is>
          <t>1.4A</t>
        </is>
      </c>
      <c r="D1606" t="inlineStr">
        <is>
          <t>A05</t>
        </is>
      </c>
      <c r="E1606" t="inlineStr">
        <is>
          <t>LD e LE</t>
        </is>
      </c>
      <c r="F1606" t="inlineStr">
        <is>
          <t>EMPA</t>
        </is>
      </c>
      <c r="G1606" t="inlineStr">
        <is>
          <t>CLP-020</t>
        </is>
      </c>
      <c r="H1606" t="inlineStr">
        <is>
          <t>Protocolo</t>
        </is>
      </c>
      <c r="I1606">
        <v>4</v>
      </c>
      <c r="J1606" t="inlineStr">
        <is>
          <t>Terraplenagem</t>
        </is>
      </c>
      <c r="K1606" t="inlineStr">
        <is>
          <t>4.32</t>
        </is>
      </c>
      <c r="L1606" t="inlineStr">
        <is>
          <t>CAMinho de serviço</t>
        </is>
      </c>
      <c r="M1606" t="inlineStr">
        <is>
          <t>Regularização e recuperação de área</t>
        </is>
      </c>
      <c r="N1606" t="inlineStr">
        <is>
          <t>Presença de passagens molhadas no caminho de serviço; necessária retirada e recuperação do caminho com conformação e estabilização.</t>
        </is>
      </c>
      <c r="O1606" t="inlineStr">
        <is>
          <t>Tipo A</t>
        </is>
      </c>
      <c r="P1606" t="inlineStr">
        <is>
          <t>35+800</t>
        </is>
      </c>
      <c r="Q1606" t="inlineStr">
        <is>
          <t>35+800</t>
        </is>
      </c>
      <c r="R1606" t="inlineStr">
        <is>
          <t>Aberta</t>
        </is>
      </c>
      <c r="T1606" t="inlineStr">
        <is>
          <t>Aline Batista</t>
        </is>
      </c>
      <c r="U1606" t="inlineStr">
        <is>
          <t>29/05/2026</t>
        </is>
      </c>
      <c r="V1606" t="inlineStr">
        <is>
          <t>05/06/2026</t>
        </is>
      </c>
      <c r="W1606">
        <v>5</v>
      </c>
      <c r="AA1606" t="inlineStr">
        <is>
          <t>Aberta -30 dias</t>
        </is>
      </c>
      <c r="AB1606" t="inlineStr">
        <is>
          <t>EMPA</t>
        </is>
      </c>
      <c r="AC1606" t="inlineStr">
        <is>
          <t>Aline</t>
        </is>
      </c>
      <c r="AD1606" t="inlineStr">
        <is>
          <t>31/08/2026</t>
        </is>
      </c>
      <c r="AE1606" t="inlineStr">
        <is>
          <t>10/09/2026</t>
        </is>
      </c>
      <c r="AF1606" t="inlineStr">
        <is>
          <t>Prazo Premissa VALE</t>
        </is>
      </c>
    </row>
    <row r="1607">
      <c r="A1607">
        <v>1605</v>
      </c>
      <c r="B1607">
        <v>1</v>
      </c>
      <c r="C1607" t="inlineStr">
        <is>
          <t>1.4A</t>
        </is>
      </c>
      <c r="D1607" t="inlineStr">
        <is>
          <t>C06</t>
        </is>
      </c>
      <c r="E1607" t="inlineStr">
        <is>
          <t>LD</t>
        </is>
      </c>
      <c r="F1607" t="inlineStr">
        <is>
          <t>EMPA</t>
        </is>
      </c>
      <c r="G1607" t="inlineStr">
        <is>
          <t>CLP-020</t>
        </is>
      </c>
      <c r="H1607" t="inlineStr">
        <is>
          <t>Protocolo</t>
        </is>
      </c>
      <c r="I1607">
        <v>4</v>
      </c>
      <c r="J1607" t="inlineStr">
        <is>
          <t>Terraplenagem</t>
        </is>
      </c>
      <c r="K1607" t="inlineStr">
        <is>
          <t>4.25</t>
        </is>
      </c>
      <c r="L1607" t="inlineStr">
        <is>
          <t>Caminho de serviço</t>
        </is>
      </c>
      <c r="M1607" t="inlineStr">
        <is>
          <t>Regularização e recuperação de área</t>
        </is>
      </c>
      <c r="N1607" t="inlineStr">
        <is>
          <t>Necessário recuperar o caminho de serviço, com recomposição do greide, regularização e estabilização.</t>
        </is>
      </c>
      <c r="O1607" t="inlineStr">
        <is>
          <t>Tipo A</t>
        </is>
      </c>
      <c r="P1607" t="inlineStr">
        <is>
          <t xml:space="preserve">35+950 </t>
        </is>
      </c>
      <c r="Q1607" t="inlineStr">
        <is>
          <t>36+100</t>
        </is>
      </c>
      <c r="R1607" t="inlineStr">
        <is>
          <t>Aberta</t>
        </is>
      </c>
      <c r="T1607" t="inlineStr">
        <is>
          <t>Aline Batista</t>
        </is>
      </c>
      <c r="U1607" t="inlineStr">
        <is>
          <t>29/05/2026</t>
        </is>
      </c>
      <c r="V1607" t="inlineStr">
        <is>
          <t>05/06/2026</t>
        </is>
      </c>
      <c r="W1607">
        <v>5</v>
      </c>
      <c r="AA1607" t="inlineStr">
        <is>
          <t>Aberta -30 dias</t>
        </is>
      </c>
      <c r="AB1607" t="inlineStr">
        <is>
          <t>EMPA</t>
        </is>
      </c>
      <c r="AC1607" t="inlineStr">
        <is>
          <t>Aline</t>
        </is>
      </c>
      <c r="AD1607" t="inlineStr">
        <is>
          <t>31/08/2026</t>
        </is>
      </c>
      <c r="AE1607" t="inlineStr">
        <is>
          <t>10/09/2026</t>
        </is>
      </c>
      <c r="AF1607" t="inlineStr">
        <is>
          <t>Prazo Premissa VALE</t>
        </is>
      </c>
    </row>
    <row r="1608">
      <c r="A1608">
        <v>1606</v>
      </c>
      <c r="B1608">
        <v>1</v>
      </c>
      <c r="C1608" t="inlineStr">
        <is>
          <t>1.4A</t>
        </is>
      </c>
      <c r="D1608" t="inlineStr">
        <is>
          <t>A06</t>
        </is>
      </c>
      <c r="E1608" t="inlineStr">
        <is>
          <t>LD</t>
        </is>
      </c>
      <c r="F1608" t="inlineStr">
        <is>
          <t>EMPA</t>
        </is>
      </c>
      <c r="G1608" t="inlineStr">
        <is>
          <t>CLP-020</t>
        </is>
      </c>
      <c r="H1608" t="inlineStr">
        <is>
          <t>Protocolo</t>
        </is>
      </c>
      <c r="I1608">
        <v>4</v>
      </c>
      <c r="J1608" t="inlineStr">
        <is>
          <t>Terraplenagem</t>
        </is>
      </c>
      <c r="K1608" t="inlineStr">
        <is>
          <t>4.25</t>
        </is>
      </c>
      <c r="L1608" t="inlineStr">
        <is>
          <t>Caminho de serviço</t>
        </is>
      </c>
      <c r="M1608" t="inlineStr">
        <is>
          <t>Regularização e recuperação de área</t>
        </is>
      </c>
      <c r="N1608" t="inlineStr">
        <is>
          <t>Caminho de serviço degradado; necessário recuperar com conformação e estabilização.</t>
        </is>
      </c>
      <c r="O1608" t="inlineStr">
        <is>
          <t>Tipo A</t>
        </is>
      </c>
      <c r="P1608" t="inlineStr">
        <is>
          <t xml:space="preserve">36+100 </t>
        </is>
      </c>
      <c r="Q1608" t="inlineStr">
        <is>
          <t xml:space="preserve"> 36+250</t>
        </is>
      </c>
      <c r="R1608" t="inlineStr">
        <is>
          <t>Aberta</t>
        </is>
      </c>
      <c r="T1608" t="inlineStr">
        <is>
          <t>Aline Batista</t>
        </is>
      </c>
      <c r="U1608" t="inlineStr">
        <is>
          <t>29/05/2026</t>
        </is>
      </c>
      <c r="V1608" t="inlineStr">
        <is>
          <t>05/06/2026</t>
        </is>
      </c>
      <c r="W1608">
        <v>5</v>
      </c>
      <c r="AA1608" t="inlineStr">
        <is>
          <t>Aberta -30 dias</t>
        </is>
      </c>
      <c r="AB1608" t="inlineStr">
        <is>
          <t>EMPA</t>
        </is>
      </c>
      <c r="AC1608" t="inlineStr">
        <is>
          <t>Aline</t>
        </is>
      </c>
      <c r="AD1608" t="inlineStr">
        <is>
          <t>31/08/2026</t>
        </is>
      </c>
      <c r="AE1608" t="inlineStr">
        <is>
          <t>10/09/2026</t>
        </is>
      </c>
      <c r="AF1608" t="inlineStr">
        <is>
          <t>Prazo Premissa VALE</t>
        </is>
      </c>
    </row>
    <row r="1609">
      <c r="A1609">
        <v>1607</v>
      </c>
      <c r="B1609">
        <v>1</v>
      </c>
      <c r="C1609" t="inlineStr">
        <is>
          <t>1.4A</t>
        </is>
      </c>
      <c r="D1609" t="inlineStr">
        <is>
          <t>C07</t>
        </is>
      </c>
      <c r="E1609" t="inlineStr">
        <is>
          <t>LE</t>
        </is>
      </c>
      <c r="F1609" t="inlineStr">
        <is>
          <t>EMPA</t>
        </is>
      </c>
      <c r="G1609" t="inlineStr">
        <is>
          <t>CLP-020</t>
        </is>
      </c>
      <c r="H1609" t="inlineStr">
        <is>
          <t>Protocolo</t>
        </is>
      </c>
      <c r="I1609">
        <v>4</v>
      </c>
      <c r="J1609" t="inlineStr">
        <is>
          <t>Terraplenagem</t>
        </is>
      </c>
      <c r="K1609" t="inlineStr">
        <is>
          <t>4.11</t>
        </is>
      </c>
      <c r="L1609" t="inlineStr">
        <is>
          <t>Talude</t>
        </is>
      </c>
      <c r="M1609" t="inlineStr">
        <is>
          <t>Revegetação/ Hidrossemeadura</t>
        </is>
      </c>
      <c r="N1609" t="inlineStr">
        <is>
          <t>Corte com cobertura insuficiente; necessário repasse de hidrossemeadura.</t>
        </is>
      </c>
      <c r="O1609" t="inlineStr">
        <is>
          <t>Tipo A</t>
        </is>
      </c>
      <c r="P1609" t="inlineStr">
        <is>
          <t>36+250</t>
        </is>
      </c>
      <c r="Q1609" t="inlineStr">
        <is>
          <t>36+250</t>
        </is>
      </c>
      <c r="R1609" t="inlineStr">
        <is>
          <t>Aberta</t>
        </is>
      </c>
      <c r="T1609" t="inlineStr">
        <is>
          <t>Aline Batista</t>
        </is>
      </c>
      <c r="U1609" t="inlineStr">
        <is>
          <t>29/05/2026</t>
        </is>
      </c>
      <c r="V1609" t="inlineStr">
        <is>
          <t>05/06/2026</t>
        </is>
      </c>
      <c r="W1609">
        <v>5</v>
      </c>
      <c r="AA1609" t="inlineStr">
        <is>
          <t>Aberta -30 dias</t>
        </is>
      </c>
      <c r="AB1609" t="inlineStr">
        <is>
          <t>EMPA</t>
        </is>
      </c>
      <c r="AC1609" t="inlineStr">
        <is>
          <t>Aline</t>
        </is>
      </c>
      <c r="AD1609" t="inlineStr">
        <is>
          <t>31/08/2026</t>
        </is>
      </c>
      <c r="AE1609" t="inlineStr">
        <is>
          <t>10/09/2026</t>
        </is>
      </c>
      <c r="AF1609" t="inlineStr">
        <is>
          <t>Prazo Premissa VALE</t>
        </is>
      </c>
    </row>
    <row r="1610">
      <c r="A1610">
        <v>1608</v>
      </c>
      <c r="B1610">
        <v>1</v>
      </c>
      <c r="C1610" t="inlineStr">
        <is>
          <t>1.4A</t>
        </is>
      </c>
      <c r="D1610" t="inlineStr">
        <is>
          <t>C07</t>
        </is>
      </c>
      <c r="E1610" t="inlineStr">
        <is>
          <t>LD</t>
        </is>
      </c>
      <c r="F1610" t="inlineStr">
        <is>
          <t>EMPA</t>
        </is>
      </c>
      <c r="G1610" t="inlineStr">
        <is>
          <t>CLP-020</t>
        </is>
      </c>
      <c r="H1610" t="inlineStr">
        <is>
          <t>Protocolo</t>
        </is>
      </c>
      <c r="I1610">
        <v>4</v>
      </c>
      <c r="J1610" t="inlineStr">
        <is>
          <t>Terraplenagem</t>
        </is>
      </c>
      <c r="K1610" t="inlineStr">
        <is>
          <t>4.32</t>
        </is>
      </c>
      <c r="L1610" t="inlineStr">
        <is>
          <t>Plataforma</t>
        </is>
      </c>
      <c r="M1610" t="inlineStr">
        <is>
          <t>Limpeza/ remoção de material</t>
        </is>
      </c>
      <c r="N1610" t="inlineStr">
        <is>
          <t>Presença de resíduos de bidim; necessária retirada e destinação adequada.</t>
        </is>
      </c>
      <c r="O1610" t="inlineStr">
        <is>
          <t>Tipo A</t>
        </is>
      </c>
      <c r="P1610" t="inlineStr">
        <is>
          <t>36+250</t>
        </is>
      </c>
      <c r="Q1610" t="inlineStr">
        <is>
          <t>36+250</t>
        </is>
      </c>
      <c r="R1610" t="inlineStr">
        <is>
          <t>Aberta</t>
        </is>
      </c>
      <c r="T1610" t="inlineStr">
        <is>
          <t>Aline Batista</t>
        </is>
      </c>
      <c r="U1610" t="inlineStr">
        <is>
          <t>29/05/2026</t>
        </is>
      </c>
      <c r="V1610" t="inlineStr">
        <is>
          <t>05/06/2026</t>
        </is>
      </c>
      <c r="W1610">
        <v>5</v>
      </c>
      <c r="AA1610" t="inlineStr">
        <is>
          <t>Aberta -30 dias</t>
        </is>
      </c>
      <c r="AB1610" t="inlineStr">
        <is>
          <t>EMPA</t>
        </is>
      </c>
      <c r="AC1610" t="inlineStr">
        <is>
          <t>Aline</t>
        </is>
      </c>
      <c r="AD1610" t="inlineStr">
        <is>
          <t>31/08/2026</t>
        </is>
      </c>
      <c r="AE1610" t="inlineStr">
        <is>
          <t>10/09/2026</t>
        </is>
      </c>
      <c r="AF1610" t="inlineStr">
        <is>
          <t>Prazo Premissa VALE</t>
        </is>
      </c>
    </row>
    <row r="1611">
      <c r="A1611">
        <v>1609</v>
      </c>
      <c r="B1611">
        <v>1</v>
      </c>
      <c r="C1611" t="inlineStr">
        <is>
          <t>1.4A</t>
        </is>
      </c>
      <c r="D1611" t="inlineStr">
        <is>
          <t>A07</t>
        </is>
      </c>
      <c r="E1611" t="inlineStr">
        <is>
          <t>LE</t>
        </is>
      </c>
      <c r="F1611" t="inlineStr">
        <is>
          <t>EMPA</t>
        </is>
      </c>
      <c r="G1611" t="inlineStr">
        <is>
          <t>CLP-020</t>
        </is>
      </c>
      <c r="H1611" t="inlineStr">
        <is>
          <t>Protocolo</t>
        </is>
      </c>
      <c r="I1611">
        <v>4</v>
      </c>
      <c r="J1611" t="inlineStr">
        <is>
          <t>Terraplenagem</t>
        </is>
      </c>
      <c r="K1611" t="inlineStr">
        <is>
          <t>4.11</t>
        </is>
      </c>
      <c r="L1611" t="inlineStr">
        <is>
          <t>Caminho de serviço</t>
        </is>
      </c>
      <c r="M1611" t="inlineStr">
        <is>
          <t>Regularização e recuperação de área</t>
        </is>
      </c>
      <c r="N1611" t="inlineStr">
        <is>
          <t>Caminho de serviço degradado; necessário recuperar com conformação e hidrossemeadura.</t>
        </is>
      </c>
      <c r="O1611" t="inlineStr">
        <is>
          <t>Tipo A</t>
        </is>
      </c>
      <c r="P1611" t="inlineStr">
        <is>
          <t>36+420</t>
        </is>
      </c>
      <c r="Q1611" t="inlineStr">
        <is>
          <t>36+420</t>
        </is>
      </c>
      <c r="R1611" t="inlineStr">
        <is>
          <t>Aberta</t>
        </is>
      </c>
      <c r="T1611" t="inlineStr">
        <is>
          <t>Aline Batista</t>
        </is>
      </c>
      <c r="U1611" t="inlineStr">
        <is>
          <t>29/05/2026</t>
        </is>
      </c>
      <c r="V1611" t="inlineStr">
        <is>
          <t>05/06/2026</t>
        </is>
      </c>
      <c r="W1611">
        <v>5</v>
      </c>
      <c r="AA1611" t="inlineStr">
        <is>
          <t>Aberta -30 dias</t>
        </is>
      </c>
      <c r="AB1611" t="inlineStr">
        <is>
          <t>EMPA</t>
        </is>
      </c>
      <c r="AC1611" t="inlineStr">
        <is>
          <t>Aline</t>
        </is>
      </c>
      <c r="AD1611" t="inlineStr">
        <is>
          <t>31/08/2026</t>
        </is>
      </c>
      <c r="AE1611" t="inlineStr">
        <is>
          <t>10/09/2026</t>
        </is>
      </c>
      <c r="AF1611" t="inlineStr">
        <is>
          <t>Prazo Premissa VALE</t>
        </is>
      </c>
    </row>
    <row r="1612">
      <c r="A1612">
        <v>1610</v>
      </c>
      <c r="B1612">
        <v>1</v>
      </c>
      <c r="C1612" t="inlineStr">
        <is>
          <t>1.4A</t>
        </is>
      </c>
      <c r="D1612" t="inlineStr">
        <is>
          <t>C08</t>
        </is>
      </c>
      <c r="E1612" t="inlineStr">
        <is>
          <t>LD</t>
        </is>
      </c>
      <c r="F1612" t="inlineStr">
        <is>
          <t>EMPA</t>
        </is>
      </c>
      <c r="G1612" t="inlineStr">
        <is>
          <t>CLP-020</t>
        </is>
      </c>
      <c r="H1612" t="inlineStr">
        <is>
          <t>Protocolo</t>
        </is>
      </c>
      <c r="I1612">
        <v>4</v>
      </c>
      <c r="J1612" t="inlineStr">
        <is>
          <t>Terraplenagem</t>
        </is>
      </c>
      <c r="K1612" t="inlineStr">
        <is>
          <t>4.20</t>
        </is>
      </c>
      <c r="L1612" t="inlineStr">
        <is>
          <t>Caminho de serviço</t>
        </is>
      </c>
      <c r="M1612" t="inlineStr">
        <is>
          <t>Erosões</t>
        </is>
      </c>
      <c r="N1612" t="inlineStr">
        <is>
          <t>Processo erosivo no caminho de serviço; necessária estabilização e recuperação.</t>
        </is>
      </c>
      <c r="O1612" t="inlineStr">
        <is>
          <t>Tipo A</t>
        </is>
      </c>
      <c r="P1612" t="inlineStr">
        <is>
          <t>36+460</t>
        </is>
      </c>
      <c r="Q1612" t="inlineStr">
        <is>
          <t>36+460</t>
        </is>
      </c>
      <c r="R1612" t="inlineStr">
        <is>
          <t>Aberta</t>
        </is>
      </c>
      <c r="T1612" t="inlineStr">
        <is>
          <t>Aline Batista</t>
        </is>
      </c>
      <c r="U1612" t="inlineStr">
        <is>
          <t>29/05/2026</t>
        </is>
      </c>
      <c r="V1612" t="inlineStr">
        <is>
          <t>05/06/2026</t>
        </is>
      </c>
      <c r="W1612">
        <v>5</v>
      </c>
      <c r="AA1612" t="inlineStr">
        <is>
          <t>Aberta -30 dias</t>
        </is>
      </c>
      <c r="AB1612" t="inlineStr">
        <is>
          <t>EMPA</t>
        </is>
      </c>
      <c r="AC1612" t="inlineStr">
        <is>
          <t>Aline</t>
        </is>
      </c>
      <c r="AD1612" t="inlineStr">
        <is>
          <t>31/08/2026</t>
        </is>
      </c>
      <c r="AE1612" t="inlineStr">
        <is>
          <t>10/09/2026</t>
        </is>
      </c>
      <c r="AF1612" t="inlineStr">
        <is>
          <t>Prazo Premissa VALE</t>
        </is>
      </c>
    </row>
    <row r="1613">
      <c r="A1613">
        <v>1611</v>
      </c>
      <c r="B1613">
        <v>1</v>
      </c>
      <c r="C1613" t="inlineStr">
        <is>
          <t>1.4A</t>
        </is>
      </c>
      <c r="D1613" t="inlineStr">
        <is>
          <t>C08</t>
        </is>
      </c>
      <c r="E1613" t="inlineStr">
        <is>
          <t>LD e LE</t>
        </is>
      </c>
      <c r="F1613" t="inlineStr">
        <is>
          <t>EMPA</t>
        </is>
      </c>
      <c r="G1613" t="inlineStr">
        <is>
          <t>CLP-020</t>
        </is>
      </c>
      <c r="H1613" t="inlineStr">
        <is>
          <t>Protocolo</t>
        </is>
      </c>
      <c r="I1613">
        <v>4</v>
      </c>
      <c r="J1613" t="inlineStr">
        <is>
          <t>Terraplenagem</t>
        </is>
      </c>
      <c r="K1613" t="inlineStr">
        <is>
          <t>4.11</t>
        </is>
      </c>
      <c r="L1613" t="inlineStr">
        <is>
          <t>CZB</t>
        </is>
      </c>
      <c r="M1613" t="inlineStr">
        <is>
          <t>Obstrução do dispositivo</t>
        </is>
      </c>
      <c r="N1613" t="inlineStr">
        <is>
          <t>Canaletas obstruídas; necessária limpeza e repasse de hidrossemeadura.</t>
        </is>
      </c>
      <c r="O1613" t="inlineStr">
        <is>
          <t>Tipo A</t>
        </is>
      </c>
      <c r="P1613" t="inlineStr">
        <is>
          <t>36+500</t>
        </is>
      </c>
      <c r="Q1613" t="inlineStr">
        <is>
          <t>36+500</t>
        </is>
      </c>
      <c r="R1613" t="inlineStr">
        <is>
          <t>Aberta</t>
        </is>
      </c>
      <c r="T1613" t="inlineStr">
        <is>
          <t>Aline Batista</t>
        </is>
      </c>
      <c r="U1613" t="inlineStr">
        <is>
          <t>29/05/2026</t>
        </is>
      </c>
      <c r="V1613" t="inlineStr">
        <is>
          <t>05/06/2026</t>
        </is>
      </c>
      <c r="W1613">
        <v>5</v>
      </c>
      <c r="AA1613" t="inlineStr">
        <is>
          <t>Aberta -30 dias</t>
        </is>
      </c>
      <c r="AB1613" t="inlineStr">
        <is>
          <t>EMPA</t>
        </is>
      </c>
      <c r="AC1613" t="inlineStr">
        <is>
          <t>Aline</t>
        </is>
      </c>
      <c r="AD1613" t="inlineStr">
        <is>
          <t>31/08/2026</t>
        </is>
      </c>
      <c r="AE1613" t="inlineStr">
        <is>
          <t>10/09/2026</t>
        </is>
      </c>
      <c r="AF1613" t="inlineStr">
        <is>
          <t>Prazo Premissa VALE</t>
        </is>
      </c>
    </row>
    <row r="1614">
      <c r="A1614">
        <v>1612</v>
      </c>
      <c r="B1614">
        <v>1</v>
      </c>
      <c r="C1614" t="inlineStr">
        <is>
          <t>1.4A</t>
        </is>
      </c>
      <c r="D1614" t="inlineStr">
        <is>
          <t>C08</t>
        </is>
      </c>
      <c r="E1614" t="inlineStr">
        <is>
          <t>LE</t>
        </is>
      </c>
      <c r="F1614" t="inlineStr">
        <is>
          <t>EMPA</t>
        </is>
      </c>
      <c r="G1614" t="inlineStr">
        <is>
          <t>CLP-020</t>
        </is>
      </c>
      <c r="H1614" t="inlineStr">
        <is>
          <t>Protocolo</t>
        </is>
      </c>
      <c r="I1614">
        <v>4</v>
      </c>
      <c r="J1614" t="inlineStr">
        <is>
          <t>Terraplenagem</t>
        </is>
      </c>
      <c r="K1614" t="inlineStr">
        <is>
          <t>4.11</t>
        </is>
      </c>
      <c r="L1614" t="inlineStr">
        <is>
          <t>Talude</t>
        </is>
      </c>
      <c r="M1614" t="inlineStr">
        <is>
          <t>Revegetação/ Hidrossemeadura</t>
        </is>
      </c>
      <c r="N1614" t="inlineStr">
        <is>
          <t>Necessária execução de repasse de hidrossemeadura.</t>
        </is>
      </c>
      <c r="O1614" t="inlineStr">
        <is>
          <t>Tipo A</t>
        </is>
      </c>
      <c r="P1614" t="inlineStr">
        <is>
          <t>36+650</t>
        </is>
      </c>
      <c r="Q1614" t="inlineStr">
        <is>
          <t>36+650</t>
        </is>
      </c>
      <c r="R1614" t="inlineStr">
        <is>
          <t>Aberta</t>
        </is>
      </c>
      <c r="T1614" t="inlineStr">
        <is>
          <t>Aline Batista</t>
        </is>
      </c>
      <c r="U1614" t="inlineStr">
        <is>
          <t>29/05/2026</t>
        </is>
      </c>
      <c r="V1614" t="inlineStr">
        <is>
          <t>05/06/2026</t>
        </is>
      </c>
      <c r="W1614">
        <v>5</v>
      </c>
      <c r="AA1614" t="inlineStr">
        <is>
          <t>Aberta -30 dias</t>
        </is>
      </c>
      <c r="AB1614" t="inlineStr">
        <is>
          <t>EMPA</t>
        </is>
      </c>
      <c r="AC1614" t="inlineStr">
        <is>
          <t>Aline</t>
        </is>
      </c>
      <c r="AD1614" t="inlineStr">
        <is>
          <t>31/08/2026</t>
        </is>
      </c>
      <c r="AE1614" t="inlineStr">
        <is>
          <t>10/09/2026</t>
        </is>
      </c>
      <c r="AF1614" t="inlineStr">
        <is>
          <t>Prazo Premissa VALE</t>
        </is>
      </c>
    </row>
    <row r="1615">
      <c r="A1615">
        <v>1613</v>
      </c>
      <c r="B1615">
        <v>1</v>
      </c>
      <c r="C1615" t="inlineStr">
        <is>
          <t>1.4A</t>
        </is>
      </c>
      <c r="D1615" t="inlineStr">
        <is>
          <t>C08</t>
        </is>
      </c>
      <c r="E1615" t="inlineStr">
        <is>
          <t>LE</t>
        </is>
      </c>
      <c r="F1615" t="inlineStr">
        <is>
          <t>EMPA</t>
        </is>
      </c>
      <c r="G1615" t="inlineStr">
        <is>
          <t>CLP-020</t>
        </is>
      </c>
      <c r="H1615" t="inlineStr">
        <is>
          <t>Protocolo</t>
        </is>
      </c>
      <c r="I1615">
        <v>4</v>
      </c>
      <c r="J1615" t="inlineStr">
        <is>
          <t>Terraplenagem</t>
        </is>
      </c>
      <c r="K1615" t="inlineStr">
        <is>
          <t>4.11</t>
        </is>
      </c>
      <c r="L1615" t="inlineStr">
        <is>
          <t>Talude</t>
        </is>
      </c>
      <c r="M1615" t="inlineStr">
        <is>
          <t>Revegetação/ Hidrossemeadura</t>
        </is>
      </c>
      <c r="N1615" t="inlineStr">
        <is>
          <t>Caminho de serviço degradado; necessário recuperar e executar hidrossemeadura na banqueta do corte.</t>
        </is>
      </c>
      <c r="O1615" t="inlineStr">
        <is>
          <t>Tipo A</t>
        </is>
      </c>
      <c r="P1615" t="inlineStr">
        <is>
          <t>36+700</t>
        </is>
      </c>
      <c r="Q1615" t="inlineStr">
        <is>
          <t>36+700</t>
        </is>
      </c>
      <c r="R1615" t="inlineStr">
        <is>
          <t>Aberta</t>
        </is>
      </c>
      <c r="T1615" t="inlineStr">
        <is>
          <t>Aline Batista</t>
        </is>
      </c>
      <c r="U1615" t="inlineStr">
        <is>
          <t>29/05/2026</t>
        </is>
      </c>
      <c r="V1615" t="inlineStr">
        <is>
          <t>05/06/2026</t>
        </is>
      </c>
      <c r="W1615">
        <v>5</v>
      </c>
      <c r="AA1615" t="inlineStr">
        <is>
          <t>Aberta -30 dias</t>
        </is>
      </c>
      <c r="AB1615" t="inlineStr">
        <is>
          <t>EMPA</t>
        </is>
      </c>
      <c r="AC1615" t="inlineStr">
        <is>
          <t>Aline</t>
        </is>
      </c>
      <c r="AD1615" t="inlineStr">
        <is>
          <t>31/08/2026</t>
        </is>
      </c>
      <c r="AE1615" t="inlineStr">
        <is>
          <t>10/09/2026</t>
        </is>
      </c>
      <c r="AF1615" t="inlineStr">
        <is>
          <t>Prazo Premissa VALE</t>
        </is>
      </c>
    </row>
    <row r="1616">
      <c r="A1616">
        <v>1614</v>
      </c>
      <c r="B1616">
        <v>1</v>
      </c>
      <c r="C1616" t="inlineStr">
        <is>
          <t>1.4A</t>
        </is>
      </c>
      <c r="D1616" t="inlineStr">
        <is>
          <t>A08</t>
        </is>
      </c>
      <c r="E1616" t="inlineStr">
        <is>
          <t>LE</t>
        </is>
      </c>
      <c r="F1616" t="inlineStr">
        <is>
          <t>EMPA</t>
        </is>
      </c>
      <c r="G1616" t="inlineStr">
        <is>
          <t>CLP-020</t>
        </is>
      </c>
      <c r="H1616" t="inlineStr">
        <is>
          <t>Protocolo</t>
        </is>
      </c>
      <c r="I1616">
        <v>4</v>
      </c>
      <c r="J1616" t="inlineStr">
        <is>
          <t>Terraplenagem</t>
        </is>
      </c>
      <c r="K1616" t="inlineStr">
        <is>
          <t>4.11</t>
        </is>
      </c>
      <c r="L1616" t="inlineStr">
        <is>
          <t>Talude</t>
        </is>
      </c>
      <c r="M1616" t="inlineStr">
        <is>
          <t>Revegetação/ Hidrossemeadura</t>
        </is>
      </c>
      <c r="N1616" t="inlineStr">
        <is>
          <t>Necessidade de repasse de hidrossemeadura; área impactada por material de limpeza de canaleta.</t>
        </is>
      </c>
      <c r="O1616" t="inlineStr">
        <is>
          <t>Tipo A</t>
        </is>
      </c>
      <c r="P1616" t="inlineStr">
        <is>
          <t>36+850</t>
        </is>
      </c>
      <c r="Q1616" t="inlineStr">
        <is>
          <t>36+850</t>
        </is>
      </c>
      <c r="R1616" t="inlineStr">
        <is>
          <t>Aberta</t>
        </is>
      </c>
      <c r="T1616" t="inlineStr">
        <is>
          <t>Aline Batista</t>
        </is>
      </c>
      <c r="U1616" t="inlineStr">
        <is>
          <t>29/05/2026</t>
        </is>
      </c>
      <c r="V1616" t="inlineStr">
        <is>
          <t>05/06/2026</t>
        </is>
      </c>
      <c r="W1616">
        <v>5</v>
      </c>
      <c r="AA1616" t="inlineStr">
        <is>
          <t>Aberta -30 dias</t>
        </is>
      </c>
      <c r="AB1616" t="inlineStr">
        <is>
          <t>EMPA</t>
        </is>
      </c>
      <c r="AC1616" t="inlineStr">
        <is>
          <t>Aline</t>
        </is>
      </c>
      <c r="AD1616" t="inlineStr">
        <is>
          <t>31/08/2026</t>
        </is>
      </c>
      <c r="AE1616" t="inlineStr">
        <is>
          <t>10/09/2026</t>
        </is>
      </c>
      <c r="AF1616" t="inlineStr">
        <is>
          <t>Prazo Premissa VALE</t>
        </is>
      </c>
    </row>
    <row r="1617">
      <c r="A1617">
        <v>1615</v>
      </c>
      <c r="B1617">
        <v>1</v>
      </c>
      <c r="C1617" t="inlineStr">
        <is>
          <t>1.4A</t>
        </is>
      </c>
      <c r="D1617" t="inlineStr">
        <is>
          <t>A08</t>
        </is>
      </c>
      <c r="E1617" t="inlineStr">
        <is>
          <t>LE</t>
        </is>
      </c>
      <c r="F1617" t="inlineStr">
        <is>
          <t>EMPA</t>
        </is>
      </c>
      <c r="G1617" t="inlineStr">
        <is>
          <t>CLP-020</t>
        </is>
      </c>
      <c r="H1617" t="inlineStr">
        <is>
          <t>Protocolo</t>
        </is>
      </c>
      <c r="I1617">
        <v>4</v>
      </c>
      <c r="J1617" t="inlineStr">
        <is>
          <t>Terraplenagem</t>
        </is>
      </c>
      <c r="K1617" t="inlineStr">
        <is>
          <t>4.11</t>
        </is>
      </c>
      <c r="L1617" t="inlineStr">
        <is>
          <t>Talude</t>
        </is>
      </c>
      <c r="M1617" t="inlineStr">
        <is>
          <t>Revegetação/ Hidrossemeadura</t>
        </is>
      </c>
      <c r="N1617" t="inlineStr">
        <is>
          <t>Corte e banqueta com cobertura vegetal insuficiente; necessário repasse de hidrossemeadura.</t>
        </is>
      </c>
      <c r="O1617" t="inlineStr">
        <is>
          <t>Tipo A</t>
        </is>
      </c>
      <c r="P1617" t="inlineStr">
        <is>
          <t>37+000</t>
        </is>
      </c>
      <c r="Q1617" t="inlineStr">
        <is>
          <t>37+000</t>
        </is>
      </c>
      <c r="R1617" t="inlineStr">
        <is>
          <t>Aberta</t>
        </is>
      </c>
      <c r="T1617" t="inlineStr">
        <is>
          <t>Aline Batista</t>
        </is>
      </c>
      <c r="U1617" t="inlineStr">
        <is>
          <t>29/05/2026</t>
        </is>
      </c>
      <c r="V1617" t="inlineStr">
        <is>
          <t>05/06/2026</t>
        </is>
      </c>
      <c r="W1617">
        <v>5</v>
      </c>
      <c r="AA1617" t="inlineStr">
        <is>
          <t>Aberta -30 dias</t>
        </is>
      </c>
      <c r="AB1617" t="inlineStr">
        <is>
          <t>EMPA</t>
        </is>
      </c>
      <c r="AC1617" t="inlineStr">
        <is>
          <t>Aline</t>
        </is>
      </c>
      <c r="AD1617" t="inlineStr">
        <is>
          <t>31/08/2026</t>
        </is>
      </c>
      <c r="AE1617" t="inlineStr">
        <is>
          <t>10/09/2026</t>
        </is>
      </c>
      <c r="AF1617" t="inlineStr">
        <is>
          <t>Prazo Premissa VALE</t>
        </is>
      </c>
    </row>
    <row r="1618">
      <c r="A1618">
        <v>1616</v>
      </c>
      <c r="B1618">
        <v>1</v>
      </c>
      <c r="C1618" t="inlineStr">
        <is>
          <t>1.4A</t>
        </is>
      </c>
      <c r="D1618" t="inlineStr">
        <is>
          <t>A08</t>
        </is>
      </c>
      <c r="E1618" t="inlineStr">
        <is>
          <t>LD</t>
        </is>
      </c>
      <c r="F1618" t="inlineStr">
        <is>
          <t>EMPA</t>
        </is>
      </c>
      <c r="G1618" t="inlineStr">
        <is>
          <t>CLP-020</t>
        </is>
      </c>
      <c r="H1618" t="inlineStr">
        <is>
          <t>Protocolo</t>
        </is>
      </c>
      <c r="I1618">
        <v>4</v>
      </c>
      <c r="J1618" t="inlineStr">
        <is>
          <t>Terraplenagem</t>
        </is>
      </c>
      <c r="K1618" t="inlineStr">
        <is>
          <t>4.11</t>
        </is>
      </c>
      <c r="L1618" t="inlineStr">
        <is>
          <t>Talude</t>
        </is>
      </c>
      <c r="M1618" t="inlineStr">
        <is>
          <t>Revegetação/ Hidrossemeadura</t>
        </is>
      </c>
      <c r="N1618" t="inlineStr">
        <is>
          <t>Caminho de serviço degradado; necessário recuperar com conformação e hidrossemeadura.</t>
        </is>
      </c>
      <c r="O1618" t="inlineStr">
        <is>
          <t>Tipo A</t>
        </is>
      </c>
      <c r="P1618" t="inlineStr">
        <is>
          <t>37+000</t>
        </is>
      </c>
      <c r="Q1618" t="inlineStr">
        <is>
          <t>37+000</t>
        </is>
      </c>
      <c r="R1618" t="inlineStr">
        <is>
          <t>Aberta</t>
        </is>
      </c>
      <c r="T1618" t="inlineStr">
        <is>
          <t>Aline Batista</t>
        </is>
      </c>
      <c r="U1618" t="inlineStr">
        <is>
          <t>29/05/2026</t>
        </is>
      </c>
      <c r="V1618" t="inlineStr">
        <is>
          <t>05/06/2026</t>
        </is>
      </c>
      <c r="W1618">
        <v>5</v>
      </c>
      <c r="AA1618" t="inlineStr">
        <is>
          <t>Aberta -30 dias</t>
        </is>
      </c>
      <c r="AB1618" t="inlineStr">
        <is>
          <t>EMPA</t>
        </is>
      </c>
      <c r="AC1618" t="inlineStr">
        <is>
          <t>Aline</t>
        </is>
      </c>
      <c r="AD1618" t="inlineStr">
        <is>
          <t>31/08/2026</t>
        </is>
      </c>
      <c r="AE1618" t="inlineStr">
        <is>
          <t>10/09/2026</t>
        </is>
      </c>
      <c r="AF1618" t="inlineStr">
        <is>
          <t>Prazo Premissa VALE</t>
        </is>
      </c>
    </row>
    <row r="1619">
      <c r="A1619">
        <v>1617</v>
      </c>
      <c r="B1619">
        <v>1</v>
      </c>
      <c r="C1619" t="inlineStr">
        <is>
          <t>1.4A</t>
        </is>
      </c>
      <c r="D1619" t="inlineStr">
        <is>
          <t>A08</t>
        </is>
      </c>
      <c r="E1619" t="inlineStr">
        <is>
          <t>LD</t>
        </is>
      </c>
      <c r="F1619" t="inlineStr">
        <is>
          <t>EMPA</t>
        </is>
      </c>
      <c r="G1619" t="inlineStr">
        <is>
          <t>CLP-020</t>
        </is>
      </c>
      <c r="H1619" t="inlineStr">
        <is>
          <t>Protocolo</t>
        </is>
      </c>
      <c r="I1619">
        <v>4</v>
      </c>
      <c r="J1619" t="inlineStr">
        <is>
          <t>Terraplenagem</t>
        </is>
      </c>
      <c r="K1619" t="inlineStr">
        <is>
          <t>4.32</t>
        </is>
      </c>
      <c r="L1619" t="inlineStr">
        <is>
          <t>Talude</t>
        </is>
      </c>
      <c r="M1619" t="inlineStr">
        <is>
          <t>Limpeza/ remoção de material</t>
        </is>
      </c>
      <c r="N1619" t="inlineStr">
        <is>
          <t xml:space="preserve">Resíduos em local inadequado </t>
        </is>
      </c>
      <c r="O1619" t="inlineStr">
        <is>
          <t>Tipo A</t>
        </is>
      </c>
      <c r="P1619" t="inlineStr">
        <is>
          <t>37+000</t>
        </is>
      </c>
      <c r="Q1619" t="inlineStr">
        <is>
          <t>37+000</t>
        </is>
      </c>
      <c r="R1619" t="inlineStr">
        <is>
          <t>Aberta</t>
        </is>
      </c>
      <c r="T1619" t="inlineStr">
        <is>
          <t>Aline Batista</t>
        </is>
      </c>
      <c r="U1619" t="inlineStr">
        <is>
          <t>29/05/2026</t>
        </is>
      </c>
      <c r="V1619" t="inlineStr">
        <is>
          <t>05/06/2026</t>
        </is>
      </c>
      <c r="W1619">
        <v>5</v>
      </c>
      <c r="AA1619" t="inlineStr">
        <is>
          <t>Aberta -30 dias</t>
        </is>
      </c>
      <c r="AB1619" t="inlineStr">
        <is>
          <t>EMPA</t>
        </is>
      </c>
      <c r="AC1619" t="inlineStr">
        <is>
          <t>Aline</t>
        </is>
      </c>
      <c r="AD1619" t="inlineStr">
        <is>
          <t>31/08/2026</t>
        </is>
      </c>
      <c r="AE1619" t="inlineStr">
        <is>
          <t>10/09/2026</t>
        </is>
      </c>
      <c r="AF1619" t="inlineStr">
        <is>
          <t>Prazo Premissa VALE</t>
        </is>
      </c>
    </row>
    <row r="1620">
      <c r="A1620">
        <v>1618</v>
      </c>
      <c r="B1620">
        <v>1</v>
      </c>
      <c r="C1620" t="inlineStr">
        <is>
          <t>1.4A</t>
        </is>
      </c>
      <c r="D1620" t="inlineStr">
        <is>
          <t>C09</t>
        </is>
      </c>
      <c r="E1620" t="inlineStr">
        <is>
          <t>LD e LE</t>
        </is>
      </c>
      <c r="F1620" t="inlineStr">
        <is>
          <t>EMPA</t>
        </is>
      </c>
      <c r="G1620" t="inlineStr">
        <is>
          <t>CLP-020</t>
        </is>
      </c>
      <c r="H1620" t="inlineStr">
        <is>
          <t>Protocolo</t>
        </is>
      </c>
      <c r="I1620">
        <v>4</v>
      </c>
      <c r="J1620" t="inlineStr">
        <is>
          <t>Terraplenagem</t>
        </is>
      </c>
      <c r="K1620" t="inlineStr">
        <is>
          <t>4.11</t>
        </is>
      </c>
      <c r="L1620" t="inlineStr">
        <is>
          <t>Talude</t>
        </is>
      </c>
      <c r="M1620" t="inlineStr">
        <is>
          <t>Revegetação/ Hidrossemeadura</t>
        </is>
      </c>
      <c r="N1620" t="inlineStr">
        <is>
          <t>Cobertura vegetal insuficiente; necessário repasse de hidrossemeadura.</t>
        </is>
      </c>
      <c r="O1620" t="inlineStr">
        <is>
          <t>Tipo A</t>
        </is>
      </c>
      <c r="P1620" t="inlineStr">
        <is>
          <t>37+080</t>
        </is>
      </c>
      <c r="Q1620" t="inlineStr">
        <is>
          <t>37+080</t>
        </is>
      </c>
      <c r="R1620" t="inlineStr">
        <is>
          <t>Aberta</t>
        </is>
      </c>
      <c r="T1620" t="inlineStr">
        <is>
          <t>Aline Batista</t>
        </is>
      </c>
      <c r="U1620" t="inlineStr">
        <is>
          <t>29/05/2026</t>
        </is>
      </c>
      <c r="V1620" t="inlineStr">
        <is>
          <t>05/06/2026</t>
        </is>
      </c>
      <c r="W1620">
        <v>5</v>
      </c>
      <c r="AA1620" t="inlineStr">
        <is>
          <t>Aberta -30 dias</t>
        </is>
      </c>
      <c r="AB1620" t="inlineStr">
        <is>
          <t>EMPA</t>
        </is>
      </c>
      <c r="AC1620" t="inlineStr">
        <is>
          <t>Aline</t>
        </is>
      </c>
      <c r="AD1620" t="inlineStr">
        <is>
          <t>31/08/2026</t>
        </is>
      </c>
      <c r="AE1620" t="inlineStr">
        <is>
          <t>10/09/2026</t>
        </is>
      </c>
      <c r="AF1620" t="inlineStr">
        <is>
          <t>Prazo Premissa VALE</t>
        </is>
      </c>
    </row>
    <row r="1621">
      <c r="A1621">
        <v>1619</v>
      </c>
      <c r="B1621">
        <v>1</v>
      </c>
      <c r="C1621" t="inlineStr">
        <is>
          <t>1.4A</t>
        </is>
      </c>
      <c r="D1621" t="inlineStr">
        <is>
          <t>C09</t>
        </is>
      </c>
      <c r="E1621" t="inlineStr">
        <is>
          <t>LE</t>
        </is>
      </c>
      <c r="F1621" t="inlineStr">
        <is>
          <t>EMPA</t>
        </is>
      </c>
      <c r="G1621" t="inlineStr">
        <is>
          <t>CLP-020</t>
        </is>
      </c>
      <c r="H1621" t="inlineStr">
        <is>
          <t>Protocolo</t>
        </is>
      </c>
      <c r="I1621">
        <v>4</v>
      </c>
      <c r="J1621" t="inlineStr">
        <is>
          <t>Terraplenagem</t>
        </is>
      </c>
      <c r="K1621" t="inlineStr">
        <is>
          <t>4.11</t>
        </is>
      </c>
      <c r="L1621" t="inlineStr">
        <is>
          <t>Talude</t>
        </is>
      </c>
      <c r="M1621" t="inlineStr">
        <is>
          <t>Revegetação/ Hidrossemeadura</t>
        </is>
      </c>
      <c r="N1621" t="inlineStr">
        <is>
          <t>Solo exposto em corte; necessário executar hidrossemeadura.</t>
        </is>
      </c>
      <c r="O1621" t="inlineStr">
        <is>
          <t>Tipo A</t>
        </is>
      </c>
      <c r="P1621" t="inlineStr">
        <is>
          <t>37+100</t>
        </is>
      </c>
      <c r="Q1621" t="inlineStr">
        <is>
          <t>37+100</t>
        </is>
      </c>
      <c r="R1621" t="inlineStr">
        <is>
          <t>Aberta</t>
        </is>
      </c>
      <c r="T1621" t="inlineStr">
        <is>
          <t>Aline Batista</t>
        </is>
      </c>
      <c r="U1621" t="inlineStr">
        <is>
          <t>29/05/2026</t>
        </is>
      </c>
      <c r="V1621" t="inlineStr">
        <is>
          <t>05/06/2026</t>
        </is>
      </c>
      <c r="W1621">
        <v>5</v>
      </c>
      <c r="AA1621" t="inlineStr">
        <is>
          <t>Aberta -30 dias</t>
        </is>
      </c>
      <c r="AB1621" t="inlineStr">
        <is>
          <t>EMPA</t>
        </is>
      </c>
      <c r="AC1621" t="inlineStr">
        <is>
          <t>Aline</t>
        </is>
      </c>
      <c r="AD1621" t="inlineStr">
        <is>
          <t>31/08/2026</t>
        </is>
      </c>
      <c r="AE1621" t="inlineStr">
        <is>
          <t>10/09/2026</t>
        </is>
      </c>
      <c r="AF1621" t="inlineStr">
        <is>
          <t>Prazo Premissa VALE</t>
        </is>
      </c>
    </row>
    <row r="1622">
      <c r="A1622">
        <v>1620</v>
      </c>
      <c r="B1622">
        <v>1</v>
      </c>
      <c r="C1622" t="inlineStr">
        <is>
          <t>1.4A</t>
        </is>
      </c>
      <c r="D1622" t="inlineStr">
        <is>
          <t>C09</t>
        </is>
      </c>
      <c r="E1622" t="inlineStr">
        <is>
          <t>LD</t>
        </is>
      </c>
      <c r="F1622" t="inlineStr">
        <is>
          <t>EMPA</t>
        </is>
      </c>
      <c r="G1622" t="inlineStr">
        <is>
          <t>CLP-020</t>
        </is>
      </c>
      <c r="H1622" t="inlineStr">
        <is>
          <t>Protocolo</t>
        </is>
      </c>
      <c r="I1622">
        <v>4</v>
      </c>
      <c r="J1622" t="inlineStr">
        <is>
          <t>Terraplenagem</t>
        </is>
      </c>
      <c r="K1622" t="inlineStr">
        <is>
          <t>4.20</t>
        </is>
      </c>
      <c r="L1622" t="inlineStr">
        <is>
          <t>DVS 01</t>
        </is>
      </c>
      <c r="M1622" t="inlineStr">
        <is>
          <t>Erosões</t>
        </is>
      </c>
      <c r="N1622" t="inlineStr">
        <is>
          <t>Processo erosivo na saída do dissipador; necessária correção e estabilização com hidrossemeadura.</t>
        </is>
      </c>
      <c r="O1622" t="inlineStr">
        <is>
          <t>Tipo A</t>
        </is>
      </c>
      <c r="P1622" t="inlineStr">
        <is>
          <t>37+100</t>
        </is>
      </c>
      <c r="Q1622" t="inlineStr">
        <is>
          <t>37+100</t>
        </is>
      </c>
      <c r="R1622" t="inlineStr">
        <is>
          <t>Aberta</t>
        </is>
      </c>
      <c r="T1622" t="inlineStr">
        <is>
          <t>Aline Batista</t>
        </is>
      </c>
      <c r="U1622" t="inlineStr">
        <is>
          <t>29/05/2026</t>
        </is>
      </c>
      <c r="V1622" t="inlineStr">
        <is>
          <t>05/06/2026</t>
        </is>
      </c>
      <c r="W1622">
        <v>5</v>
      </c>
      <c r="AA1622" t="inlineStr">
        <is>
          <t>Aberta -30 dias</t>
        </is>
      </c>
      <c r="AB1622" t="inlineStr">
        <is>
          <t>EMPA</t>
        </is>
      </c>
      <c r="AC1622" t="inlineStr">
        <is>
          <t>Aline</t>
        </is>
      </c>
      <c r="AD1622" t="inlineStr">
        <is>
          <t>31/08/2026</t>
        </is>
      </c>
      <c r="AE1622" t="inlineStr">
        <is>
          <t>10/09/2026</t>
        </is>
      </c>
      <c r="AF1622" t="inlineStr">
        <is>
          <t>Prazo Premissa VALE</t>
        </is>
      </c>
    </row>
    <row r="1623">
      <c r="A1623">
        <v>1621</v>
      </c>
      <c r="B1623">
        <v>1</v>
      </c>
      <c r="C1623" t="inlineStr">
        <is>
          <t>1.4A</t>
        </is>
      </c>
      <c r="D1623" t="inlineStr">
        <is>
          <t>A09</t>
        </is>
      </c>
      <c r="E1623" t="inlineStr">
        <is>
          <t>LD/LE</t>
        </is>
      </c>
      <c r="F1623" t="inlineStr">
        <is>
          <t>EMPA</t>
        </is>
      </c>
      <c r="G1623" t="inlineStr">
        <is>
          <t>CLP-020</t>
        </is>
      </c>
      <c r="H1623" t="inlineStr">
        <is>
          <t>Protocolo</t>
        </is>
      </c>
      <c r="I1623">
        <v>4</v>
      </c>
      <c r="J1623" t="inlineStr">
        <is>
          <t>Terraplenagem</t>
        </is>
      </c>
      <c r="K1623" t="inlineStr">
        <is>
          <t>4.11</t>
        </is>
      </c>
      <c r="L1623" t="inlineStr">
        <is>
          <t>Talude</t>
        </is>
      </c>
      <c r="M1623" t="inlineStr">
        <is>
          <t>Revegetação/ Hidrossemeadura</t>
        </is>
      </c>
      <c r="N1623" t="inlineStr">
        <is>
          <t>Necessário repasse de hidrossemeadura</t>
        </is>
      </c>
      <c r="O1623" t="inlineStr">
        <is>
          <t>Tipo A</t>
        </is>
      </c>
      <c r="P1623" t="inlineStr">
        <is>
          <t>37+280</t>
        </is>
      </c>
      <c r="Q1623" t="inlineStr">
        <is>
          <t>37+280</t>
        </is>
      </c>
      <c r="R1623" t="inlineStr">
        <is>
          <t>Aberta</t>
        </is>
      </c>
      <c r="T1623" t="inlineStr">
        <is>
          <t>Aline Batista</t>
        </is>
      </c>
      <c r="U1623" t="inlineStr">
        <is>
          <t>29/05/2026</t>
        </is>
      </c>
      <c r="V1623" t="inlineStr">
        <is>
          <t>05/06/2026</t>
        </is>
      </c>
      <c r="W1623">
        <v>5</v>
      </c>
      <c r="AA1623" t="inlineStr">
        <is>
          <t>Aberta -30 dias</t>
        </is>
      </c>
      <c r="AB1623" t="inlineStr">
        <is>
          <t>EMPA</t>
        </is>
      </c>
      <c r="AC1623" t="inlineStr">
        <is>
          <t>Aline</t>
        </is>
      </c>
      <c r="AD1623" t="inlineStr">
        <is>
          <t>31/08/2026</t>
        </is>
      </c>
      <c r="AE1623" t="inlineStr">
        <is>
          <t>10/09/2026</t>
        </is>
      </c>
      <c r="AF1623" t="inlineStr">
        <is>
          <t>Prazo Premissa VALE</t>
        </is>
      </c>
    </row>
    <row r="1624">
      <c r="A1624">
        <v>1622</v>
      </c>
      <c r="B1624">
        <v>1</v>
      </c>
      <c r="C1624" t="inlineStr">
        <is>
          <t>1.4A</t>
        </is>
      </c>
      <c r="D1624" t="inlineStr">
        <is>
          <t>A09</t>
        </is>
      </c>
      <c r="E1624" t="inlineStr">
        <is>
          <t>LD e LE</t>
        </is>
      </c>
      <c r="F1624" t="inlineStr">
        <is>
          <t>EMPA</t>
        </is>
      </c>
      <c r="G1624" t="inlineStr">
        <is>
          <t>CLP-020</t>
        </is>
      </c>
      <c r="H1624" t="inlineStr">
        <is>
          <t>Protocolo</t>
        </is>
      </c>
      <c r="I1624">
        <v>4</v>
      </c>
      <c r="J1624" t="inlineStr">
        <is>
          <t>Terraplenagem</t>
        </is>
      </c>
      <c r="K1624" t="inlineStr">
        <is>
          <t>4.11</t>
        </is>
      </c>
      <c r="L1624" t="inlineStr">
        <is>
          <t>Talude</t>
        </is>
      </c>
      <c r="M1624" t="inlineStr">
        <is>
          <t>Revegetação/ Hidrossemeadura</t>
        </is>
      </c>
      <c r="N1624" t="inlineStr">
        <is>
          <t>Caminho de serviço com solo exposto; necessário recuperar com conformação e hidrossemeadura.</t>
        </is>
      </c>
      <c r="O1624" t="inlineStr">
        <is>
          <t>Tipo A</t>
        </is>
      </c>
      <c r="P1624" t="inlineStr">
        <is>
          <t>37+300</t>
        </is>
      </c>
      <c r="Q1624" t="inlineStr">
        <is>
          <t>37+300</t>
        </is>
      </c>
      <c r="R1624" t="inlineStr">
        <is>
          <t>Aberta</t>
        </is>
      </c>
      <c r="T1624" t="inlineStr">
        <is>
          <t>Aline Batista</t>
        </is>
      </c>
      <c r="U1624" t="inlineStr">
        <is>
          <t>29/05/2026</t>
        </is>
      </c>
      <c r="V1624" t="inlineStr">
        <is>
          <t>05/06/2026</t>
        </is>
      </c>
      <c r="W1624">
        <v>5</v>
      </c>
      <c r="AA1624" t="inlineStr">
        <is>
          <t>Aberta -30 dias</t>
        </is>
      </c>
      <c r="AB1624" t="inlineStr">
        <is>
          <t>EMPA</t>
        </is>
      </c>
      <c r="AC1624" t="inlineStr">
        <is>
          <t>Aline</t>
        </is>
      </c>
      <c r="AD1624" t="inlineStr">
        <is>
          <t>31/08/2026</t>
        </is>
      </c>
      <c r="AE1624" t="inlineStr">
        <is>
          <t>10/09/2026</t>
        </is>
      </c>
      <c r="AF1624" t="inlineStr">
        <is>
          <t>Prazo Premissa VALE</t>
        </is>
      </c>
    </row>
    <row r="1625">
      <c r="A1625">
        <v>1623</v>
      </c>
      <c r="B1625">
        <v>1</v>
      </c>
      <c r="C1625" t="inlineStr">
        <is>
          <t>1.4A</t>
        </is>
      </c>
      <c r="D1625" t="inlineStr">
        <is>
          <t>C10</t>
        </is>
      </c>
      <c r="E1625" t="inlineStr">
        <is>
          <t>LE</t>
        </is>
      </c>
      <c r="F1625" t="inlineStr">
        <is>
          <t>EMPA</t>
        </is>
      </c>
      <c r="G1625" t="inlineStr">
        <is>
          <t>CLP-020</t>
        </is>
      </c>
      <c r="H1625" t="inlineStr">
        <is>
          <t>Protocolo</t>
        </is>
      </c>
      <c r="I1625">
        <v>4</v>
      </c>
      <c r="J1625" t="inlineStr">
        <is>
          <t>Terraplenagem</t>
        </is>
      </c>
      <c r="K1625" t="inlineStr">
        <is>
          <t>4.11</t>
        </is>
      </c>
      <c r="L1625" t="inlineStr">
        <is>
          <t>ADME</t>
        </is>
      </c>
      <c r="M1625" t="inlineStr">
        <is>
          <t>Revegetação/ Hidrossemeadura</t>
        </is>
      </c>
      <c r="N1625" t="inlineStr">
        <is>
          <t>ADME com solo exposto e não conformada; necessária regularização e hidrossemeadura.</t>
        </is>
      </c>
      <c r="O1625" t="inlineStr">
        <is>
          <t>Tipo A</t>
        </is>
      </c>
      <c r="P1625" t="inlineStr">
        <is>
          <t>37+500</t>
        </is>
      </c>
      <c r="Q1625" t="inlineStr">
        <is>
          <t>37+500</t>
        </is>
      </c>
      <c r="R1625" t="inlineStr">
        <is>
          <t>Aberta</t>
        </is>
      </c>
      <c r="T1625" t="inlineStr">
        <is>
          <t>Aline Batista</t>
        </is>
      </c>
      <c r="U1625" t="inlineStr">
        <is>
          <t>29/05/2026</t>
        </is>
      </c>
      <c r="V1625" t="inlineStr">
        <is>
          <t>05/06/2026</t>
        </is>
      </c>
      <c r="W1625">
        <v>5</v>
      </c>
      <c r="AA1625" t="inlineStr">
        <is>
          <t>Aberta -30 dias</t>
        </is>
      </c>
      <c r="AB1625" t="inlineStr">
        <is>
          <t>EMPA</t>
        </is>
      </c>
      <c r="AC1625" t="inlineStr">
        <is>
          <t>Aline</t>
        </is>
      </c>
      <c r="AD1625" t="inlineStr">
        <is>
          <t>31/08/2026</t>
        </is>
      </c>
      <c r="AE1625" t="inlineStr">
        <is>
          <t>10/09/2026</t>
        </is>
      </c>
      <c r="AF1625" t="inlineStr">
        <is>
          <t>Prazo Premissa VALE</t>
        </is>
      </c>
    </row>
    <row r="1626">
      <c r="A1626">
        <v>1624</v>
      </c>
      <c r="B1626">
        <v>1</v>
      </c>
      <c r="C1626" t="inlineStr">
        <is>
          <t>1.4A</t>
        </is>
      </c>
      <c r="D1626" t="inlineStr">
        <is>
          <t>C10</t>
        </is>
      </c>
      <c r="E1626" t="inlineStr">
        <is>
          <t>LD e LE</t>
        </is>
      </c>
      <c r="F1626" t="inlineStr">
        <is>
          <t>EMPA</t>
        </is>
      </c>
      <c r="G1626" t="inlineStr">
        <is>
          <t>CLP-020</t>
        </is>
      </c>
      <c r="H1626" t="inlineStr">
        <is>
          <t>Protocolo</t>
        </is>
      </c>
      <c r="I1626">
        <v>4</v>
      </c>
      <c r="J1626" t="inlineStr">
        <is>
          <t>Terraplenagem</t>
        </is>
      </c>
      <c r="K1626" t="inlineStr">
        <is>
          <t>4.11</t>
        </is>
      </c>
      <c r="L1626" t="inlineStr">
        <is>
          <t>Talude</t>
        </is>
      </c>
      <c r="M1626" t="inlineStr">
        <is>
          <t>Revegetação/ Hidrossemeadura</t>
        </is>
      </c>
      <c r="N1626" t="inlineStr">
        <is>
          <t>Corte sem hidrossemeadura; necessária execução.</t>
        </is>
      </c>
      <c r="O1626" t="inlineStr">
        <is>
          <t>Tipo A</t>
        </is>
      </c>
      <c r="P1626" t="inlineStr">
        <is>
          <t>37+500</t>
        </is>
      </c>
      <c r="Q1626" t="inlineStr">
        <is>
          <t>37+500</t>
        </is>
      </c>
      <c r="R1626" t="inlineStr">
        <is>
          <t>Aberta</t>
        </is>
      </c>
      <c r="T1626" t="inlineStr">
        <is>
          <t>Aline Batista</t>
        </is>
      </c>
      <c r="U1626" t="inlineStr">
        <is>
          <t>29/05/2026</t>
        </is>
      </c>
      <c r="V1626" t="inlineStr">
        <is>
          <t>05/06/2026</t>
        </is>
      </c>
      <c r="W1626">
        <v>5</v>
      </c>
      <c r="AA1626" t="inlineStr">
        <is>
          <t>Aberta -30 dias</t>
        </is>
      </c>
      <c r="AB1626" t="inlineStr">
        <is>
          <t>EMPA</t>
        </is>
      </c>
      <c r="AC1626" t="inlineStr">
        <is>
          <t>Aline</t>
        </is>
      </c>
      <c r="AD1626" t="inlineStr">
        <is>
          <t>31/08/2026</t>
        </is>
      </c>
      <c r="AE1626" t="inlineStr">
        <is>
          <t>10/09/2026</t>
        </is>
      </c>
      <c r="AF1626" t="inlineStr">
        <is>
          <t>Prazo Premissa VALE</t>
        </is>
      </c>
    </row>
    <row r="1627">
      <c r="A1627">
        <v>1625</v>
      </c>
      <c r="B1627">
        <v>1</v>
      </c>
      <c r="C1627" t="inlineStr">
        <is>
          <t>1.4A</t>
        </is>
      </c>
      <c r="D1627" t="inlineStr">
        <is>
          <t>C10</t>
        </is>
      </c>
      <c r="E1627" t="inlineStr">
        <is>
          <t>LD/LE</t>
        </is>
      </c>
      <c r="F1627" t="inlineStr">
        <is>
          <t>EMPA</t>
        </is>
      </c>
      <c r="G1627" t="inlineStr">
        <is>
          <t>CLP-020</t>
        </is>
      </c>
      <c r="H1627" t="inlineStr">
        <is>
          <t>Protocolo</t>
        </is>
      </c>
      <c r="I1627">
        <v>4</v>
      </c>
      <c r="J1627" t="inlineStr">
        <is>
          <t>Terraplenagem</t>
        </is>
      </c>
      <c r="K1627" t="inlineStr">
        <is>
          <t>4.11</t>
        </is>
      </c>
      <c r="L1627" t="inlineStr">
        <is>
          <t>Talude</t>
        </is>
      </c>
      <c r="M1627" t="inlineStr">
        <is>
          <t>Revegetação/ Hidrossemeadura</t>
        </is>
      </c>
      <c r="N1627" t="inlineStr">
        <is>
          <t>Caminho de serviço desprotegido; necessário conformar e executar hidrossemeadura.</t>
        </is>
      </c>
      <c r="O1627" t="inlineStr">
        <is>
          <t>Tipo A</t>
        </is>
      </c>
      <c r="P1627" t="inlineStr">
        <is>
          <t>37+500</t>
        </is>
      </c>
      <c r="Q1627" t="inlineStr">
        <is>
          <t xml:space="preserve"> 37+600</t>
        </is>
      </c>
      <c r="R1627" t="inlineStr">
        <is>
          <t>Aberta</t>
        </is>
      </c>
      <c r="T1627" t="inlineStr">
        <is>
          <t>Aline Batista</t>
        </is>
      </c>
      <c r="U1627" t="inlineStr">
        <is>
          <t>29/05/2026</t>
        </is>
      </c>
      <c r="V1627" t="inlineStr">
        <is>
          <t>05/06/2026</t>
        </is>
      </c>
      <c r="W1627">
        <v>5</v>
      </c>
      <c r="AA1627" t="inlineStr">
        <is>
          <t>Aberta -30 dias</t>
        </is>
      </c>
      <c r="AB1627" t="inlineStr">
        <is>
          <t>EMPA</t>
        </is>
      </c>
      <c r="AC1627" t="inlineStr">
        <is>
          <t>Aline</t>
        </is>
      </c>
      <c r="AD1627" t="inlineStr">
        <is>
          <t>31/08/2026</t>
        </is>
      </c>
      <c r="AE1627" t="inlineStr">
        <is>
          <t>10/09/2026</t>
        </is>
      </c>
      <c r="AF1627" t="inlineStr">
        <is>
          <t>Prazo Premissa VALE</t>
        </is>
      </c>
    </row>
    <row r="1628">
      <c r="A1628">
        <v>1626</v>
      </c>
      <c r="B1628">
        <v>1</v>
      </c>
      <c r="C1628" t="inlineStr">
        <is>
          <t>1.4A</t>
        </is>
      </c>
      <c r="D1628" t="inlineStr">
        <is>
          <t>A10</t>
        </is>
      </c>
      <c r="E1628" t="inlineStr">
        <is>
          <t>LD e LE</t>
        </is>
      </c>
      <c r="F1628" t="inlineStr">
        <is>
          <t>EMPA</t>
        </is>
      </c>
      <c r="G1628" t="inlineStr">
        <is>
          <t>CLP-020</t>
        </is>
      </c>
      <c r="H1628" t="inlineStr">
        <is>
          <t>Protocolo</t>
        </is>
      </c>
      <c r="I1628">
        <v>4</v>
      </c>
      <c r="J1628" t="inlineStr">
        <is>
          <t>Terraplenagem</t>
        </is>
      </c>
      <c r="K1628" t="inlineStr">
        <is>
          <t>4.11</t>
        </is>
      </c>
      <c r="L1628" t="inlineStr">
        <is>
          <t>Talude</t>
        </is>
      </c>
      <c r="M1628" t="inlineStr">
        <is>
          <t>Revegetação/ Hidrossemeadura</t>
        </is>
      </c>
      <c r="N1628" t="inlineStr">
        <is>
          <t>Aterro com cobertura insuficiente; necessário repasse de hidrossemeadura.</t>
        </is>
      </c>
      <c r="O1628" t="inlineStr">
        <is>
          <t>Tipo A</t>
        </is>
      </c>
      <c r="P1628" t="inlineStr">
        <is>
          <t>37+600</t>
        </is>
      </c>
      <c r="Q1628" t="inlineStr">
        <is>
          <t>37+600</t>
        </is>
      </c>
      <c r="R1628" t="inlineStr">
        <is>
          <t>Aberta</t>
        </is>
      </c>
      <c r="T1628" t="inlineStr">
        <is>
          <t>Aline Batista</t>
        </is>
      </c>
      <c r="U1628" t="inlineStr">
        <is>
          <t>29/05/2026</t>
        </is>
      </c>
      <c r="V1628" t="inlineStr">
        <is>
          <t>05/06/2026</t>
        </is>
      </c>
      <c r="W1628">
        <v>5</v>
      </c>
      <c r="AA1628" t="inlineStr">
        <is>
          <t>Aberta -30 dias</t>
        </is>
      </c>
      <c r="AB1628" t="inlineStr">
        <is>
          <t>EMPA</t>
        </is>
      </c>
      <c r="AC1628" t="inlineStr">
        <is>
          <t>Aline</t>
        </is>
      </c>
      <c r="AD1628" t="inlineStr">
        <is>
          <t>31/08/2026</t>
        </is>
      </c>
      <c r="AE1628" t="inlineStr">
        <is>
          <t>10/09/2026</t>
        </is>
      </c>
      <c r="AF1628" t="inlineStr">
        <is>
          <t>Prazo Premissa VALE</t>
        </is>
      </c>
    </row>
    <row r="1629">
      <c r="A1629">
        <v>1627</v>
      </c>
      <c r="B1629">
        <v>1</v>
      </c>
      <c r="C1629" t="inlineStr">
        <is>
          <t>1.4A</t>
        </is>
      </c>
      <c r="D1629" t="inlineStr">
        <is>
          <t>A10</t>
        </is>
      </c>
      <c r="E1629" t="inlineStr">
        <is>
          <t>LD</t>
        </is>
      </c>
      <c r="F1629" t="inlineStr">
        <is>
          <t>EMPA</t>
        </is>
      </c>
      <c r="G1629" t="inlineStr">
        <is>
          <t>CLP-020</t>
        </is>
      </c>
      <c r="H1629" t="inlineStr">
        <is>
          <t>Protocolo</t>
        </is>
      </c>
      <c r="I1629">
        <v>4</v>
      </c>
      <c r="J1629" t="inlineStr">
        <is>
          <t>Terraplenagem</t>
        </is>
      </c>
      <c r="K1629" t="inlineStr">
        <is>
          <t>4.4</t>
        </is>
      </c>
      <c r="L1629" t="inlineStr">
        <is>
          <t>Caminho de serviço</t>
        </is>
      </c>
      <c r="M1629" t="inlineStr">
        <is>
          <t>Material Solto</t>
        </is>
      </c>
      <c r="N1629" t="inlineStr">
        <is>
          <t>Material solto de escavação; necessária limpeza e recuperação do caminho de serviço.</t>
        </is>
      </c>
      <c r="O1629" t="inlineStr">
        <is>
          <t>Tipo A</t>
        </is>
      </c>
      <c r="P1629" t="inlineStr">
        <is>
          <t>37+700</t>
        </is>
      </c>
      <c r="Q1629" t="inlineStr">
        <is>
          <t>37+700</t>
        </is>
      </c>
      <c r="R1629" t="inlineStr">
        <is>
          <t>Aberta</t>
        </is>
      </c>
      <c r="T1629" t="inlineStr">
        <is>
          <t>Aline Batista</t>
        </is>
      </c>
      <c r="U1629" t="inlineStr">
        <is>
          <t>29/05/2026</t>
        </is>
      </c>
      <c r="V1629" t="inlineStr">
        <is>
          <t>05/06/2026</t>
        </is>
      </c>
      <c r="W1629">
        <v>5</v>
      </c>
      <c r="AA1629" t="inlineStr">
        <is>
          <t>Aberta -30 dias</t>
        </is>
      </c>
      <c r="AB1629" t="inlineStr">
        <is>
          <t>EMPA</t>
        </is>
      </c>
      <c r="AC1629" t="inlineStr">
        <is>
          <t>Aline</t>
        </is>
      </c>
      <c r="AD1629" t="inlineStr">
        <is>
          <t>31/08/2026</t>
        </is>
      </c>
      <c r="AE1629" t="inlineStr">
        <is>
          <t>10/09/2026</t>
        </is>
      </c>
      <c r="AF1629" t="inlineStr">
        <is>
          <t>Prazo Premissa VALE</t>
        </is>
      </c>
    </row>
    <row r="1630">
      <c r="A1630">
        <v>1628</v>
      </c>
      <c r="B1630">
        <v>1</v>
      </c>
      <c r="C1630" t="inlineStr">
        <is>
          <t>1.4A</t>
        </is>
      </c>
      <c r="D1630" t="inlineStr">
        <is>
          <t>A10</t>
        </is>
      </c>
      <c r="E1630" t="inlineStr">
        <is>
          <t>LD</t>
        </is>
      </c>
      <c r="F1630" t="inlineStr">
        <is>
          <t>EMPA</t>
        </is>
      </c>
      <c r="G1630" t="inlineStr">
        <is>
          <t>CLP-020</t>
        </is>
      </c>
      <c r="H1630" t="inlineStr">
        <is>
          <t>Protocolo</t>
        </is>
      </c>
      <c r="I1630">
        <v>4</v>
      </c>
      <c r="J1630" t="inlineStr">
        <is>
          <t>Terraplenagem</t>
        </is>
      </c>
      <c r="K1630" t="inlineStr">
        <is>
          <t>4.11</t>
        </is>
      </c>
      <c r="L1630" t="inlineStr">
        <is>
          <t>ADME</t>
        </is>
      </c>
      <c r="M1630" t="inlineStr">
        <is>
          <t>Revegetação/ Hidrossemeadura</t>
        </is>
      </c>
      <c r="N1630" t="inlineStr">
        <is>
          <t>ADME com solo exposto, material solto de escavação necessário conformar e hidrossemeadura</t>
        </is>
      </c>
      <c r="O1630" t="inlineStr">
        <is>
          <t>Tipo A</t>
        </is>
      </c>
      <c r="P1630" t="inlineStr">
        <is>
          <t xml:space="preserve">37+700 </t>
        </is>
      </c>
      <c r="Q1630" t="inlineStr">
        <is>
          <t xml:space="preserve"> 38+000</t>
        </is>
      </c>
      <c r="R1630" t="inlineStr">
        <is>
          <t>Aberta</t>
        </is>
      </c>
      <c r="T1630" t="inlineStr">
        <is>
          <t>Aline Batista</t>
        </is>
      </c>
      <c r="U1630" t="inlineStr">
        <is>
          <t>29/05/2026</t>
        </is>
      </c>
      <c r="V1630" t="inlineStr">
        <is>
          <t>05/06/2026</t>
        </is>
      </c>
      <c r="W1630">
        <v>5</v>
      </c>
      <c r="AA1630" t="inlineStr">
        <is>
          <t>Aberta -30 dias</t>
        </is>
      </c>
      <c r="AB1630" t="inlineStr">
        <is>
          <t>EMPA</t>
        </is>
      </c>
      <c r="AC1630" t="inlineStr">
        <is>
          <t>Aline</t>
        </is>
      </c>
      <c r="AD1630" t="inlineStr">
        <is>
          <t>31/08/2026</t>
        </is>
      </c>
      <c r="AE1630" t="inlineStr">
        <is>
          <t>10/09/2026</t>
        </is>
      </c>
      <c r="AF1630" t="inlineStr">
        <is>
          <t>Prazo Premissa VALE</t>
        </is>
      </c>
    </row>
    <row r="1631">
      <c r="A1631">
        <v>1629</v>
      </c>
      <c r="B1631">
        <v>1</v>
      </c>
      <c r="C1631" t="inlineStr">
        <is>
          <t>1.4A</t>
        </is>
      </c>
      <c r="D1631" t="inlineStr">
        <is>
          <t>A10</t>
        </is>
      </c>
      <c r="E1631" t="inlineStr">
        <is>
          <t>LE</t>
        </is>
      </c>
      <c r="F1631" t="inlineStr">
        <is>
          <t>EMPA</t>
        </is>
      </c>
      <c r="G1631" t="inlineStr">
        <is>
          <t>CLP-020</t>
        </is>
      </c>
      <c r="H1631" t="inlineStr">
        <is>
          <t>Protocolo</t>
        </is>
      </c>
      <c r="I1631">
        <v>4</v>
      </c>
      <c r="J1631" t="inlineStr">
        <is>
          <t>Terraplenagem</t>
        </is>
      </c>
      <c r="K1631" t="inlineStr">
        <is>
          <t>4.11</t>
        </is>
      </c>
      <c r="L1631" t="inlineStr">
        <is>
          <t>Talude</t>
        </is>
      </c>
      <c r="M1631" t="inlineStr">
        <is>
          <t>Revegetação/ Hidrossemeadura</t>
        </is>
      </c>
      <c r="N1631" t="inlineStr">
        <is>
          <t>Caminho de serviço degradado; necessário recuperar com conformação e hidrossemeadura.</t>
        </is>
      </c>
      <c r="O1631" t="inlineStr">
        <is>
          <t>Tipo A</t>
        </is>
      </c>
      <c r="P1631" t="inlineStr">
        <is>
          <t xml:space="preserve">37+700 </t>
        </is>
      </c>
      <c r="Q1631" t="inlineStr">
        <is>
          <t xml:space="preserve"> 38+000</t>
        </is>
      </c>
      <c r="R1631" t="inlineStr">
        <is>
          <t>Aberta</t>
        </is>
      </c>
      <c r="T1631" t="inlineStr">
        <is>
          <t>Aline Batista</t>
        </is>
      </c>
      <c r="U1631" t="inlineStr">
        <is>
          <t>29/05/2026</t>
        </is>
      </c>
      <c r="V1631" t="inlineStr">
        <is>
          <t>05/06/2026</t>
        </is>
      </c>
      <c r="W1631">
        <v>5</v>
      </c>
      <c r="AA1631" t="inlineStr">
        <is>
          <t>Aberta -30 dias</t>
        </is>
      </c>
      <c r="AB1631" t="inlineStr">
        <is>
          <t>EMPA</t>
        </is>
      </c>
      <c r="AC1631" t="inlineStr">
        <is>
          <t>Aline</t>
        </is>
      </c>
      <c r="AD1631" t="inlineStr">
        <is>
          <t>31/08/2026</t>
        </is>
      </c>
      <c r="AE1631" t="inlineStr">
        <is>
          <t>10/09/2026</t>
        </is>
      </c>
      <c r="AF1631" t="inlineStr">
        <is>
          <t>Prazo Premissa VALE</t>
        </is>
      </c>
    </row>
    <row r="1632">
      <c r="A1632">
        <v>1630</v>
      </c>
      <c r="B1632">
        <v>1</v>
      </c>
      <c r="C1632" t="inlineStr">
        <is>
          <t>1.4A</t>
        </is>
      </c>
      <c r="D1632" t="inlineStr">
        <is>
          <t>A01</t>
        </is>
      </c>
      <c r="F1632" t="inlineStr">
        <is>
          <t>EMPA</t>
        </is>
      </c>
      <c r="G1632" t="inlineStr">
        <is>
          <t>CLP-020</t>
        </is>
      </c>
      <c r="H1632" t="inlineStr">
        <is>
          <t>Protocolo</t>
        </is>
      </c>
      <c r="I1632">
        <v>4</v>
      </c>
      <c r="J1632" t="inlineStr">
        <is>
          <t>Terraplenagem</t>
        </is>
      </c>
      <c r="K1632" t="inlineStr">
        <is>
          <t>4.20</t>
        </is>
      </c>
      <c r="L1632" t="inlineStr">
        <is>
          <t>Talude</t>
        </is>
      </c>
      <c r="M1632" t="inlineStr">
        <is>
          <t>Erosões</t>
        </is>
      </c>
      <c r="N1632" t="inlineStr">
        <is>
          <t>Formação de processos erosivos.</t>
        </is>
      </c>
      <c r="O1632" t="inlineStr">
        <is>
          <t>Tipo A</t>
        </is>
      </c>
      <c r="P1632" t="inlineStr">
        <is>
          <t xml:space="preserve">31+033 </t>
        </is>
      </c>
      <c r="Q1632" t="inlineStr">
        <is>
          <t>31+840</t>
        </is>
      </c>
      <c r="R1632" t="inlineStr">
        <is>
          <t>Aberta</t>
        </is>
      </c>
      <c r="T1632" t="inlineStr">
        <is>
          <t>Aline Batista</t>
        </is>
      </c>
      <c r="U1632" t="inlineStr">
        <is>
          <t>29/05/2026</t>
        </is>
      </c>
      <c r="V1632" t="inlineStr">
        <is>
          <t>05/06/2026</t>
        </is>
      </c>
      <c r="W1632">
        <v>5</v>
      </c>
      <c r="AA1632" t="inlineStr">
        <is>
          <t>Aberta -30 dias</t>
        </is>
      </c>
      <c r="AB1632" t="inlineStr">
        <is>
          <t>EMPA</t>
        </is>
      </c>
      <c r="AC1632" t="inlineStr">
        <is>
          <t>Aline</t>
        </is>
      </c>
      <c r="AD1632" t="inlineStr">
        <is>
          <t>17/08/2026</t>
        </is>
      </c>
      <c r="AE1632" t="inlineStr">
        <is>
          <t>28/08/2026</t>
        </is>
      </c>
      <c r="AF1632" t="inlineStr">
        <is>
          <t>Prazo Premissa VALE</t>
        </is>
      </c>
    </row>
    <row r="1633">
      <c r="A1633">
        <v>1631</v>
      </c>
      <c r="B1633">
        <v>1</v>
      </c>
      <c r="C1633" t="inlineStr">
        <is>
          <t>1.4A</t>
        </is>
      </c>
      <c r="D1633" t="inlineStr">
        <is>
          <t>A04</t>
        </is>
      </c>
      <c r="F1633" t="inlineStr">
        <is>
          <t>EMPA</t>
        </is>
      </c>
      <c r="G1633" t="inlineStr">
        <is>
          <t>CLP-020</t>
        </is>
      </c>
      <c r="H1633" t="inlineStr">
        <is>
          <t>Fiscalização</t>
        </is>
      </c>
      <c r="I1633">
        <v>4</v>
      </c>
      <c r="J1633" t="inlineStr">
        <is>
          <t>Terraplenagem</t>
        </is>
      </c>
      <c r="K1633" t="inlineStr">
        <is>
          <t>4.20</t>
        </is>
      </c>
      <c r="L1633" t="inlineStr">
        <is>
          <t>Talude</t>
        </is>
      </c>
      <c r="M1633" t="inlineStr">
        <is>
          <t>Erosões</t>
        </is>
      </c>
      <c r="N1633" t="inlineStr">
        <is>
          <t>Erosões</t>
        </is>
      </c>
      <c r="O1633" t="inlineStr">
        <is>
          <t>Tipo A</t>
        </is>
      </c>
      <c r="P1633" t="inlineStr">
        <is>
          <t xml:space="preserve">34+500 </t>
        </is>
      </c>
      <c r="Q1633" t="inlineStr">
        <is>
          <t>34+710</t>
        </is>
      </c>
      <c r="R1633" t="inlineStr">
        <is>
          <t>Aberta</t>
        </is>
      </c>
      <c r="T1633" t="inlineStr">
        <is>
          <t>Aline Batista</t>
        </is>
      </c>
      <c r="U1633" t="inlineStr">
        <is>
          <t>29/05/2026</t>
        </is>
      </c>
      <c r="V1633" t="inlineStr">
        <is>
          <t>05/06/2026</t>
        </is>
      </c>
      <c r="W1633">
        <v>5</v>
      </c>
      <c r="AA1633" t="inlineStr">
        <is>
          <t>Aberta -30 dias</t>
        </is>
      </c>
      <c r="AB1633" t="inlineStr">
        <is>
          <t>CT-REMANESCENTE</t>
        </is>
      </c>
      <c r="AC1633" t="inlineStr">
        <is>
          <t>Aline</t>
        </is>
      </c>
      <c r="AD1633" t="inlineStr">
        <is>
          <t>17/07/2026</t>
        </is>
      </c>
      <c r="AE1633" t="inlineStr">
        <is>
          <t>29/07/2026</t>
        </is>
      </c>
      <c r="AF1633" t="inlineStr">
        <is>
          <t>Prazo Premissa VALE</t>
        </is>
      </c>
    </row>
    <row r="1634">
      <c r="A1634">
        <v>1632</v>
      </c>
      <c r="B1634">
        <v>1</v>
      </c>
      <c r="C1634" t="inlineStr">
        <is>
          <t>1.4A</t>
        </is>
      </c>
      <c r="D1634" t="inlineStr">
        <is>
          <t>C05</t>
        </is>
      </c>
      <c r="E1634" t="inlineStr">
        <is>
          <t>LE</t>
        </is>
      </c>
      <c r="F1634" t="inlineStr">
        <is>
          <t>VALE</t>
        </is>
      </c>
      <c r="G1634" t="inlineStr">
        <is>
          <t>CLP-015</t>
        </is>
      </c>
      <c r="H1634" t="inlineStr">
        <is>
          <t>Fiscalização/Implantação</t>
        </is>
      </c>
      <c r="I1634">
        <v>4</v>
      </c>
      <c r="J1634" t="inlineStr">
        <is>
          <t>Terraplenagem</t>
        </is>
      </c>
      <c r="K1634" t="inlineStr">
        <is>
          <t>4.29</t>
        </is>
      </c>
      <c r="L1634" t="inlineStr">
        <is>
          <t>Talude</t>
        </is>
      </c>
      <c r="M1634" t="inlineStr">
        <is>
          <t>Erosões</t>
        </is>
      </c>
      <c r="N1634" t="inlineStr">
        <is>
          <t>Formação de voçoroca.</t>
        </is>
      </c>
      <c r="O1634" t="inlineStr">
        <is>
          <t>Tipo A</t>
        </is>
      </c>
      <c r="P1634" t="inlineStr">
        <is>
          <t>34+980</t>
        </is>
      </c>
      <c r="Q1634" t="inlineStr">
        <is>
          <t>34+980</t>
        </is>
      </c>
      <c r="R1634" t="inlineStr">
        <is>
          <t>Aberta</t>
        </is>
      </c>
      <c r="T1634" t="inlineStr">
        <is>
          <t>Aline Batista</t>
        </is>
      </c>
      <c r="U1634" t="inlineStr">
        <is>
          <t>25/05/2026</t>
        </is>
      </c>
      <c r="V1634" t="inlineStr">
        <is>
          <t>01/06/2026</t>
        </is>
      </c>
      <c r="W1634">
        <v>9</v>
      </c>
      <c r="AA1634" t="inlineStr">
        <is>
          <t>Aberta -30 dias</t>
        </is>
      </c>
      <c r="AB1634" t="inlineStr">
        <is>
          <t>CT-REMANESCENTE</t>
        </is>
      </c>
      <c r="AC1634" t="inlineStr">
        <is>
          <t>Aline</t>
        </is>
      </c>
      <c r="AD1634" t="inlineStr">
        <is>
          <t>17/07/2026</t>
        </is>
      </c>
      <c r="AE1634" t="inlineStr">
        <is>
          <t>29/07/2026</t>
        </is>
      </c>
      <c r="AF1634" t="inlineStr">
        <is>
          <t>Prazo Premissa VALE</t>
        </is>
      </c>
    </row>
    <row r="1635">
      <c r="A1635">
        <v>1633</v>
      </c>
      <c r="B1635">
        <v>1</v>
      </c>
      <c r="C1635" t="inlineStr">
        <is>
          <t>1.4A</t>
        </is>
      </c>
      <c r="D1635" t="inlineStr">
        <is>
          <t>A04</t>
        </is>
      </c>
      <c r="F1635" t="inlineStr">
        <is>
          <t>EMPA</t>
        </is>
      </c>
      <c r="G1635" t="inlineStr">
        <is>
          <t>CLP-020</t>
        </is>
      </c>
      <c r="H1635" t="inlineStr">
        <is>
          <t>Protocolo</t>
        </is>
      </c>
      <c r="I1635">
        <v>4</v>
      </c>
      <c r="J1635" t="inlineStr">
        <is>
          <t>Terraplenagem</t>
        </is>
      </c>
      <c r="K1635" t="inlineStr">
        <is>
          <t>4.20</t>
        </is>
      </c>
      <c r="L1635" t="inlineStr">
        <is>
          <t>Talude</t>
        </is>
      </c>
      <c r="M1635" t="inlineStr">
        <is>
          <t>Erosões</t>
        </is>
      </c>
      <c r="N1635" t="inlineStr">
        <is>
          <t>Formação de processos erosivo.</t>
        </is>
      </c>
      <c r="O1635" t="inlineStr">
        <is>
          <t>Tipo A</t>
        </is>
      </c>
      <c r="P1635" t="inlineStr">
        <is>
          <t xml:space="preserve">35+160 
</t>
        </is>
      </c>
      <c r="Q1635" t="inlineStr">
        <is>
          <t xml:space="preserve">5+940,
</t>
        </is>
      </c>
      <c r="R1635" t="inlineStr">
        <is>
          <t>Aberta</t>
        </is>
      </c>
      <c r="T1635" t="inlineStr">
        <is>
          <t>Aline Batista</t>
        </is>
      </c>
      <c r="U1635" t="inlineStr">
        <is>
          <t>29/05/2026</t>
        </is>
      </c>
      <c r="V1635" t="inlineStr">
        <is>
          <t>05/06/2026</t>
        </is>
      </c>
      <c r="W1635">
        <v>5</v>
      </c>
      <c r="AA1635" t="inlineStr">
        <is>
          <t>Aberta -30 dias</t>
        </is>
      </c>
      <c r="AB1635" t="inlineStr">
        <is>
          <t>EMPA</t>
        </is>
      </c>
      <c r="AC1635" t="inlineStr">
        <is>
          <t>Aline</t>
        </is>
      </c>
      <c r="AD1635" t="inlineStr">
        <is>
          <t>31/08/2026</t>
        </is>
      </c>
      <c r="AE1635" t="inlineStr">
        <is>
          <t>10/09/2026</t>
        </is>
      </c>
      <c r="AF1635" t="inlineStr">
        <is>
          <t>Prazo Premissa VALE</t>
        </is>
      </c>
    </row>
    <row r="1636">
      <c r="A1636">
        <v>1634</v>
      </c>
      <c r="B1636">
        <v>1</v>
      </c>
      <c r="C1636" t="inlineStr">
        <is>
          <t>1.4A</t>
        </is>
      </c>
      <c r="D1636" t="inlineStr">
        <is>
          <t>C08</t>
        </is>
      </c>
      <c r="E1636" t="inlineStr">
        <is>
          <t>E</t>
        </is>
      </c>
      <c r="F1636" t="inlineStr">
        <is>
          <t>EMPA</t>
        </is>
      </c>
      <c r="G1636" t="inlineStr">
        <is>
          <t>CLP-020</t>
        </is>
      </c>
      <c r="H1636" t="inlineStr">
        <is>
          <t>Fiscalização</t>
        </is>
      </c>
      <c r="I1636">
        <v>4</v>
      </c>
      <c r="J1636" t="inlineStr">
        <is>
          <t>Terraplenagem</t>
        </is>
      </c>
      <c r="K1636" t="inlineStr">
        <is>
          <t>4.20</t>
        </is>
      </c>
      <c r="L1636" t="inlineStr">
        <is>
          <t>Talude</t>
        </is>
      </c>
      <c r="M1636" t="inlineStr">
        <is>
          <t>Erosões</t>
        </is>
      </c>
      <c r="N1636" t="inlineStr">
        <is>
          <t>Erosões em talude.</t>
        </is>
      </c>
      <c r="O1636" t="inlineStr">
        <is>
          <t>Tipo A</t>
        </is>
      </c>
      <c r="P1636" t="inlineStr">
        <is>
          <t>36+040</t>
        </is>
      </c>
      <c r="Q1636" t="inlineStr">
        <is>
          <t>36+700</t>
        </is>
      </c>
      <c r="R1636" t="inlineStr">
        <is>
          <t>Aberta</t>
        </is>
      </c>
      <c r="T1636" t="inlineStr">
        <is>
          <t>Aline Batista</t>
        </is>
      </c>
      <c r="U1636" t="inlineStr">
        <is>
          <t>29/05/2026</t>
        </is>
      </c>
      <c r="V1636" t="inlineStr">
        <is>
          <t>05/06/2026</t>
        </is>
      </c>
      <c r="W1636">
        <v>5</v>
      </c>
      <c r="AA1636" t="inlineStr">
        <is>
          <t>Aberta -30 dias</t>
        </is>
      </c>
      <c r="AB1636" t="inlineStr">
        <is>
          <t>EMPA</t>
        </is>
      </c>
      <c r="AC1636" t="inlineStr">
        <is>
          <t>Aline</t>
        </is>
      </c>
      <c r="AD1636" t="inlineStr">
        <is>
          <t>31/08/2026</t>
        </is>
      </c>
      <c r="AE1636" t="inlineStr">
        <is>
          <t>10/09/2026</t>
        </is>
      </c>
      <c r="AF1636" t="inlineStr">
        <is>
          <t>Prazo Premissa VALE</t>
        </is>
      </c>
    </row>
    <row r="1637">
      <c r="A1637">
        <v>1635</v>
      </c>
      <c r="B1637">
        <v>1</v>
      </c>
      <c r="C1637" t="inlineStr">
        <is>
          <t>1.4A</t>
        </is>
      </c>
      <c r="D1637" t="inlineStr">
        <is>
          <t>A08</t>
        </is>
      </c>
      <c r="E1637" t="inlineStr">
        <is>
          <t>E</t>
        </is>
      </c>
      <c r="F1637" t="inlineStr">
        <is>
          <t>EMPA</t>
        </is>
      </c>
      <c r="G1637" t="inlineStr">
        <is>
          <t>CLP-020</t>
        </is>
      </c>
      <c r="H1637" t="inlineStr">
        <is>
          <t>Fiscalização</t>
        </is>
      </c>
      <c r="I1637">
        <v>4</v>
      </c>
      <c r="J1637" t="inlineStr">
        <is>
          <t>Terraplenagem</t>
        </is>
      </c>
      <c r="K1637" t="inlineStr">
        <is>
          <t>4.20</t>
        </is>
      </c>
      <c r="L1637" t="inlineStr">
        <is>
          <t>Talude</t>
        </is>
      </c>
      <c r="M1637" t="inlineStr">
        <is>
          <t>Erosões</t>
        </is>
      </c>
      <c r="N1637" t="inlineStr">
        <is>
          <t>Formação de processos erosivos nos taludes.</t>
        </is>
      </c>
      <c r="O1637" t="inlineStr">
        <is>
          <t>Tipo A</t>
        </is>
      </c>
      <c r="P1637" t="inlineStr">
        <is>
          <t>36+700</t>
        </is>
      </c>
      <c r="Q1637" t="inlineStr">
        <is>
          <t>37+060</t>
        </is>
      </c>
      <c r="R1637" t="inlineStr">
        <is>
          <t>Aberta</t>
        </is>
      </c>
      <c r="T1637" t="inlineStr">
        <is>
          <t>Aline Batista</t>
        </is>
      </c>
      <c r="U1637" t="inlineStr">
        <is>
          <t>29/05/2026</t>
        </is>
      </c>
      <c r="V1637" t="inlineStr">
        <is>
          <t>05/06/2026</t>
        </is>
      </c>
      <c r="W1637">
        <v>5</v>
      </c>
      <c r="AA1637" t="inlineStr">
        <is>
          <t>Aberta -30 dias</t>
        </is>
      </c>
      <c r="AB1637" t="inlineStr">
        <is>
          <t>EMPA</t>
        </is>
      </c>
      <c r="AC1637" t="inlineStr">
        <is>
          <t>Aline</t>
        </is>
      </c>
      <c r="AD1637" t="inlineStr">
        <is>
          <t>31/08/2026</t>
        </is>
      </c>
      <c r="AE1637" t="inlineStr">
        <is>
          <t>10/09/2026</t>
        </is>
      </c>
      <c r="AF1637" t="inlineStr">
        <is>
          <t>Prazo Premissa VALE</t>
        </is>
      </c>
    </row>
    <row r="1638">
      <c r="A1638">
        <v>1636</v>
      </c>
      <c r="B1638">
        <v>1</v>
      </c>
      <c r="C1638" t="inlineStr">
        <is>
          <t>1.4A</t>
        </is>
      </c>
      <c r="D1638" t="inlineStr">
        <is>
          <t>A08</t>
        </is>
      </c>
      <c r="F1638" t="inlineStr">
        <is>
          <t>EMPA</t>
        </is>
      </c>
      <c r="G1638" t="inlineStr">
        <is>
          <t>CLP-020</t>
        </is>
      </c>
      <c r="H1638" t="inlineStr">
        <is>
          <t>Fiscalização</t>
        </is>
      </c>
      <c r="I1638">
        <v>4</v>
      </c>
      <c r="J1638" t="inlineStr">
        <is>
          <t>Terraplenagem</t>
        </is>
      </c>
      <c r="K1638" t="inlineStr">
        <is>
          <t>4.25</t>
        </is>
      </c>
      <c r="L1638" t="inlineStr">
        <is>
          <t xml:space="preserve">Faixa de domínio </t>
        </is>
      </c>
      <c r="M1638" t="inlineStr">
        <is>
          <t>Assoreamento</t>
        </is>
      </c>
      <c r="N1638" t="inlineStr">
        <is>
          <t>Carreamento de material para fora da faixa de domínio.</t>
        </is>
      </c>
      <c r="O1638" t="inlineStr">
        <is>
          <t>Tipo A</t>
        </is>
      </c>
      <c r="P1638" t="inlineStr">
        <is>
          <t>36+720</t>
        </is>
      </c>
      <c r="Q1638" t="inlineStr">
        <is>
          <t>36+720</t>
        </is>
      </c>
      <c r="R1638" t="inlineStr">
        <is>
          <t>Aberta</t>
        </is>
      </c>
      <c r="T1638" t="inlineStr">
        <is>
          <t>Aline Batista</t>
        </is>
      </c>
      <c r="U1638" t="inlineStr">
        <is>
          <t>29/05/2026</t>
        </is>
      </c>
      <c r="V1638" t="inlineStr">
        <is>
          <t>05/06/2026</t>
        </is>
      </c>
      <c r="W1638">
        <v>5</v>
      </c>
      <c r="AA1638" t="inlineStr">
        <is>
          <t>Aberta -30 dias</t>
        </is>
      </c>
      <c r="AB1638" t="inlineStr">
        <is>
          <t>EMPA</t>
        </is>
      </c>
      <c r="AC1638" t="inlineStr">
        <is>
          <t>Aline</t>
        </is>
      </c>
      <c r="AD1638" t="inlineStr">
        <is>
          <t>31/08/2026</t>
        </is>
      </c>
      <c r="AE1638" t="inlineStr">
        <is>
          <t>10/09/2026</t>
        </is>
      </c>
      <c r="AF1638" t="inlineStr">
        <is>
          <t>Prazo Premissa VALE</t>
        </is>
      </c>
    </row>
    <row r="1639">
      <c r="A1639">
        <v>1637</v>
      </c>
      <c r="B1639">
        <v>1</v>
      </c>
      <c r="C1639" t="inlineStr">
        <is>
          <t>1.4A</t>
        </is>
      </c>
      <c r="D1639" t="inlineStr">
        <is>
          <t>A09</t>
        </is>
      </c>
      <c r="F1639" t="inlineStr">
        <is>
          <t>EMPA</t>
        </is>
      </c>
      <c r="G1639" t="inlineStr">
        <is>
          <t>CLP-020</t>
        </is>
      </c>
      <c r="H1639" t="inlineStr">
        <is>
          <t>Fiscalização</t>
        </is>
      </c>
      <c r="I1639">
        <v>4</v>
      </c>
      <c r="J1639" t="inlineStr">
        <is>
          <t>Terraplenagem</t>
        </is>
      </c>
      <c r="K1639" t="inlineStr">
        <is>
          <t>4.20</t>
        </is>
      </c>
      <c r="L1639" t="inlineStr">
        <is>
          <t>Talude</t>
        </is>
      </c>
      <c r="M1639" t="inlineStr">
        <is>
          <t>Erosões</t>
        </is>
      </c>
      <c r="N1639" t="inlineStr">
        <is>
          <t>Formação de processos erosivos nos taludes.</t>
        </is>
      </c>
      <c r="O1639" t="inlineStr">
        <is>
          <t>Tipo A</t>
        </is>
      </c>
      <c r="P1639" t="inlineStr">
        <is>
          <t xml:space="preserve">37+180 </t>
        </is>
      </c>
      <c r="Q1639" t="inlineStr">
        <is>
          <t>37+490</t>
        </is>
      </c>
      <c r="R1639" t="inlineStr">
        <is>
          <t>Aberta</t>
        </is>
      </c>
      <c r="T1639" t="inlineStr">
        <is>
          <t>Aline Batista</t>
        </is>
      </c>
      <c r="U1639" t="inlineStr">
        <is>
          <t>29/05/2026</t>
        </is>
      </c>
      <c r="V1639" t="inlineStr">
        <is>
          <t>05/06/2026</t>
        </is>
      </c>
      <c r="W1639">
        <v>5</v>
      </c>
      <c r="AA1639" t="inlineStr">
        <is>
          <t>Aberta -30 dias</t>
        </is>
      </c>
      <c r="AB1639" t="inlineStr">
        <is>
          <t>EMPA</t>
        </is>
      </c>
      <c r="AC1639" t="inlineStr">
        <is>
          <t>Aline</t>
        </is>
      </c>
      <c r="AD1639" t="inlineStr">
        <is>
          <t>31/08/2026</t>
        </is>
      </c>
      <c r="AE1639" t="inlineStr">
        <is>
          <t>10/09/2026</t>
        </is>
      </c>
      <c r="AF1639" t="inlineStr">
        <is>
          <t>Prazo Premissa VALE</t>
        </is>
      </c>
    </row>
    <row r="1640">
      <c r="A1640">
        <v>1638</v>
      </c>
      <c r="B1640">
        <v>1</v>
      </c>
      <c r="C1640" t="inlineStr">
        <is>
          <t>1.4A</t>
        </is>
      </c>
      <c r="D1640" t="inlineStr">
        <is>
          <t>C10</t>
        </is>
      </c>
      <c r="E1640" t="inlineStr">
        <is>
          <t>E</t>
        </is>
      </c>
      <c r="F1640" t="inlineStr">
        <is>
          <t>EMPA</t>
        </is>
      </c>
      <c r="G1640" t="inlineStr">
        <is>
          <t>CLP-020</t>
        </is>
      </c>
      <c r="H1640" t="inlineStr">
        <is>
          <t>Fiscalização</t>
        </is>
      </c>
      <c r="I1640">
        <v>4</v>
      </c>
      <c r="J1640" t="inlineStr">
        <is>
          <t>Terraplenagem</t>
        </is>
      </c>
      <c r="K1640" t="inlineStr">
        <is>
          <t>4.9</t>
        </is>
      </c>
      <c r="L1640" t="inlineStr">
        <is>
          <t>ADME</t>
        </is>
      </c>
      <c r="M1640" t="inlineStr">
        <is>
          <t>Erosões</t>
        </is>
      </c>
      <c r="N1640" t="inlineStr">
        <is>
          <t>ADME com erosões.</t>
        </is>
      </c>
      <c r="O1640" t="inlineStr">
        <is>
          <t>Tipo A</t>
        </is>
      </c>
      <c r="P1640" t="inlineStr">
        <is>
          <t>37+460</t>
        </is>
      </c>
      <c r="Q1640" t="inlineStr">
        <is>
          <t>37+460</t>
        </is>
      </c>
      <c r="R1640" t="inlineStr">
        <is>
          <t>Aberta</t>
        </is>
      </c>
      <c r="T1640" t="inlineStr">
        <is>
          <t>Aline Batista</t>
        </is>
      </c>
      <c r="U1640" t="inlineStr">
        <is>
          <t>29/05/2026</t>
        </is>
      </c>
      <c r="V1640" t="inlineStr">
        <is>
          <t>05/06/2026</t>
        </is>
      </c>
      <c r="W1640">
        <v>5</v>
      </c>
      <c r="AA1640" t="inlineStr">
        <is>
          <t>Aberta -30 dias</t>
        </is>
      </c>
      <c r="AB1640" t="inlineStr">
        <is>
          <t>EMPA</t>
        </is>
      </c>
      <c r="AC1640" t="inlineStr">
        <is>
          <t>Aline</t>
        </is>
      </c>
      <c r="AD1640" t="inlineStr">
        <is>
          <t>31/08/2026</t>
        </is>
      </c>
      <c r="AE1640" t="inlineStr">
        <is>
          <t>10/09/2026</t>
        </is>
      </c>
      <c r="AF1640" t="inlineStr">
        <is>
          <t>Prazo Premissa VALE</t>
        </is>
      </c>
    </row>
    <row r="1641">
      <c r="A1641">
        <v>1639</v>
      </c>
      <c r="B1641">
        <v>1</v>
      </c>
      <c r="C1641" t="inlineStr">
        <is>
          <t>1.4A</t>
        </is>
      </c>
      <c r="D1641" t="inlineStr">
        <is>
          <t>A10</t>
        </is>
      </c>
      <c r="F1641" t="inlineStr">
        <is>
          <t>EMPA</t>
        </is>
      </c>
      <c r="G1641" t="inlineStr">
        <is>
          <t>CLP-020</t>
        </is>
      </c>
      <c r="H1641" t="inlineStr">
        <is>
          <t>Fiscalização</t>
        </is>
      </c>
      <c r="I1641">
        <v>4</v>
      </c>
      <c r="J1641" t="inlineStr">
        <is>
          <t>Terraplenagem</t>
        </is>
      </c>
      <c r="K1641" t="inlineStr">
        <is>
          <t>4.20</t>
        </is>
      </c>
      <c r="L1641" t="inlineStr">
        <is>
          <t>Talude</t>
        </is>
      </c>
      <c r="M1641" t="inlineStr">
        <is>
          <t>Erosões</t>
        </is>
      </c>
      <c r="N1641" t="inlineStr">
        <is>
          <t>Erosões no talude.</t>
        </is>
      </c>
      <c r="O1641" t="inlineStr">
        <is>
          <t>Tipo A</t>
        </is>
      </c>
      <c r="P1641" t="inlineStr">
        <is>
          <t>37+910</t>
        </is>
      </c>
      <c r="Q1641" t="inlineStr">
        <is>
          <t>37+910</t>
        </is>
      </c>
      <c r="R1641" t="inlineStr">
        <is>
          <t>Aberta</t>
        </is>
      </c>
      <c r="T1641" t="inlineStr">
        <is>
          <t>Aline Batista</t>
        </is>
      </c>
      <c r="U1641" t="inlineStr">
        <is>
          <t>29/05/2026</t>
        </is>
      </c>
      <c r="V1641" t="inlineStr">
        <is>
          <t>05/06/2026</t>
        </is>
      </c>
      <c r="W1641">
        <v>5</v>
      </c>
      <c r="AA1641" t="inlineStr">
        <is>
          <t>Aberta -30 dias</t>
        </is>
      </c>
      <c r="AB1641" t="inlineStr">
        <is>
          <t>EMPA</t>
        </is>
      </c>
      <c r="AC1641" t="inlineStr">
        <is>
          <t>Aline</t>
        </is>
      </c>
      <c r="AD1641" t="inlineStr">
        <is>
          <t>31/08/2026</t>
        </is>
      </c>
      <c r="AE1641" t="inlineStr">
        <is>
          <t>10/09/2026</t>
        </is>
      </c>
      <c r="AF1641" t="inlineStr">
        <is>
          <t>Prazo Premissa VALE</t>
        </is>
      </c>
    </row>
    <row r="1642">
      <c r="A1642">
        <v>1640</v>
      </c>
      <c r="B1642">
        <v>1</v>
      </c>
      <c r="C1642" t="inlineStr">
        <is>
          <t>1.4A</t>
        </is>
      </c>
      <c r="D1642" t="inlineStr">
        <is>
          <t>A10</t>
        </is>
      </c>
      <c r="F1642" t="inlineStr">
        <is>
          <t>EMPA</t>
        </is>
      </c>
      <c r="G1642" t="inlineStr">
        <is>
          <t>CLP-020</t>
        </is>
      </c>
      <c r="H1642" t="inlineStr">
        <is>
          <t>Fiscalização</t>
        </is>
      </c>
      <c r="I1642">
        <v>4</v>
      </c>
      <c r="J1642" t="inlineStr">
        <is>
          <t>Terraplenagem</t>
        </is>
      </c>
      <c r="K1642" t="inlineStr">
        <is>
          <t>4.20</t>
        </is>
      </c>
      <c r="L1642" t="inlineStr">
        <is>
          <t>Talude</t>
        </is>
      </c>
      <c r="M1642" t="inlineStr">
        <is>
          <t>Erosões</t>
        </is>
      </c>
      <c r="N1642" t="inlineStr">
        <is>
          <t>Erosões no talude.</t>
        </is>
      </c>
      <c r="O1642" t="inlineStr">
        <is>
          <t>Tipo A</t>
        </is>
      </c>
      <c r="P1642" t="inlineStr">
        <is>
          <t>38+081</t>
        </is>
      </c>
      <c r="Q1642" t="inlineStr">
        <is>
          <t>38+081</t>
        </is>
      </c>
      <c r="R1642" t="inlineStr">
        <is>
          <t>Aberta</t>
        </is>
      </c>
      <c r="T1642" t="inlineStr">
        <is>
          <t>Aline Batista</t>
        </is>
      </c>
      <c r="U1642" t="inlineStr">
        <is>
          <t>29/05/2026</t>
        </is>
      </c>
      <c r="V1642" t="inlineStr">
        <is>
          <t>05/06/2026</t>
        </is>
      </c>
      <c r="W1642">
        <v>5</v>
      </c>
      <c r="AA1642" t="inlineStr">
        <is>
          <t>Aberta -30 dias</t>
        </is>
      </c>
      <c r="AB1642" t="inlineStr">
        <is>
          <t>EMPA</t>
        </is>
      </c>
      <c r="AC1642" t="inlineStr">
        <is>
          <t>Aline</t>
        </is>
      </c>
      <c r="AD1642" t="inlineStr">
        <is>
          <t>31/08/2026</t>
        </is>
      </c>
      <c r="AE1642" t="inlineStr">
        <is>
          <t>10/09/2026</t>
        </is>
      </c>
      <c r="AF1642" t="inlineStr">
        <is>
          <t>Prazo Premissa VALE</t>
        </is>
      </c>
    </row>
    <row r="1643">
      <c r="A1643">
        <v>1641</v>
      </c>
      <c r="B1643">
        <v>1</v>
      </c>
      <c r="C1643" t="inlineStr">
        <is>
          <t>1.4A</t>
        </is>
      </c>
      <c r="D1643" t="inlineStr">
        <is>
          <t>C05</t>
        </is>
      </c>
      <c r="E1643" t="inlineStr">
        <is>
          <t>LE</t>
        </is>
      </c>
      <c r="F1643" t="inlineStr">
        <is>
          <t>VALE</t>
        </is>
      </c>
      <c r="G1643" t="inlineStr">
        <is>
          <t>CLP-015</t>
        </is>
      </c>
      <c r="H1643" t="inlineStr">
        <is>
          <t>Protocolo</t>
        </is>
      </c>
      <c r="I1643">
        <v>4</v>
      </c>
      <c r="J1643" t="inlineStr">
        <is>
          <t>Terraplenagem</t>
        </is>
      </c>
      <c r="K1643" t="inlineStr">
        <is>
          <t>4.22</t>
        </is>
      </c>
      <c r="L1643" t="inlineStr">
        <is>
          <t>Talude</t>
        </is>
      </c>
      <c r="M1643" t="inlineStr">
        <is>
          <t>Execuçao divergente do projeto</t>
        </is>
      </c>
      <c r="N1643" t="inlineStr">
        <is>
          <t>Talude fora do padrão de projeto</t>
        </is>
      </c>
      <c r="O1643" t="inlineStr">
        <is>
          <t>Tipo A</t>
        </is>
      </c>
      <c r="P1643" t="inlineStr">
        <is>
          <t>34+700</t>
        </is>
      </c>
      <c r="Q1643" t="inlineStr">
        <is>
          <t>35+040</t>
        </is>
      </c>
      <c r="R1643" t="inlineStr">
        <is>
          <t>Aberta</t>
        </is>
      </c>
      <c r="T1643" t="inlineStr">
        <is>
          <t>Aline Batista</t>
        </is>
      </c>
      <c r="U1643" t="inlineStr">
        <is>
          <t>25/05/2026</t>
        </is>
      </c>
      <c r="V1643" t="inlineStr">
        <is>
          <t>01/06/2026</t>
        </is>
      </c>
      <c r="W1643">
        <v>9</v>
      </c>
      <c r="AA1643" t="inlineStr">
        <is>
          <t>Aberta -30 dias</t>
        </is>
      </c>
      <c r="AB1643" t="inlineStr">
        <is>
          <t>CT-REMANESCENTE</t>
        </is>
      </c>
      <c r="AC1643" t="inlineStr">
        <is>
          <t>Aline</t>
        </is>
      </c>
      <c r="AD1643" t="inlineStr">
        <is>
          <t>17/07/2026</t>
        </is>
      </c>
      <c r="AE1643" t="inlineStr">
        <is>
          <t>29/07/2026</t>
        </is>
      </c>
      <c r="AF1643" t="inlineStr">
        <is>
          <t>Prazo Premissa VALE</t>
        </is>
      </c>
    </row>
    <row r="1644">
      <c r="A1644">
        <v>1642</v>
      </c>
      <c r="B1644">
        <v>1</v>
      </c>
      <c r="C1644" t="inlineStr">
        <is>
          <t>1.4A</t>
        </is>
      </c>
      <c r="D1644" t="inlineStr">
        <is>
          <t>A05</t>
        </is>
      </c>
      <c r="E1644" t="inlineStr">
        <is>
          <t>LD</t>
        </is>
      </c>
      <c r="F1644" t="inlineStr">
        <is>
          <t>EMPA</t>
        </is>
      </c>
      <c r="G1644" t="inlineStr">
        <is>
          <t>CLP-020</t>
        </is>
      </c>
      <c r="H1644" t="inlineStr">
        <is>
          <t>Protocolo</t>
        </is>
      </c>
      <c r="I1644">
        <v>4</v>
      </c>
      <c r="J1644" t="inlineStr">
        <is>
          <t>Terraplenagem</t>
        </is>
      </c>
      <c r="K1644" t="inlineStr">
        <is>
          <t>4.17</t>
        </is>
      </c>
      <c r="L1644" t="inlineStr">
        <is>
          <t xml:space="preserve">Aterro </t>
        </is>
      </c>
      <c r="M1644" t="inlineStr">
        <is>
          <t>Fissuras/ trincas na plataforma</t>
        </is>
      </c>
      <c r="N1644" t="inlineStr">
        <is>
          <t>Fissuras na plataforma</t>
        </is>
      </c>
      <c r="O1644" t="inlineStr">
        <is>
          <t>Tipo A</t>
        </is>
      </c>
      <c r="P1644" t="inlineStr">
        <is>
          <t>35+160</t>
        </is>
      </c>
      <c r="Q1644" t="inlineStr">
        <is>
          <t>35+200</t>
        </is>
      </c>
      <c r="R1644" t="inlineStr">
        <is>
          <t>Aberta</t>
        </is>
      </c>
      <c r="T1644" t="inlineStr">
        <is>
          <t>Aline Batista</t>
        </is>
      </c>
      <c r="U1644" t="inlineStr">
        <is>
          <t>29/05/2026</t>
        </is>
      </c>
      <c r="V1644" t="inlineStr">
        <is>
          <t>05/06/2026</t>
        </is>
      </c>
      <c r="W1644">
        <v>5</v>
      </c>
      <c r="AA1644" t="inlineStr">
        <is>
          <t>Aberta -30 dias</t>
        </is>
      </c>
      <c r="AB1644" t="inlineStr">
        <is>
          <t>EMPA</t>
        </is>
      </c>
      <c r="AC1644" t="inlineStr">
        <is>
          <t>Aline</t>
        </is>
      </c>
      <c r="AD1644" t="inlineStr">
        <is>
          <t>31/08/2026</t>
        </is>
      </c>
      <c r="AE1644" t="inlineStr">
        <is>
          <t>10/09/2026</t>
        </is>
      </c>
      <c r="AF1644" t="inlineStr">
        <is>
          <t>Prazo Premissa VALE</t>
        </is>
      </c>
    </row>
    <row r="1645">
      <c r="A1645">
        <v>1643</v>
      </c>
      <c r="B1645">
        <v>1</v>
      </c>
      <c r="C1645" t="inlineStr">
        <is>
          <t>1.4A</t>
        </is>
      </c>
      <c r="D1645" t="inlineStr">
        <is>
          <t>A05</t>
        </is>
      </c>
      <c r="E1645" t="inlineStr">
        <is>
          <t>LD/LE</t>
        </is>
      </c>
      <c r="F1645" t="inlineStr">
        <is>
          <t>EMPA</t>
        </is>
      </c>
      <c r="G1645" t="inlineStr">
        <is>
          <t>CLP-020</t>
        </is>
      </c>
      <c r="H1645" t="inlineStr">
        <is>
          <t>Protocolo</t>
        </is>
      </c>
      <c r="I1645">
        <v>4</v>
      </c>
      <c r="J1645" t="inlineStr">
        <is>
          <t>Terraplenagem</t>
        </is>
      </c>
      <c r="K1645" t="inlineStr">
        <is>
          <t>4.17</t>
        </is>
      </c>
      <c r="L1645" t="inlineStr">
        <is>
          <t xml:space="preserve">Aterro </t>
        </is>
      </c>
      <c r="M1645" t="inlineStr">
        <is>
          <t>Fissuras/ trincas na plataforma</t>
        </is>
      </c>
      <c r="N1645" t="inlineStr">
        <is>
          <t>Trinca transversal na plataforma</t>
        </is>
      </c>
      <c r="O1645" t="inlineStr">
        <is>
          <t>Tipo A</t>
        </is>
      </c>
      <c r="P1645" t="inlineStr">
        <is>
          <t>35+600</t>
        </is>
      </c>
      <c r="Q1645" t="inlineStr">
        <is>
          <t>35+600</t>
        </is>
      </c>
      <c r="R1645" t="inlineStr">
        <is>
          <t>Aberta</t>
        </is>
      </c>
      <c r="T1645" t="inlineStr">
        <is>
          <t>Aline Batista</t>
        </is>
      </c>
      <c r="U1645" t="inlineStr">
        <is>
          <t>29/05/2026</t>
        </is>
      </c>
      <c r="V1645" t="inlineStr">
        <is>
          <t>05/06/2026</t>
        </is>
      </c>
      <c r="W1645">
        <v>5</v>
      </c>
      <c r="AA1645" t="inlineStr">
        <is>
          <t>Aberta -30 dias</t>
        </is>
      </c>
      <c r="AB1645" t="inlineStr">
        <is>
          <t>EMPA</t>
        </is>
      </c>
      <c r="AC1645" t="inlineStr">
        <is>
          <t>Aline</t>
        </is>
      </c>
      <c r="AD1645" t="inlineStr">
        <is>
          <t>31/08/2026</t>
        </is>
      </c>
      <c r="AE1645" t="inlineStr">
        <is>
          <t>10/09/2026</t>
        </is>
      </c>
      <c r="AF1645" t="inlineStr">
        <is>
          <t>Prazo Premissa VALE</t>
        </is>
      </c>
    </row>
    <row r="1646">
      <c r="A1646">
        <v>1644</v>
      </c>
      <c r="B1646">
        <v>1</v>
      </c>
      <c r="C1646" t="inlineStr">
        <is>
          <t>1.4A</t>
        </is>
      </c>
      <c r="D1646" t="inlineStr">
        <is>
          <t>A06</t>
        </is>
      </c>
      <c r="E1646" t="inlineStr">
        <is>
          <t>LD</t>
        </is>
      </c>
      <c r="F1646" t="inlineStr">
        <is>
          <t>EMPA</t>
        </is>
      </c>
      <c r="G1646" t="inlineStr">
        <is>
          <t>CLP-020</t>
        </is>
      </c>
      <c r="H1646" t="inlineStr">
        <is>
          <t>Protocolo</t>
        </is>
      </c>
      <c r="I1646">
        <v>4</v>
      </c>
      <c r="J1646" t="inlineStr">
        <is>
          <t>Terraplenagem</t>
        </is>
      </c>
      <c r="K1646" t="inlineStr">
        <is>
          <t>4.4</t>
        </is>
      </c>
      <c r="L1646" t="inlineStr">
        <is>
          <t>Plataforma</t>
        </is>
      </c>
      <c r="M1646" t="inlineStr">
        <is>
          <t>Colmatação colchão drenante</t>
        </is>
      </c>
      <c r="N1646" t="inlineStr">
        <is>
          <t>Conformação entre plataforma e talude</t>
        </is>
      </c>
      <c r="O1646" t="inlineStr">
        <is>
          <t>Tipo A</t>
        </is>
      </c>
      <c r="P1646" t="inlineStr">
        <is>
          <t>36+150</t>
        </is>
      </c>
      <c r="Q1646" t="inlineStr">
        <is>
          <t>36+150</t>
        </is>
      </c>
      <c r="R1646" t="inlineStr">
        <is>
          <t>Aberta</t>
        </is>
      </c>
      <c r="T1646" t="inlineStr">
        <is>
          <t>Aline Batista</t>
        </is>
      </c>
      <c r="U1646" t="inlineStr">
        <is>
          <t>29/05/2026</t>
        </is>
      </c>
      <c r="V1646" t="inlineStr">
        <is>
          <t>05/06/2026</t>
        </is>
      </c>
      <c r="W1646">
        <v>5</v>
      </c>
      <c r="AA1646" t="inlineStr">
        <is>
          <t>Aberta -30 dias</t>
        </is>
      </c>
      <c r="AB1646" t="inlineStr">
        <is>
          <t>EMPA</t>
        </is>
      </c>
      <c r="AC1646" t="inlineStr">
        <is>
          <t>Aline</t>
        </is>
      </c>
      <c r="AD1646" t="inlineStr">
        <is>
          <t>31/08/2026</t>
        </is>
      </c>
      <c r="AE1646" t="inlineStr">
        <is>
          <t>10/09/2026</t>
        </is>
      </c>
      <c r="AF1646" t="inlineStr">
        <is>
          <t>Prazo Premissa VALE</t>
        </is>
      </c>
    </row>
    <row r="1647">
      <c r="A1647">
        <v>1645</v>
      </c>
      <c r="B1647">
        <v>1</v>
      </c>
      <c r="C1647" t="inlineStr">
        <is>
          <t>1.4A</t>
        </is>
      </c>
      <c r="D1647" t="inlineStr">
        <is>
          <t>C05</t>
        </is>
      </c>
      <c r="E1647" t="inlineStr">
        <is>
          <t>LE</t>
        </is>
      </c>
      <c r="F1647" t="inlineStr">
        <is>
          <t>EMPA</t>
        </is>
      </c>
      <c r="G1647" t="inlineStr">
        <is>
          <t>CLP-020</t>
        </is>
      </c>
      <c r="H1647" t="inlineStr">
        <is>
          <t>Protocolo</t>
        </is>
      </c>
      <c r="I1647">
        <v>4</v>
      </c>
      <c r="J1647" t="inlineStr">
        <is>
          <t>Terraplenagem</t>
        </is>
      </c>
      <c r="K1647" t="inlineStr">
        <is>
          <t>4.22</t>
        </is>
      </c>
      <c r="L1647" t="inlineStr">
        <is>
          <t>Talude</t>
        </is>
      </c>
      <c r="M1647" t="inlineStr">
        <is>
          <t>Execuçao divergente do projeto</t>
        </is>
      </c>
      <c r="N1647" t="inlineStr">
        <is>
          <t xml:space="preserve">Talude acima da canaleta, fora do padrão de projeto. </t>
        </is>
      </c>
      <c r="O1647" t="inlineStr">
        <is>
          <t>Tipo A</t>
        </is>
      </c>
      <c r="P1647" t="inlineStr">
        <is>
          <t>36+260</t>
        </is>
      </c>
      <c r="Q1647" t="inlineStr">
        <is>
          <t>36+320</t>
        </is>
      </c>
      <c r="R1647" t="inlineStr">
        <is>
          <t>Aberta</t>
        </is>
      </c>
      <c r="T1647" t="inlineStr">
        <is>
          <t>Aline Batista</t>
        </is>
      </c>
      <c r="U1647" t="inlineStr">
        <is>
          <t>29/05/2026</t>
        </is>
      </c>
      <c r="V1647" t="inlineStr">
        <is>
          <t>05/06/2026</t>
        </is>
      </c>
      <c r="W1647">
        <v>5</v>
      </c>
      <c r="AA1647" t="inlineStr">
        <is>
          <t>Aberta -30 dias</t>
        </is>
      </c>
      <c r="AB1647" t="inlineStr">
        <is>
          <t>EMPA</t>
        </is>
      </c>
      <c r="AC1647" t="inlineStr">
        <is>
          <t>Aline</t>
        </is>
      </c>
      <c r="AD1647" t="inlineStr">
        <is>
          <t>31/08/2026</t>
        </is>
      </c>
      <c r="AE1647" t="inlineStr">
        <is>
          <t>10/09/2026</t>
        </is>
      </c>
      <c r="AF1647" t="inlineStr">
        <is>
          <t>Prazo Premissa VALE</t>
        </is>
      </c>
    </row>
    <row r="1648">
      <c r="A1648">
        <v>1646</v>
      </c>
      <c r="B1648">
        <v>1</v>
      </c>
      <c r="C1648" t="inlineStr">
        <is>
          <t>1.4A</t>
        </is>
      </c>
      <c r="D1648" t="inlineStr">
        <is>
          <t>A07</t>
        </is>
      </c>
      <c r="E1648" t="inlineStr">
        <is>
          <t>LE/LD</t>
        </is>
      </c>
      <c r="F1648" t="inlineStr">
        <is>
          <t>EMPA</t>
        </is>
      </c>
      <c r="G1648" t="inlineStr">
        <is>
          <t>CLP-020</t>
        </is>
      </c>
      <c r="H1648" t="inlineStr">
        <is>
          <t>Protocolo</t>
        </is>
      </c>
      <c r="I1648">
        <v>4</v>
      </c>
      <c r="J1648" t="inlineStr">
        <is>
          <t>Terraplenagem</t>
        </is>
      </c>
      <c r="K1648" t="inlineStr">
        <is>
          <t>2.11</t>
        </is>
      </c>
      <c r="L1648" t="inlineStr">
        <is>
          <t>Acesso</t>
        </is>
      </c>
      <c r="M1648" t="inlineStr">
        <is>
          <t>Regularização e recuperação de área</t>
        </is>
      </c>
      <c r="N1648" t="inlineStr">
        <is>
          <t>Necessário recomposição da área de acesso a passagem de gado.</t>
        </is>
      </c>
      <c r="O1648" t="inlineStr">
        <is>
          <t>Tipo A</t>
        </is>
      </c>
      <c r="P1648" t="inlineStr">
        <is>
          <t>36+400</t>
        </is>
      </c>
      <c r="Q1648" t="inlineStr">
        <is>
          <t>36+400</t>
        </is>
      </c>
      <c r="R1648" t="inlineStr">
        <is>
          <t>Aberta</t>
        </is>
      </c>
      <c r="T1648" t="inlineStr">
        <is>
          <t>Aline Batista</t>
        </is>
      </c>
      <c r="U1648" t="inlineStr">
        <is>
          <t>29/05/2026</t>
        </is>
      </c>
      <c r="V1648" t="inlineStr">
        <is>
          <t>05/06/2026</t>
        </is>
      </c>
      <c r="W1648">
        <v>5</v>
      </c>
      <c r="AA1648" t="inlineStr">
        <is>
          <t>Aberta -30 dias</t>
        </is>
      </c>
      <c r="AB1648" t="inlineStr">
        <is>
          <t>EMPA</t>
        </is>
      </c>
      <c r="AC1648" t="inlineStr">
        <is>
          <t>Aline</t>
        </is>
      </c>
      <c r="AD1648" t="inlineStr">
        <is>
          <t>31/08/2026</t>
        </is>
      </c>
      <c r="AE1648" t="inlineStr">
        <is>
          <t>10/09/2026</t>
        </is>
      </c>
      <c r="AF1648" t="inlineStr">
        <is>
          <t>Prazo Premissa VALE</t>
        </is>
      </c>
    </row>
    <row r="1649">
      <c r="A1649">
        <v>1647</v>
      </c>
      <c r="B1649">
        <v>1</v>
      </c>
      <c r="C1649" t="inlineStr">
        <is>
          <t>1.4A</t>
        </is>
      </c>
      <c r="D1649" t="inlineStr">
        <is>
          <t>C08</t>
        </is>
      </c>
      <c r="E1649" t="inlineStr">
        <is>
          <t>LD</t>
        </is>
      </c>
      <c r="F1649" t="inlineStr">
        <is>
          <t>EMPA</t>
        </is>
      </c>
      <c r="G1649" t="inlineStr">
        <is>
          <t>CLP-020</t>
        </is>
      </c>
      <c r="H1649" t="inlineStr">
        <is>
          <t>Protocolo</t>
        </is>
      </c>
      <c r="I1649">
        <v>4</v>
      </c>
      <c r="J1649" t="inlineStr">
        <is>
          <t>Terraplenagem</t>
        </is>
      </c>
      <c r="K1649" t="inlineStr">
        <is>
          <t>4.4</t>
        </is>
      </c>
      <c r="L1649" t="inlineStr">
        <is>
          <t>Talude</t>
        </is>
      </c>
      <c r="M1649" t="inlineStr">
        <is>
          <t>Material Solto</t>
        </is>
      </c>
      <c r="N1649" t="inlineStr">
        <is>
          <t xml:space="preserve">Material solto na face do talude </t>
        </is>
      </c>
      <c r="O1649" t="inlineStr">
        <is>
          <t>Tipo A</t>
        </is>
      </c>
      <c r="P1649" t="inlineStr">
        <is>
          <t>36+540</t>
        </is>
      </c>
      <c r="Q1649" t="inlineStr">
        <is>
          <t>36+680</t>
        </is>
      </c>
      <c r="R1649" t="inlineStr">
        <is>
          <t>Aberta</t>
        </is>
      </c>
      <c r="T1649" t="inlineStr">
        <is>
          <t>Aline Batista</t>
        </is>
      </c>
      <c r="U1649" t="inlineStr">
        <is>
          <t>29/05/2026</t>
        </is>
      </c>
      <c r="V1649" t="inlineStr">
        <is>
          <t>05/06/2026</t>
        </is>
      </c>
      <c r="W1649">
        <v>5</v>
      </c>
      <c r="AA1649" t="inlineStr">
        <is>
          <t>Aberta -30 dias</t>
        </is>
      </c>
      <c r="AB1649" t="inlineStr">
        <is>
          <t>EMPA</t>
        </is>
      </c>
      <c r="AC1649" t="inlineStr">
        <is>
          <t>Aline</t>
        </is>
      </c>
      <c r="AD1649" t="inlineStr">
        <is>
          <t>31/08/2026</t>
        </is>
      </c>
      <c r="AE1649" t="inlineStr">
        <is>
          <t>10/09/2026</t>
        </is>
      </c>
      <c r="AF1649" t="inlineStr">
        <is>
          <t>Prazo Premissa VALE</t>
        </is>
      </c>
    </row>
    <row r="1650">
      <c r="A1650">
        <v>1648</v>
      </c>
      <c r="B1650">
        <v>1</v>
      </c>
      <c r="C1650" t="inlineStr">
        <is>
          <t>1.4A</t>
        </is>
      </c>
      <c r="D1650" t="inlineStr">
        <is>
          <t>C09</t>
        </is>
      </c>
      <c r="E1650" t="inlineStr">
        <is>
          <t>LE</t>
        </is>
      </c>
      <c r="F1650" t="inlineStr">
        <is>
          <t>EMPA</t>
        </is>
      </c>
      <c r="G1650" t="inlineStr">
        <is>
          <t>CLP-020</t>
        </is>
      </c>
      <c r="H1650" t="inlineStr">
        <is>
          <t>Protocolo</t>
        </is>
      </c>
      <c r="I1650">
        <v>4</v>
      </c>
      <c r="J1650" t="inlineStr">
        <is>
          <t>Terraplenagem</t>
        </is>
      </c>
      <c r="K1650" t="inlineStr">
        <is>
          <t>4.22</t>
        </is>
      </c>
      <c r="L1650" t="inlineStr">
        <is>
          <t>Talude</t>
        </is>
      </c>
      <c r="M1650" t="inlineStr">
        <is>
          <t>Inclinação</t>
        </is>
      </c>
      <c r="N1650" t="inlineStr">
        <is>
          <t>Início da banqueta com inclinação para o talude.</t>
        </is>
      </c>
      <c r="O1650" t="inlineStr">
        <is>
          <t>Tipo A</t>
        </is>
      </c>
      <c r="P1650" t="inlineStr">
        <is>
          <t>37+080</t>
        </is>
      </c>
      <c r="Q1650" t="inlineStr">
        <is>
          <t>37+100</t>
        </is>
      </c>
      <c r="R1650" t="inlineStr">
        <is>
          <t>Aberta</t>
        </is>
      </c>
      <c r="T1650" t="inlineStr">
        <is>
          <t>Aline Batista</t>
        </is>
      </c>
      <c r="U1650" t="inlineStr">
        <is>
          <t>29/05/2026</t>
        </is>
      </c>
      <c r="V1650" t="inlineStr">
        <is>
          <t>05/06/2026</t>
        </is>
      </c>
      <c r="W1650">
        <v>5</v>
      </c>
      <c r="AA1650" t="inlineStr">
        <is>
          <t>Aberta -30 dias</t>
        </is>
      </c>
      <c r="AB1650" t="inlineStr">
        <is>
          <t>EMPA</t>
        </is>
      </c>
      <c r="AC1650" t="inlineStr">
        <is>
          <t>Aline</t>
        </is>
      </c>
      <c r="AD1650" t="inlineStr">
        <is>
          <t>31/08/2026</t>
        </is>
      </c>
      <c r="AE1650" t="inlineStr">
        <is>
          <t>10/09/2026</t>
        </is>
      </c>
      <c r="AF1650" t="inlineStr">
        <is>
          <t>Prazo Premissa VALE</t>
        </is>
      </c>
    </row>
    <row r="1651">
      <c r="A1651">
        <v>1649</v>
      </c>
      <c r="B1651">
        <v>1</v>
      </c>
      <c r="C1651" t="inlineStr">
        <is>
          <t>1.4A</t>
        </is>
      </c>
      <c r="D1651" t="inlineStr">
        <is>
          <t>A09</t>
        </is>
      </c>
      <c r="E1651" t="inlineStr">
        <is>
          <t>LE/LD</t>
        </is>
      </c>
      <c r="F1651" t="inlineStr">
        <is>
          <t>EMPA</t>
        </is>
      </c>
      <c r="G1651" t="inlineStr">
        <is>
          <t>CLP-020</t>
        </is>
      </c>
      <c r="H1651" t="inlineStr">
        <is>
          <t>Protocolo</t>
        </is>
      </c>
      <c r="I1651">
        <v>4</v>
      </c>
      <c r="J1651" t="inlineStr">
        <is>
          <t>Terraplenagem</t>
        </is>
      </c>
      <c r="K1651" t="inlineStr">
        <is>
          <t>4.20</t>
        </is>
      </c>
      <c r="L1651" t="inlineStr">
        <is>
          <t xml:space="preserve">Aterro </t>
        </is>
      </c>
      <c r="M1651" t="inlineStr">
        <is>
          <t>Erosões</t>
        </is>
      </c>
      <c r="N1651" t="inlineStr">
        <is>
          <t>Erosões nas entradas e saídas da PG.</t>
        </is>
      </c>
      <c r="O1651" t="inlineStr">
        <is>
          <t>Tipo A</t>
        </is>
      </c>
      <c r="P1651" t="inlineStr">
        <is>
          <t>37+360</t>
        </is>
      </c>
      <c r="Q1651" t="inlineStr">
        <is>
          <t>37+360</t>
        </is>
      </c>
      <c r="R1651" t="inlineStr">
        <is>
          <t>Aberta</t>
        </is>
      </c>
      <c r="T1651" t="inlineStr">
        <is>
          <t>Aline Batista</t>
        </is>
      </c>
      <c r="U1651" t="inlineStr">
        <is>
          <t>29/05/2026</t>
        </is>
      </c>
      <c r="V1651" t="inlineStr">
        <is>
          <t>05/06/2026</t>
        </is>
      </c>
      <c r="W1651">
        <v>5</v>
      </c>
      <c r="AA1651" t="inlineStr">
        <is>
          <t>Aberta -30 dias</t>
        </is>
      </c>
      <c r="AB1651" t="inlineStr">
        <is>
          <t>EMPA</t>
        </is>
      </c>
      <c r="AC1651" t="inlineStr">
        <is>
          <t>Aline</t>
        </is>
      </c>
      <c r="AD1651" t="inlineStr">
        <is>
          <t>31/08/2026</t>
        </is>
      </c>
      <c r="AE1651" t="inlineStr">
        <is>
          <t>10/09/2026</t>
        </is>
      </c>
      <c r="AF1651" t="inlineStr">
        <is>
          <t>Prazo Premissa VALE</t>
        </is>
      </c>
    </row>
    <row r="1652">
      <c r="A1652">
        <v>1650</v>
      </c>
      <c r="B1652">
        <v>1</v>
      </c>
      <c r="C1652" t="inlineStr">
        <is>
          <t>1.4A</t>
        </is>
      </c>
      <c r="D1652" t="inlineStr">
        <is>
          <t>A09</t>
        </is>
      </c>
      <c r="E1652" t="inlineStr">
        <is>
          <t>LD</t>
        </is>
      </c>
      <c r="F1652" t="inlineStr">
        <is>
          <t>EMPA</t>
        </is>
      </c>
      <c r="G1652" t="inlineStr">
        <is>
          <t>CLP-020</t>
        </is>
      </c>
      <c r="H1652" t="inlineStr">
        <is>
          <t>Protocolo</t>
        </is>
      </c>
      <c r="I1652">
        <v>4</v>
      </c>
      <c r="J1652" t="inlineStr">
        <is>
          <t>Terraplenagem</t>
        </is>
      </c>
      <c r="K1652" t="inlineStr">
        <is>
          <t>4.25</t>
        </is>
      </c>
      <c r="L1652" t="inlineStr">
        <is>
          <t>Caminho de serviço</t>
        </is>
      </c>
      <c r="M1652" t="inlineStr">
        <is>
          <t>Regularização e recuperação de área</t>
        </is>
      </c>
      <c r="N1652" t="inlineStr">
        <is>
          <t>Aterro e caminho com solo exposto; necessária limpeza, hidrossemeadura e recuperação do caminho de serviço.</t>
        </is>
      </c>
      <c r="O1652" t="inlineStr">
        <is>
          <t>Tipo A</t>
        </is>
      </c>
      <c r="P1652" t="inlineStr">
        <is>
          <t>37+436</t>
        </is>
      </c>
      <c r="Q1652" t="inlineStr">
        <is>
          <t>37+436</t>
        </is>
      </c>
      <c r="R1652" t="inlineStr">
        <is>
          <t>Aberta</t>
        </is>
      </c>
      <c r="T1652" t="inlineStr">
        <is>
          <t>Aline Batista</t>
        </is>
      </c>
      <c r="U1652" t="inlineStr">
        <is>
          <t>29/05/2026</t>
        </is>
      </c>
      <c r="V1652" t="inlineStr">
        <is>
          <t>05/06/2026</t>
        </is>
      </c>
      <c r="W1652">
        <v>5</v>
      </c>
      <c r="AA1652" t="inlineStr">
        <is>
          <t>Aberta -30 dias</t>
        </is>
      </c>
      <c r="AB1652" t="inlineStr">
        <is>
          <t>EMPA</t>
        </is>
      </c>
      <c r="AC1652" t="inlineStr">
        <is>
          <t>Aline</t>
        </is>
      </c>
      <c r="AD1652" t="inlineStr">
        <is>
          <t>31/08/2026</t>
        </is>
      </c>
      <c r="AE1652" t="inlineStr">
        <is>
          <t>10/09/2026</t>
        </is>
      </c>
      <c r="AF1652" t="inlineStr">
        <is>
          <t>Prazo Premissa VALE</t>
        </is>
      </c>
    </row>
    <row r="1653">
      <c r="A1653">
        <v>1651</v>
      </c>
      <c r="B1653">
        <v>1</v>
      </c>
      <c r="C1653" t="inlineStr">
        <is>
          <t>1.4A</t>
        </is>
      </c>
      <c r="D1653" t="inlineStr">
        <is>
          <t>C05</t>
        </is>
      </c>
      <c r="E1653" t="inlineStr">
        <is>
          <t>LD</t>
        </is>
      </c>
      <c r="F1653" t="inlineStr">
        <is>
          <t>EMPA</t>
        </is>
      </c>
      <c r="G1653" t="inlineStr">
        <is>
          <t>CLP-020</t>
        </is>
      </c>
      <c r="H1653" t="inlineStr">
        <is>
          <t>Protocolo</t>
        </is>
      </c>
      <c r="I1653">
        <v>4</v>
      </c>
      <c r="J1653" t="inlineStr">
        <is>
          <t>Terraplenagem</t>
        </is>
      </c>
      <c r="K1653" t="inlineStr">
        <is>
          <t>4.11</t>
        </is>
      </c>
      <c r="L1653" t="inlineStr">
        <is>
          <t>Talude</t>
        </is>
      </c>
      <c r="M1653" t="inlineStr">
        <is>
          <t>Revegetação/ Hidrossemeadura</t>
        </is>
      </c>
      <c r="N1653" t="inlineStr">
        <is>
          <t>Pendente a aplicação da proteção vegetal nos taludes (hidrossemeadura)</t>
        </is>
      </c>
      <c r="O1653" t="inlineStr">
        <is>
          <t>Tipo A</t>
        </is>
      </c>
      <c r="P1653" t="inlineStr">
        <is>
          <t>34+760</t>
        </is>
      </c>
      <c r="Q1653" t="inlineStr">
        <is>
          <t>35+080</t>
        </is>
      </c>
      <c r="R1653" t="inlineStr">
        <is>
          <t>Aberta</t>
        </is>
      </c>
      <c r="T1653" t="inlineStr">
        <is>
          <t>Aline Batista</t>
        </is>
      </c>
      <c r="U1653" t="inlineStr">
        <is>
          <t>29/05/2026</t>
        </is>
      </c>
      <c r="V1653" t="inlineStr">
        <is>
          <t>05/06/2026</t>
        </is>
      </c>
      <c r="W1653">
        <v>5</v>
      </c>
      <c r="AA1653" t="inlineStr">
        <is>
          <t>Aberta -30 dias</t>
        </is>
      </c>
      <c r="AB1653" t="inlineStr">
        <is>
          <t>EMPA</t>
        </is>
      </c>
      <c r="AC1653" t="inlineStr">
        <is>
          <t>Aline</t>
        </is>
      </c>
      <c r="AD1653" t="inlineStr">
        <is>
          <t>31/08/2026</t>
        </is>
      </c>
      <c r="AE1653" t="inlineStr">
        <is>
          <t>10/09/2026</t>
        </is>
      </c>
      <c r="AF1653" t="inlineStr">
        <is>
          <t>Prazo Premissa VALE</t>
        </is>
      </c>
    </row>
    <row r="1654">
      <c r="A1654">
        <v>1652</v>
      </c>
      <c r="B1654">
        <v>1</v>
      </c>
      <c r="C1654" t="inlineStr">
        <is>
          <t>1.4A</t>
        </is>
      </c>
      <c r="D1654" t="inlineStr">
        <is>
          <t>A05</t>
        </is>
      </c>
      <c r="F1654" t="inlineStr">
        <is>
          <t>EMPA</t>
        </is>
      </c>
      <c r="G1654" t="inlineStr">
        <is>
          <t>CLP-020</t>
        </is>
      </c>
      <c r="H1654" t="inlineStr">
        <is>
          <t>Fiscalização</t>
        </is>
      </c>
      <c r="I1654">
        <v>4</v>
      </c>
      <c r="J1654" t="inlineStr">
        <is>
          <t>Terraplenagem</t>
        </is>
      </c>
      <c r="K1654" t="inlineStr">
        <is>
          <t>4.20</t>
        </is>
      </c>
      <c r="L1654" t="inlineStr">
        <is>
          <t>Talude</t>
        </is>
      </c>
      <c r="M1654" t="inlineStr">
        <is>
          <t>Erosões</t>
        </is>
      </c>
      <c r="N1654" t="inlineStr">
        <is>
          <t xml:space="preserve">Formação de processos erosivos </t>
        </is>
      </c>
      <c r="O1654" t="inlineStr">
        <is>
          <t>Tipo A</t>
        </is>
      </c>
      <c r="P1654" t="inlineStr">
        <is>
          <t xml:space="preserve">35+160
</t>
        </is>
      </c>
      <c r="Q1654" t="inlineStr">
        <is>
          <t>35+940</t>
        </is>
      </c>
      <c r="R1654" t="inlineStr">
        <is>
          <t>Aberta</t>
        </is>
      </c>
      <c r="T1654" t="inlineStr">
        <is>
          <t>Aline Batista</t>
        </is>
      </c>
      <c r="U1654" t="inlineStr">
        <is>
          <t>29/05/2026</t>
        </is>
      </c>
      <c r="V1654" t="inlineStr">
        <is>
          <t>05/06/2026</t>
        </is>
      </c>
      <c r="W1654">
        <v>5</v>
      </c>
      <c r="AA1654" t="inlineStr">
        <is>
          <t>Aberta -30 dias</t>
        </is>
      </c>
      <c r="AB1654" t="inlineStr">
        <is>
          <t>EMPA</t>
        </is>
      </c>
      <c r="AC1654" t="inlineStr">
        <is>
          <t>Aline</t>
        </is>
      </c>
      <c r="AD1654" t="inlineStr">
        <is>
          <t>31/08/2026</t>
        </is>
      </c>
      <c r="AE1654" t="inlineStr">
        <is>
          <t>10/09/2026</t>
        </is>
      </c>
      <c r="AF1654" t="inlineStr">
        <is>
          <t>Prazo Premissa VALE</t>
        </is>
      </c>
    </row>
    <row r="1655">
      <c r="A1655">
        <v>1653</v>
      </c>
      <c r="B1655">
        <v>1</v>
      </c>
      <c r="C1655" t="inlineStr">
        <is>
          <t>1.4A</t>
        </is>
      </c>
      <c r="D1655" t="inlineStr">
        <is>
          <t>A08</t>
        </is>
      </c>
      <c r="F1655" t="inlineStr">
        <is>
          <t>EMPA</t>
        </is>
      </c>
      <c r="G1655" t="inlineStr">
        <is>
          <t>CLP-020</t>
        </is>
      </c>
      <c r="H1655" t="inlineStr">
        <is>
          <t>Protocolo</t>
        </is>
      </c>
      <c r="I1655">
        <v>4</v>
      </c>
      <c r="J1655" t="inlineStr">
        <is>
          <t>Terraplenagem</t>
        </is>
      </c>
      <c r="K1655" t="inlineStr">
        <is>
          <t>4.4</t>
        </is>
      </c>
      <c r="L1655" t="inlineStr">
        <is>
          <t>Plataforma</t>
        </is>
      </c>
      <c r="M1655" t="inlineStr">
        <is>
          <t>Material Solto</t>
        </is>
      </c>
      <c r="N1655" t="inlineStr">
        <is>
          <t xml:space="preserve">Material sobre a borda da plataforma </t>
        </is>
      </c>
      <c r="O1655" t="inlineStr">
        <is>
          <t>Tipo A</t>
        </is>
      </c>
      <c r="P1655" t="inlineStr">
        <is>
          <t>36+700</t>
        </is>
      </c>
      <c r="Q1655">
        <v>37060</v>
      </c>
      <c r="R1655" t="inlineStr">
        <is>
          <t>Aberta</t>
        </is>
      </c>
      <c r="T1655" t="inlineStr">
        <is>
          <t>Aline Batista</t>
        </is>
      </c>
      <c r="U1655" t="inlineStr">
        <is>
          <t>29/05/2026</t>
        </is>
      </c>
      <c r="V1655" t="inlineStr">
        <is>
          <t>05/06/2026</t>
        </is>
      </c>
      <c r="W1655">
        <v>5</v>
      </c>
      <c r="AA1655" t="inlineStr">
        <is>
          <t>Aberta -30 dias</t>
        </is>
      </c>
      <c r="AB1655" t="inlineStr">
        <is>
          <t>EMPA</t>
        </is>
      </c>
      <c r="AC1655" t="inlineStr">
        <is>
          <t>Aline</t>
        </is>
      </c>
      <c r="AD1655" t="inlineStr">
        <is>
          <t>31/08/2026</t>
        </is>
      </c>
      <c r="AE1655" t="inlineStr">
        <is>
          <t>10/09/2026</t>
        </is>
      </c>
      <c r="AF1655" t="inlineStr">
        <is>
          <t>Prazo Premissa VALE</t>
        </is>
      </c>
    </row>
    <row r="1656">
      <c r="A1656">
        <v>1654</v>
      </c>
      <c r="B1656">
        <v>1</v>
      </c>
      <c r="C1656" t="inlineStr">
        <is>
          <t>1.4A</t>
        </is>
      </c>
      <c r="D1656" t="inlineStr">
        <is>
          <t>C10</t>
        </is>
      </c>
      <c r="E1656" t="inlineStr">
        <is>
          <t>LE</t>
        </is>
      </c>
      <c r="F1656" t="inlineStr">
        <is>
          <t>EMPA</t>
        </is>
      </c>
      <c r="G1656" t="inlineStr">
        <is>
          <t>CLP-020</t>
        </is>
      </c>
      <c r="H1656" t="inlineStr">
        <is>
          <t>Protocolo</t>
        </is>
      </c>
      <c r="I1656">
        <v>4</v>
      </c>
      <c r="J1656" t="inlineStr">
        <is>
          <t>Terraplenagem</t>
        </is>
      </c>
      <c r="K1656" t="inlineStr">
        <is>
          <t>4.32</t>
        </is>
      </c>
      <c r="L1656" t="inlineStr">
        <is>
          <t>Drenagem superficial</t>
        </is>
      </c>
      <c r="M1656" t="inlineStr">
        <is>
          <t>Obstrução do dispositivo</t>
        </is>
      </c>
      <c r="N1656" t="inlineStr">
        <is>
          <t>Material de brita proximo da drenagem, necessario limpeza.</t>
        </is>
      </c>
      <c r="O1656" t="inlineStr">
        <is>
          <t>Tipo A</t>
        </is>
      </c>
      <c r="P1656" t="inlineStr">
        <is>
          <t>37+500</t>
        </is>
      </c>
      <c r="Q1656">
        <v>37500</v>
      </c>
      <c r="R1656" t="inlineStr">
        <is>
          <t>Aberta</t>
        </is>
      </c>
      <c r="T1656" t="inlineStr">
        <is>
          <t>Aline Batista</t>
        </is>
      </c>
      <c r="U1656" t="inlineStr">
        <is>
          <t>29/05/2026</t>
        </is>
      </c>
      <c r="V1656" t="inlineStr">
        <is>
          <t>05/06/2026</t>
        </is>
      </c>
      <c r="W1656">
        <v>5</v>
      </c>
      <c r="AA1656" t="inlineStr">
        <is>
          <t>Aberta -30 dias</t>
        </is>
      </c>
      <c r="AB1656" t="inlineStr">
        <is>
          <t>EMPA</t>
        </is>
      </c>
      <c r="AC1656" t="inlineStr">
        <is>
          <t>Aline</t>
        </is>
      </c>
      <c r="AD1656" t="inlineStr">
        <is>
          <t>31/08/2026</t>
        </is>
      </c>
      <c r="AE1656" t="inlineStr">
        <is>
          <t>10/09/2026</t>
        </is>
      </c>
      <c r="AF1656" t="inlineStr">
        <is>
          <t>Prazo Premissa VALE</t>
        </is>
      </c>
    </row>
    <row r="1657">
      <c r="A1657">
        <v>1655</v>
      </c>
      <c r="B1657">
        <v>1</v>
      </c>
      <c r="C1657" t="inlineStr">
        <is>
          <t>1.4A</t>
        </is>
      </c>
      <c r="D1657" t="inlineStr">
        <is>
          <t>GERAL</t>
        </is>
      </c>
      <c r="E1657" t="inlineStr">
        <is>
          <t>-</t>
        </is>
      </c>
      <c r="F1657" t="inlineStr">
        <is>
          <t>EMPA</t>
        </is>
      </c>
      <c r="G1657" t="inlineStr">
        <is>
          <t>CLP-020</t>
        </is>
      </c>
      <c r="H1657" t="inlineStr">
        <is>
          <t>Protocolo</t>
        </is>
      </c>
      <c r="I1657">
        <v>4</v>
      </c>
      <c r="J1657" t="inlineStr">
        <is>
          <t>Terraplenagem</t>
        </is>
      </c>
      <c r="K1657" t="inlineStr">
        <is>
          <t>4.2</t>
        </is>
      </c>
      <c r="L1657" t="inlineStr">
        <is>
          <t>Plataforma</t>
        </is>
      </c>
      <c r="M1657" t="inlineStr">
        <is>
          <t>Plano cotado não aprovado</t>
        </is>
      </c>
      <c r="N1657" t="inlineStr">
        <is>
          <t>Plano Cotado não executado.</t>
        </is>
      </c>
      <c r="O1657" t="inlineStr">
        <is>
          <t>Tipo B</t>
        </is>
      </c>
      <c r="P1657" t="inlineStr">
        <is>
          <t>31+600</t>
        </is>
      </c>
      <c r="Q1657">
        <v>38136.544</v>
      </c>
      <c r="R1657" t="inlineStr">
        <is>
          <t>Aberta</t>
        </is>
      </c>
      <c r="T1657" t="inlineStr">
        <is>
          <t>Aline Batista</t>
        </is>
      </c>
      <c r="U1657" t="inlineStr">
        <is>
          <t>29/05/2026</t>
        </is>
      </c>
      <c r="V1657" t="inlineStr">
        <is>
          <t>13/06/2026</t>
        </is>
      </c>
      <c r="W1657">
        <v>-3</v>
      </c>
      <c r="AA1657" t="inlineStr">
        <is>
          <t>Aberta -30 dias</t>
        </is>
      </c>
      <c r="AB1657" t="inlineStr">
        <is>
          <t>EMPA</t>
        </is>
      </c>
      <c r="AC1657" t="inlineStr">
        <is>
          <t>Aline</t>
        </is>
      </c>
      <c r="AE1657" t="inlineStr">
        <is>
          <t>12/06/2026</t>
        </is>
      </c>
      <c r="AF1657" t="inlineStr">
        <is>
          <t>Verificar aprovação da SIT de aprovação do plano cotado</t>
        </is>
      </c>
    </row>
    <row r="1658">
      <c r="A1658">
        <v>1656</v>
      </c>
      <c r="B1658">
        <v>1</v>
      </c>
      <c r="C1658" t="inlineStr">
        <is>
          <t>1.4A</t>
        </is>
      </c>
      <c r="D1658" t="inlineStr">
        <is>
          <t>GERAL</t>
        </is>
      </c>
      <c r="E1658" t="inlineStr">
        <is>
          <t>-</t>
        </is>
      </c>
      <c r="F1658" t="inlineStr">
        <is>
          <t>EMPA</t>
        </is>
      </c>
      <c r="G1658" t="inlineStr">
        <is>
          <t>CLP-020</t>
        </is>
      </c>
      <c r="H1658" t="inlineStr">
        <is>
          <t>Protocolo</t>
        </is>
      </c>
      <c r="I1658">
        <v>4</v>
      </c>
      <c r="J1658" t="inlineStr">
        <is>
          <t>Terraplenagem</t>
        </is>
      </c>
      <c r="K1658" t="inlineStr">
        <is>
          <t>4.28</t>
        </is>
      </c>
      <c r="L1658" t="inlineStr">
        <is>
          <t>RNC</t>
        </is>
      </c>
      <c r="M1658" t="inlineStr">
        <is>
          <t>Documental</t>
        </is>
      </c>
      <c r="N1658" t="inlineStr">
        <is>
          <t xml:space="preserve">Constam em aberto os registros em aberto:
RNC-01191/26
RNC-01336/26
RNC-02196/26
RNC-02199/26
RNC-10692/25</t>
        </is>
      </c>
      <c r="O1658" t="inlineStr">
        <is>
          <t>Tipo B</t>
        </is>
      </c>
      <c r="P1658" t="inlineStr">
        <is>
          <t>31+037</t>
        </is>
      </c>
      <c r="Q1658">
        <v>38136.544</v>
      </c>
      <c r="R1658" t="inlineStr">
        <is>
          <t>Aberta</t>
        </is>
      </c>
      <c r="T1658" t="inlineStr">
        <is>
          <t>Aline Batista</t>
        </is>
      </c>
      <c r="U1658" t="inlineStr">
        <is>
          <t>29/05/2026</t>
        </is>
      </c>
      <c r="V1658" t="inlineStr">
        <is>
          <t>13/06/2026</t>
        </is>
      </c>
      <c r="W1658">
        <v>-3</v>
      </c>
      <c r="AA1658" t="inlineStr">
        <is>
          <t>Aberta -30 dias</t>
        </is>
      </c>
      <c r="AB1658" t="inlineStr">
        <is>
          <t>EMPA</t>
        </is>
      </c>
      <c r="AC1658" t="inlineStr">
        <is>
          <t>Aline</t>
        </is>
      </c>
      <c r="AE1658" t="inlineStr">
        <is>
          <t>19/06/2026</t>
        </is>
      </c>
      <c r="AF1658" t="inlineStr">
        <is>
          <t>Ata de reunião de RM p/ BK</t>
        </is>
      </c>
    </row>
    <row r="1659">
      <c r="A1659">
        <v>1657</v>
      </c>
      <c r="B1659">
        <v>1</v>
      </c>
      <c r="D1659" t="inlineStr">
        <is>
          <t>GERAL</t>
        </is>
      </c>
      <c r="F1659" t="inlineStr">
        <is>
          <t>EMPA</t>
        </is>
      </c>
      <c r="G1659" t="inlineStr">
        <is>
          <t>CLP-020</t>
        </is>
      </c>
      <c r="H1659" t="inlineStr">
        <is>
          <t>Protocolo</t>
        </is>
      </c>
      <c r="I1659">
        <v>4</v>
      </c>
      <c r="J1659" t="inlineStr">
        <is>
          <t>Terraplenagem</t>
        </is>
      </c>
      <c r="K1659" t="inlineStr">
        <is>
          <t>4.26</t>
        </is>
      </c>
      <c r="L1659" t="inlineStr">
        <is>
          <t>As Built</t>
        </is>
      </c>
      <c r="M1659" t="inlineStr">
        <is>
          <t>Documental</t>
        </is>
      </c>
      <c r="N1659" t="inlineStr">
        <is>
          <t>As Built pendente de aprovação.</t>
        </is>
      </c>
      <c r="O1659" t="inlineStr">
        <is>
          <t>Tipo B</t>
        </is>
      </c>
      <c r="P1659" t="inlineStr">
        <is>
          <t>31+037</t>
        </is>
      </c>
      <c r="Q1659">
        <v>38136.544</v>
      </c>
      <c r="R1659" t="inlineStr">
        <is>
          <t>Aberta</t>
        </is>
      </c>
      <c r="T1659" t="inlineStr">
        <is>
          <t>Aline Batista</t>
        </is>
      </c>
      <c r="U1659" t="inlineStr">
        <is>
          <t>29/05/2026</t>
        </is>
      </c>
      <c r="V1659" t="inlineStr">
        <is>
          <t>13/06/2026</t>
        </is>
      </c>
      <c r="W1659">
        <v>-3</v>
      </c>
      <c r="AA1659" t="inlineStr">
        <is>
          <t>Aberta -30 dias</t>
        </is>
      </c>
      <c r="AB1659" t="inlineStr">
        <is>
          <t>EMPA</t>
        </is>
      </c>
      <c r="AC1659" t="inlineStr">
        <is>
          <t>Aline</t>
        </is>
      </c>
      <c r="AE1659" t="inlineStr">
        <is>
          <t>19/06/2026</t>
        </is>
      </c>
      <c r="AF1659" t="inlineStr">
        <is>
          <t>Ata de reunião de RM p/ BK</t>
        </is>
      </c>
    </row>
    <row r="1660">
      <c r="A1660">
        <v>1658</v>
      </c>
      <c r="B1660">
        <v>1</v>
      </c>
      <c r="C1660" t="inlineStr">
        <is>
          <t>1.4A</t>
        </is>
      </c>
      <c r="D1660" t="inlineStr">
        <is>
          <t>GERAL</t>
        </is>
      </c>
      <c r="E1660" t="inlineStr">
        <is>
          <t>-</t>
        </is>
      </c>
      <c r="F1660" t="inlineStr">
        <is>
          <t>EMPA</t>
        </is>
      </c>
      <c r="G1660" t="inlineStr">
        <is>
          <t>CLP-020</t>
        </is>
      </c>
      <c r="H1660" t="inlineStr">
        <is>
          <t>Protocolo</t>
        </is>
      </c>
      <c r="I1660">
        <v>4</v>
      </c>
      <c r="J1660" t="inlineStr">
        <is>
          <t>Terraplenagem</t>
        </is>
      </c>
      <c r="K1660" t="inlineStr">
        <is>
          <t>4.12</t>
        </is>
      </c>
      <c r="L1660" t="inlineStr">
        <is>
          <t>Ensaios</t>
        </is>
      </c>
      <c r="M1660" t="inlineStr">
        <is>
          <t>Documental</t>
        </is>
      </c>
      <c r="N1660" t="inlineStr">
        <is>
          <t>Não foram encaminhados os controles para análise documental.</t>
        </is>
      </c>
      <c r="O1660" t="inlineStr">
        <is>
          <t>Tipo B</t>
        </is>
      </c>
      <c r="P1660" t="inlineStr">
        <is>
          <t>31+037</t>
        </is>
      </c>
      <c r="Q1660">
        <v>38136.544</v>
      </c>
      <c r="R1660" t="inlineStr">
        <is>
          <t>Aberta</t>
        </is>
      </c>
      <c r="T1660" t="inlineStr">
        <is>
          <t>Aline Batista</t>
        </is>
      </c>
      <c r="U1660" t="inlineStr">
        <is>
          <t>29/05/2026</t>
        </is>
      </c>
      <c r="V1660" t="inlineStr">
        <is>
          <t>13/06/2026</t>
        </is>
      </c>
      <c r="W1660">
        <v>-3</v>
      </c>
      <c r="AA1660" t="inlineStr">
        <is>
          <t>Aberta -30 dias</t>
        </is>
      </c>
      <c r="AB1660" t="inlineStr">
        <is>
          <t>EMPA</t>
        </is>
      </c>
      <c r="AC1660" t="inlineStr">
        <is>
          <t>Aline</t>
        </is>
      </c>
      <c r="AE1660" t="inlineStr">
        <is>
          <t>19/06/2026</t>
        </is>
      </c>
      <c r="AF1660" t="inlineStr">
        <is>
          <t>Ata de reunião de RM p/ BK</t>
        </is>
      </c>
    </row>
    <row r="1661">
      <c r="A1661">
        <v>1659</v>
      </c>
      <c r="B1661">
        <v>1</v>
      </c>
      <c r="C1661" t="inlineStr">
        <is>
          <t>1.4A</t>
        </is>
      </c>
      <c r="D1661" t="inlineStr">
        <is>
          <t>A01</t>
        </is>
      </c>
      <c r="E1661" t="inlineStr">
        <is>
          <t>LD</t>
        </is>
      </c>
      <c r="F1661" t="inlineStr">
        <is>
          <t>EMPA</t>
        </is>
      </c>
      <c r="G1661" t="inlineStr">
        <is>
          <t>CLP-020</t>
        </is>
      </c>
      <c r="H1661" t="inlineStr">
        <is>
          <t>Protocolo</t>
        </is>
      </c>
      <c r="I1661">
        <v>6</v>
      </c>
      <c r="J1661" t="inlineStr">
        <is>
          <t>Drenagem Superficial</t>
        </is>
      </c>
      <c r="K1661" t="inlineStr">
        <is>
          <t>6.5</t>
        </is>
      </c>
      <c r="L1661" t="inlineStr">
        <is>
          <t>DED 01</t>
        </is>
      </c>
      <c r="M1661" t="inlineStr">
        <is>
          <t>Dispositivo não executado</t>
        </is>
      </c>
      <c r="N1661" t="inlineStr">
        <is>
          <t>Dissipador não executado.</t>
        </is>
      </c>
      <c r="O1661" t="inlineStr">
        <is>
          <t>Tipo A</t>
        </is>
      </c>
      <c r="P1661" t="inlineStr">
        <is>
          <t>31+200</t>
        </is>
      </c>
      <c r="Q1661" t="inlineStr">
        <is>
          <t>31+200</t>
        </is>
      </c>
      <c r="R1661" t="inlineStr">
        <is>
          <t>Aberta</t>
        </is>
      </c>
      <c r="T1661" t="inlineStr">
        <is>
          <t>Aline Batista</t>
        </is>
      </c>
      <c r="U1661" t="inlineStr">
        <is>
          <t>29/05/2026</t>
        </is>
      </c>
      <c r="V1661" t="inlineStr">
        <is>
          <t>05/06/2026</t>
        </is>
      </c>
      <c r="W1661">
        <v>5</v>
      </c>
      <c r="AA1661" t="inlineStr">
        <is>
          <t>Aberta -30 dias</t>
        </is>
      </c>
      <c r="AB1661" t="inlineStr">
        <is>
          <t>EMPA</t>
        </is>
      </c>
      <c r="AC1661" t="inlineStr">
        <is>
          <t>Aline</t>
        </is>
      </c>
      <c r="AD1661" t="inlineStr">
        <is>
          <t>17/08/2026</t>
        </is>
      </c>
      <c r="AE1661" t="inlineStr">
        <is>
          <t>28/08/2026</t>
        </is>
      </c>
      <c r="AF1661" t="inlineStr">
        <is>
          <t>Prazo Premissa VALE</t>
        </is>
      </c>
    </row>
    <row r="1662">
      <c r="A1662">
        <v>1660</v>
      </c>
      <c r="B1662">
        <v>1</v>
      </c>
      <c r="C1662" t="inlineStr">
        <is>
          <t>1.4A</t>
        </is>
      </c>
      <c r="D1662" t="inlineStr">
        <is>
          <t>A01</t>
        </is>
      </c>
      <c r="E1662" t="inlineStr">
        <is>
          <t>LD</t>
        </is>
      </c>
      <c r="F1662" t="inlineStr">
        <is>
          <t>EMPA</t>
        </is>
      </c>
      <c r="G1662" t="inlineStr">
        <is>
          <t>CLP-020</t>
        </is>
      </c>
      <c r="H1662" t="inlineStr">
        <is>
          <t>Protocolo</t>
        </is>
      </c>
      <c r="I1662">
        <v>6</v>
      </c>
      <c r="J1662" t="inlineStr">
        <is>
          <t>Drenagem Superficial</t>
        </is>
      </c>
      <c r="K1662" t="inlineStr">
        <is>
          <t>6.1</t>
        </is>
      </c>
      <c r="L1662" t="inlineStr">
        <is>
          <t>VPC 01</t>
        </is>
      </c>
      <c r="M1662" t="inlineStr">
        <is>
          <t>Dispositivo não executado</t>
        </is>
      </c>
      <c r="N1662" t="inlineStr">
        <is>
          <t>VPC não executada.</t>
        </is>
      </c>
      <c r="O1662" t="inlineStr">
        <is>
          <t>Tipo A</t>
        </is>
      </c>
      <c r="P1662" t="inlineStr">
        <is>
          <t>31+527</t>
        </is>
      </c>
      <c r="Q1662" t="inlineStr">
        <is>
          <t>31+355</t>
        </is>
      </c>
      <c r="R1662" t="inlineStr">
        <is>
          <t>Aberta</t>
        </is>
      </c>
      <c r="T1662" t="inlineStr">
        <is>
          <t>Aline Batista</t>
        </is>
      </c>
      <c r="U1662" t="inlineStr">
        <is>
          <t>29/05/2026</t>
        </is>
      </c>
      <c r="V1662" t="inlineStr">
        <is>
          <t>05/06/2026</t>
        </is>
      </c>
      <c r="W1662">
        <v>5</v>
      </c>
      <c r="AA1662" t="inlineStr">
        <is>
          <t>Aberta -30 dias</t>
        </is>
      </c>
      <c r="AB1662" t="inlineStr">
        <is>
          <t>EMPA</t>
        </is>
      </c>
      <c r="AC1662" t="inlineStr">
        <is>
          <t>Aline</t>
        </is>
      </c>
      <c r="AD1662" t="inlineStr">
        <is>
          <t>17/08/2026</t>
        </is>
      </c>
      <c r="AE1662" t="inlineStr">
        <is>
          <t>28/08/2026</t>
        </is>
      </c>
      <c r="AF1662" t="inlineStr">
        <is>
          <t>Prazo Premissa VALE</t>
        </is>
      </c>
    </row>
    <row r="1663">
      <c r="A1663">
        <v>1661</v>
      </c>
      <c r="B1663">
        <v>1</v>
      </c>
      <c r="C1663" t="inlineStr">
        <is>
          <t>1.4A</t>
        </is>
      </c>
      <c r="D1663" t="inlineStr">
        <is>
          <t>A01</t>
        </is>
      </c>
      <c r="E1663" t="inlineStr">
        <is>
          <t>LE</t>
        </is>
      </c>
      <c r="F1663" t="inlineStr">
        <is>
          <t>EMPA</t>
        </is>
      </c>
      <c r="G1663" t="inlineStr">
        <is>
          <t>CLP-020</t>
        </is>
      </c>
      <c r="H1663" t="inlineStr">
        <is>
          <t>Protocolo</t>
        </is>
      </c>
      <c r="I1663">
        <v>6</v>
      </c>
      <c r="J1663" t="inlineStr">
        <is>
          <t>Drenagem Superficial</t>
        </is>
      </c>
      <c r="K1663" t="inlineStr">
        <is>
          <t>6.1</t>
        </is>
      </c>
      <c r="L1663" t="inlineStr">
        <is>
          <t>VPC 01</t>
        </is>
      </c>
      <c r="M1663" t="inlineStr">
        <is>
          <t>Dispositivo não executado</t>
        </is>
      </c>
      <c r="N1663" t="inlineStr">
        <is>
          <t>VPC não executada.</t>
        </is>
      </c>
      <c r="O1663" t="inlineStr">
        <is>
          <t>Tipo A</t>
        </is>
      </c>
      <c r="P1663" t="inlineStr">
        <is>
          <t>31+628</t>
        </is>
      </c>
      <c r="Q1663" t="inlineStr">
        <is>
          <t>31+380</t>
        </is>
      </c>
      <c r="R1663" t="inlineStr">
        <is>
          <t>Aberta</t>
        </is>
      </c>
      <c r="T1663" t="inlineStr">
        <is>
          <t>Aline Batista</t>
        </is>
      </c>
      <c r="U1663" t="inlineStr">
        <is>
          <t>29/05/2026</t>
        </is>
      </c>
      <c r="V1663" t="inlineStr">
        <is>
          <t>05/06/2026</t>
        </is>
      </c>
      <c r="W1663">
        <v>5</v>
      </c>
      <c r="AA1663" t="inlineStr">
        <is>
          <t>Aberta -30 dias</t>
        </is>
      </c>
      <c r="AB1663" t="inlineStr">
        <is>
          <t>EMPA</t>
        </is>
      </c>
      <c r="AC1663" t="inlineStr">
        <is>
          <t>Aline</t>
        </is>
      </c>
      <c r="AD1663" t="inlineStr">
        <is>
          <t>17/08/2026</t>
        </is>
      </c>
      <c r="AE1663" t="inlineStr">
        <is>
          <t>28/08/2026</t>
        </is>
      </c>
      <c r="AF1663" t="inlineStr">
        <is>
          <t>Prazo Premissa VALE</t>
        </is>
      </c>
    </row>
    <row r="1664">
      <c r="A1664">
        <v>1662</v>
      </c>
      <c r="B1664">
        <v>1</v>
      </c>
      <c r="C1664" t="inlineStr">
        <is>
          <t>1.4A</t>
        </is>
      </c>
      <c r="D1664" t="inlineStr">
        <is>
          <t>A01</t>
        </is>
      </c>
      <c r="E1664" t="inlineStr">
        <is>
          <t>LE</t>
        </is>
      </c>
      <c r="F1664" t="inlineStr">
        <is>
          <t>EMPA</t>
        </is>
      </c>
      <c r="G1664" t="inlineStr">
        <is>
          <t>CLP-020</t>
        </is>
      </c>
      <c r="H1664" t="inlineStr">
        <is>
          <t>Protocolo</t>
        </is>
      </c>
      <c r="I1664">
        <v>6</v>
      </c>
      <c r="J1664" t="inlineStr">
        <is>
          <t>Drenagem Superficial</t>
        </is>
      </c>
      <c r="K1664" t="inlineStr">
        <is>
          <t>6.1</t>
        </is>
      </c>
      <c r="L1664" t="inlineStr">
        <is>
          <t>TSS 03</t>
        </is>
      </c>
      <c r="M1664" t="inlineStr">
        <is>
          <t>Dispositivo não executado</t>
        </is>
      </c>
      <c r="N1664" t="inlineStr">
        <is>
          <t>TSS não executado.</t>
        </is>
      </c>
      <c r="O1664" t="inlineStr">
        <is>
          <t>Tipo A</t>
        </is>
      </c>
      <c r="P1664" t="inlineStr">
        <is>
          <t>31+527</t>
        </is>
      </c>
      <c r="Q1664" t="inlineStr">
        <is>
          <t>31+534</t>
        </is>
      </c>
      <c r="R1664" t="inlineStr">
        <is>
          <t>Aberta</t>
        </is>
      </c>
      <c r="T1664" t="inlineStr">
        <is>
          <t>Aline Batista</t>
        </is>
      </c>
      <c r="U1664" t="inlineStr">
        <is>
          <t>29/05/2026</t>
        </is>
      </c>
      <c r="V1664" t="inlineStr">
        <is>
          <t>05/06/2026</t>
        </is>
      </c>
      <c r="W1664">
        <v>5</v>
      </c>
      <c r="AA1664" t="inlineStr">
        <is>
          <t>Aberta -30 dias</t>
        </is>
      </c>
      <c r="AB1664" t="inlineStr">
        <is>
          <t>EMPA</t>
        </is>
      </c>
      <c r="AC1664" t="inlineStr">
        <is>
          <t>Aline</t>
        </is>
      </c>
      <c r="AD1664" t="inlineStr">
        <is>
          <t>17/08/2026</t>
        </is>
      </c>
      <c r="AE1664" t="inlineStr">
        <is>
          <t>28/08/2026</t>
        </is>
      </c>
      <c r="AF1664" t="inlineStr">
        <is>
          <t>Prazo Premissa VALE</t>
        </is>
      </c>
    </row>
    <row r="1665">
      <c r="A1665">
        <v>1663</v>
      </c>
      <c r="B1665">
        <v>1</v>
      </c>
      <c r="C1665" t="inlineStr">
        <is>
          <t>1.4A</t>
        </is>
      </c>
      <c r="D1665" t="inlineStr">
        <is>
          <t>A01</t>
        </is>
      </c>
      <c r="E1665" t="inlineStr">
        <is>
          <t>LD</t>
        </is>
      </c>
      <c r="F1665" t="inlineStr">
        <is>
          <t>EMPA</t>
        </is>
      </c>
      <c r="G1665" t="inlineStr">
        <is>
          <t>CLP-020</t>
        </is>
      </c>
      <c r="H1665" t="inlineStr">
        <is>
          <t>Protocolo</t>
        </is>
      </c>
      <c r="I1665">
        <v>6</v>
      </c>
      <c r="J1665" t="inlineStr">
        <is>
          <t>Drenagem Superficial</t>
        </is>
      </c>
      <c r="K1665" t="inlineStr">
        <is>
          <t>6.5</t>
        </is>
      </c>
      <c r="L1665" t="inlineStr">
        <is>
          <t>DED 01</t>
        </is>
      </c>
      <c r="M1665" t="inlineStr">
        <is>
          <t>Dispositivo não executado</t>
        </is>
      </c>
      <c r="N1665" t="inlineStr">
        <is>
          <t>Dissipador não executado.</t>
        </is>
      </c>
      <c r="O1665" t="inlineStr">
        <is>
          <t>Tipo A</t>
        </is>
      </c>
      <c r="P1665" t="inlineStr">
        <is>
          <t>31+805</t>
        </is>
      </c>
      <c r="Q1665" t="inlineStr">
        <is>
          <t>31+805</t>
        </is>
      </c>
      <c r="R1665" t="inlineStr">
        <is>
          <t>Aberta</t>
        </is>
      </c>
      <c r="T1665" t="inlineStr">
        <is>
          <t>Aline Batista</t>
        </is>
      </c>
      <c r="U1665" t="inlineStr">
        <is>
          <t>29/05/2026</t>
        </is>
      </c>
      <c r="V1665" t="inlineStr">
        <is>
          <t>05/06/2026</t>
        </is>
      </c>
      <c r="W1665">
        <v>5</v>
      </c>
      <c r="AA1665" t="inlineStr">
        <is>
          <t>Aberta -30 dias</t>
        </is>
      </c>
      <c r="AB1665" t="inlineStr">
        <is>
          <t>EMPA</t>
        </is>
      </c>
      <c r="AC1665" t="inlineStr">
        <is>
          <t>Aline</t>
        </is>
      </c>
      <c r="AD1665" t="inlineStr">
        <is>
          <t>17/08/2026</t>
        </is>
      </c>
      <c r="AE1665" t="inlineStr">
        <is>
          <t>28/08/2026</t>
        </is>
      </c>
      <c r="AF1665" t="inlineStr">
        <is>
          <t>Prazo Premissa VALE</t>
        </is>
      </c>
    </row>
    <row r="1666">
      <c r="A1666">
        <v>1664</v>
      </c>
      <c r="B1666">
        <v>1</v>
      </c>
      <c r="C1666" t="inlineStr">
        <is>
          <t>1.4A</t>
        </is>
      </c>
      <c r="D1666" t="inlineStr">
        <is>
          <t>A02</t>
        </is>
      </c>
      <c r="E1666" t="inlineStr">
        <is>
          <t>LE</t>
        </is>
      </c>
      <c r="F1666" t="inlineStr">
        <is>
          <t>EMPA</t>
        </is>
      </c>
      <c r="G1666" t="inlineStr">
        <is>
          <t>CLP-020</t>
        </is>
      </c>
      <c r="H1666" t="inlineStr">
        <is>
          <t>Protocolo</t>
        </is>
      </c>
      <c r="I1666">
        <v>6</v>
      </c>
      <c r="J1666" t="inlineStr">
        <is>
          <t>Drenagem Superficial</t>
        </is>
      </c>
      <c r="K1666" t="inlineStr">
        <is>
          <t>6.1</t>
        </is>
      </c>
      <c r="L1666" t="inlineStr">
        <is>
          <t>VPC 01</t>
        </is>
      </c>
      <c r="M1666" t="inlineStr">
        <is>
          <t>Dispositivo não executado</t>
        </is>
      </c>
      <c r="N1666" t="inlineStr">
        <is>
          <t>VPC não executada.</t>
        </is>
      </c>
      <c r="O1666" t="inlineStr">
        <is>
          <t>Tipo A</t>
        </is>
      </c>
      <c r="P1666" t="inlineStr">
        <is>
          <t>31+903</t>
        </is>
      </c>
      <c r="Q1666" t="inlineStr">
        <is>
          <t>31+917</t>
        </is>
      </c>
      <c r="R1666" t="inlineStr">
        <is>
          <t>Aberta</t>
        </is>
      </c>
      <c r="T1666" t="inlineStr">
        <is>
          <t>Aline Batista</t>
        </is>
      </c>
      <c r="U1666" t="inlineStr">
        <is>
          <t>29/05/2026</t>
        </is>
      </c>
      <c r="V1666" t="inlineStr">
        <is>
          <t>05/06/2026</t>
        </is>
      </c>
      <c r="W1666">
        <v>5</v>
      </c>
      <c r="AA1666" t="inlineStr">
        <is>
          <t>Aberta -30 dias</t>
        </is>
      </c>
      <c r="AB1666" t="inlineStr">
        <is>
          <t>EMPA</t>
        </is>
      </c>
      <c r="AC1666" t="inlineStr">
        <is>
          <t>Aline</t>
        </is>
      </c>
      <c r="AD1666" t="inlineStr">
        <is>
          <t>17/08/2026</t>
        </is>
      </c>
      <c r="AE1666" t="inlineStr">
        <is>
          <t>28/08/2026</t>
        </is>
      </c>
      <c r="AF1666" t="inlineStr">
        <is>
          <t>Prazo Premissa VALE</t>
        </is>
      </c>
    </row>
    <row r="1667">
      <c r="A1667">
        <v>1665</v>
      </c>
      <c r="B1667">
        <v>1</v>
      </c>
      <c r="C1667" t="inlineStr">
        <is>
          <t>1.4A</t>
        </is>
      </c>
      <c r="D1667" t="inlineStr">
        <is>
          <t>A02</t>
        </is>
      </c>
      <c r="E1667" t="inlineStr">
        <is>
          <t>LE</t>
        </is>
      </c>
      <c r="F1667" t="inlineStr">
        <is>
          <t>EMPA</t>
        </is>
      </c>
      <c r="G1667" t="inlineStr">
        <is>
          <t>CLP-020</t>
        </is>
      </c>
      <c r="H1667" t="inlineStr">
        <is>
          <t>Protocolo</t>
        </is>
      </c>
      <c r="I1667">
        <v>6</v>
      </c>
      <c r="J1667" t="inlineStr">
        <is>
          <t>Drenagem Superficial</t>
        </is>
      </c>
      <c r="K1667" t="inlineStr">
        <is>
          <t>6.1</t>
        </is>
      </c>
      <c r="L1667" t="inlineStr">
        <is>
          <t>VPC 03</t>
        </is>
      </c>
      <c r="M1667" t="inlineStr">
        <is>
          <t>Dispositivo não executado</t>
        </is>
      </c>
      <c r="N1667" t="inlineStr">
        <is>
          <t>VPC não executada.</t>
        </is>
      </c>
      <c r="O1667" t="inlineStr">
        <is>
          <t>Tipo A</t>
        </is>
      </c>
      <c r="P1667" t="inlineStr">
        <is>
          <t>31+917</t>
        </is>
      </c>
      <c r="Q1667" t="inlineStr">
        <is>
          <t>31+992</t>
        </is>
      </c>
      <c r="R1667" t="inlineStr">
        <is>
          <t>Aberta</t>
        </is>
      </c>
      <c r="T1667" t="inlineStr">
        <is>
          <t>Aline Batista</t>
        </is>
      </c>
      <c r="U1667" t="inlineStr">
        <is>
          <t>29/05/2026</t>
        </is>
      </c>
      <c r="V1667" t="inlineStr">
        <is>
          <t>05/06/2026</t>
        </is>
      </c>
      <c r="W1667">
        <v>5</v>
      </c>
      <c r="AA1667" t="inlineStr">
        <is>
          <t>Aberta -30 dias</t>
        </is>
      </c>
      <c r="AB1667" t="inlineStr">
        <is>
          <t>EMPA</t>
        </is>
      </c>
      <c r="AC1667" t="inlineStr">
        <is>
          <t>Aline</t>
        </is>
      </c>
      <c r="AD1667" t="inlineStr">
        <is>
          <t>17/08/2026</t>
        </is>
      </c>
      <c r="AE1667" t="inlineStr">
        <is>
          <t>28/08/2026</t>
        </is>
      </c>
      <c r="AF1667" t="inlineStr">
        <is>
          <t>Prazo Premissa VALE</t>
        </is>
      </c>
    </row>
    <row r="1668">
      <c r="A1668">
        <v>1666</v>
      </c>
      <c r="B1668">
        <v>1</v>
      </c>
      <c r="C1668" t="inlineStr">
        <is>
          <t>1.4A</t>
        </is>
      </c>
      <c r="D1668" t="inlineStr">
        <is>
          <t>A02</t>
        </is>
      </c>
      <c r="E1668" t="inlineStr">
        <is>
          <t>LD</t>
        </is>
      </c>
      <c r="F1668" t="inlineStr">
        <is>
          <t>EMPA</t>
        </is>
      </c>
      <c r="G1668" t="inlineStr">
        <is>
          <t>CLP-020</t>
        </is>
      </c>
      <c r="H1668" t="inlineStr">
        <is>
          <t>Protocolo</t>
        </is>
      </c>
      <c r="I1668">
        <v>6</v>
      </c>
      <c r="J1668" t="inlineStr">
        <is>
          <t>Drenagem Superficial</t>
        </is>
      </c>
      <c r="K1668" t="inlineStr">
        <is>
          <t>6.5</t>
        </is>
      </c>
      <c r="L1668" t="inlineStr">
        <is>
          <t>DED 01</t>
        </is>
      </c>
      <c r="M1668" t="inlineStr">
        <is>
          <t>Dispositivo não executado</t>
        </is>
      </c>
      <c r="N1668" t="inlineStr">
        <is>
          <t>Dissipador não executado.</t>
        </is>
      </c>
      <c r="O1668" t="inlineStr">
        <is>
          <t>Tipo A</t>
        </is>
      </c>
      <c r="P1668" t="inlineStr">
        <is>
          <t>32+080</t>
        </is>
      </c>
      <c r="Q1668" t="inlineStr">
        <is>
          <t>32+080</t>
        </is>
      </c>
      <c r="R1668" t="inlineStr">
        <is>
          <t>Aberta</t>
        </is>
      </c>
      <c r="T1668" t="inlineStr">
        <is>
          <t>Aline Batista</t>
        </is>
      </c>
      <c r="U1668" t="inlineStr">
        <is>
          <t>29/05/2026</t>
        </is>
      </c>
      <c r="V1668" t="inlineStr">
        <is>
          <t>05/06/2026</t>
        </is>
      </c>
      <c r="W1668">
        <v>5</v>
      </c>
      <c r="AA1668" t="inlineStr">
        <is>
          <t>Aberta -30 dias</t>
        </is>
      </c>
      <c r="AB1668" t="inlineStr">
        <is>
          <t>EMPA</t>
        </is>
      </c>
      <c r="AC1668" t="inlineStr">
        <is>
          <t>Aline</t>
        </is>
      </c>
      <c r="AD1668" t="inlineStr">
        <is>
          <t>17/08/2026</t>
        </is>
      </c>
      <c r="AE1668" t="inlineStr">
        <is>
          <t>28/08/2026</t>
        </is>
      </c>
      <c r="AF1668" t="inlineStr">
        <is>
          <t>Prazo Premissa VALE</t>
        </is>
      </c>
    </row>
    <row r="1669">
      <c r="A1669">
        <v>1667</v>
      </c>
      <c r="B1669">
        <v>1</v>
      </c>
      <c r="C1669" t="inlineStr">
        <is>
          <t>1.4A</t>
        </is>
      </c>
      <c r="D1669" t="inlineStr">
        <is>
          <t>A02</t>
        </is>
      </c>
      <c r="E1669" t="inlineStr">
        <is>
          <t>LD</t>
        </is>
      </c>
      <c r="F1669" t="inlineStr">
        <is>
          <t>EMPA</t>
        </is>
      </c>
      <c r="G1669" t="inlineStr">
        <is>
          <t>CLP-020</t>
        </is>
      </c>
      <c r="H1669" t="inlineStr">
        <is>
          <t>Protocolo</t>
        </is>
      </c>
      <c r="I1669">
        <v>6</v>
      </c>
      <c r="J1669" t="inlineStr">
        <is>
          <t>Drenagem Superficial</t>
        </is>
      </c>
      <c r="K1669" t="inlineStr">
        <is>
          <t>6.5</t>
        </is>
      </c>
      <c r="L1669" t="inlineStr">
        <is>
          <t>DED 01</t>
        </is>
      </c>
      <c r="M1669" t="inlineStr">
        <is>
          <t>Dispositivo não executado</t>
        </is>
      </c>
      <c r="N1669" t="inlineStr">
        <is>
          <t>Dissipador não executado.</t>
        </is>
      </c>
      <c r="O1669" t="inlineStr">
        <is>
          <t>Tipo A</t>
        </is>
      </c>
      <c r="P1669" t="inlineStr">
        <is>
          <t>32+760</t>
        </is>
      </c>
      <c r="Q1669" t="inlineStr">
        <is>
          <t>32+760</t>
        </is>
      </c>
      <c r="R1669" t="inlineStr">
        <is>
          <t>Aberta</t>
        </is>
      </c>
      <c r="T1669" t="inlineStr">
        <is>
          <t>Aline Batista</t>
        </is>
      </c>
      <c r="U1669" t="inlineStr">
        <is>
          <t>29/05/2026</t>
        </is>
      </c>
      <c r="V1669" t="inlineStr">
        <is>
          <t>05/06/2026</t>
        </is>
      </c>
      <c r="W1669">
        <v>5</v>
      </c>
      <c r="AA1669" t="inlineStr">
        <is>
          <t>Aberta -30 dias</t>
        </is>
      </c>
      <c r="AB1669" t="inlineStr">
        <is>
          <t>EMPA</t>
        </is>
      </c>
      <c r="AC1669" t="inlineStr">
        <is>
          <t>Aline</t>
        </is>
      </c>
      <c r="AD1669" t="inlineStr">
        <is>
          <t>17/08/2026</t>
        </is>
      </c>
      <c r="AE1669" t="inlineStr">
        <is>
          <t>28/08/2026</t>
        </is>
      </c>
      <c r="AF1669" t="inlineStr">
        <is>
          <t>Prazo Premissa VALE</t>
        </is>
      </c>
    </row>
    <row r="1670">
      <c r="A1670">
        <v>1668</v>
      </c>
      <c r="B1670">
        <v>1</v>
      </c>
      <c r="C1670" t="inlineStr">
        <is>
          <t>1.4A</t>
        </is>
      </c>
      <c r="D1670" t="inlineStr">
        <is>
          <t>A02</t>
        </is>
      </c>
      <c r="E1670" t="inlineStr">
        <is>
          <t>LE</t>
        </is>
      </c>
      <c r="F1670" t="inlineStr">
        <is>
          <t>EMPA</t>
        </is>
      </c>
      <c r="G1670" t="inlineStr">
        <is>
          <t>CLP-020</t>
        </is>
      </c>
      <c r="H1670" t="inlineStr">
        <is>
          <t>Protocolo</t>
        </is>
      </c>
      <c r="I1670">
        <v>6</v>
      </c>
      <c r="J1670" t="inlineStr">
        <is>
          <t>Drenagem Superficial</t>
        </is>
      </c>
      <c r="K1670" t="inlineStr">
        <is>
          <t>6.1</t>
        </is>
      </c>
      <c r="L1670" t="inlineStr">
        <is>
          <t>VPC 01</t>
        </is>
      </c>
      <c r="M1670" t="inlineStr">
        <is>
          <t>Dispositivo não executado</t>
        </is>
      </c>
      <c r="N1670" t="inlineStr">
        <is>
          <t>VPC não executada.</t>
        </is>
      </c>
      <c r="O1670" t="inlineStr">
        <is>
          <t>Tipo A</t>
        </is>
      </c>
      <c r="P1670" t="inlineStr">
        <is>
          <t>32+825</t>
        </is>
      </c>
      <c r="Q1670" t="inlineStr">
        <is>
          <t>32+616</t>
        </is>
      </c>
      <c r="R1670" t="inlineStr">
        <is>
          <t>Aberta</t>
        </is>
      </c>
      <c r="T1670" t="inlineStr">
        <is>
          <t>Aline Batista</t>
        </is>
      </c>
      <c r="U1670" t="inlineStr">
        <is>
          <t>29/05/2026</t>
        </is>
      </c>
      <c r="V1670" t="inlineStr">
        <is>
          <t>05/06/2026</t>
        </is>
      </c>
      <c r="W1670">
        <v>5</v>
      </c>
      <c r="AA1670" t="inlineStr">
        <is>
          <t>Aberta -30 dias</t>
        </is>
      </c>
      <c r="AB1670" t="inlineStr">
        <is>
          <t>EMPA</t>
        </is>
      </c>
      <c r="AC1670" t="inlineStr">
        <is>
          <t>Aline</t>
        </is>
      </c>
      <c r="AD1670" t="inlineStr">
        <is>
          <t>17/08/2026</t>
        </is>
      </c>
      <c r="AE1670" t="inlineStr">
        <is>
          <t>28/08/2026</t>
        </is>
      </c>
      <c r="AF1670" t="inlineStr">
        <is>
          <t>Prazo Premissa VALE</t>
        </is>
      </c>
    </row>
    <row r="1671">
      <c r="A1671">
        <v>1669</v>
      </c>
      <c r="B1671">
        <v>1</v>
      </c>
      <c r="C1671" t="inlineStr">
        <is>
          <t>1.4A</t>
        </is>
      </c>
      <c r="D1671" t="inlineStr">
        <is>
          <t>A02</t>
        </is>
      </c>
      <c r="E1671" t="inlineStr">
        <is>
          <t>LE</t>
        </is>
      </c>
      <c r="F1671" t="inlineStr">
        <is>
          <t>EMPA</t>
        </is>
      </c>
      <c r="G1671" t="inlineStr">
        <is>
          <t>CLP-020</t>
        </is>
      </c>
      <c r="H1671" t="inlineStr">
        <is>
          <t>Protocolo</t>
        </is>
      </c>
      <c r="I1671">
        <v>6</v>
      </c>
      <c r="J1671" t="inlineStr">
        <is>
          <t>Drenagem Superficial</t>
        </is>
      </c>
      <c r="K1671" t="inlineStr">
        <is>
          <t>6.1</t>
        </is>
      </c>
      <c r="L1671" t="inlineStr">
        <is>
          <t>VPC 01</t>
        </is>
      </c>
      <c r="M1671" t="inlineStr">
        <is>
          <t>Dispositivo não executado</t>
        </is>
      </c>
      <c r="N1671" t="inlineStr">
        <is>
          <t>VPC não executada.</t>
        </is>
      </c>
      <c r="O1671" t="inlineStr">
        <is>
          <t>Tipo A</t>
        </is>
      </c>
      <c r="P1671" t="inlineStr">
        <is>
          <t>32+825</t>
        </is>
      </c>
      <c r="Q1671" t="inlineStr">
        <is>
          <t>32+880</t>
        </is>
      </c>
      <c r="R1671" t="inlineStr">
        <is>
          <t>Aberta</t>
        </is>
      </c>
      <c r="T1671" t="inlineStr">
        <is>
          <t>Aline Batista</t>
        </is>
      </c>
      <c r="U1671" t="inlineStr">
        <is>
          <t>29/05/2026</t>
        </is>
      </c>
      <c r="V1671" t="inlineStr">
        <is>
          <t>05/06/2026</t>
        </is>
      </c>
      <c r="W1671">
        <v>5</v>
      </c>
      <c r="AA1671" t="inlineStr">
        <is>
          <t>Aberta -30 dias</t>
        </is>
      </c>
      <c r="AB1671" t="inlineStr">
        <is>
          <t>EMPA</t>
        </is>
      </c>
      <c r="AC1671" t="inlineStr">
        <is>
          <t>Aline</t>
        </is>
      </c>
      <c r="AD1671" t="inlineStr">
        <is>
          <t>17/08/2026</t>
        </is>
      </c>
      <c r="AE1671" t="inlineStr">
        <is>
          <t>28/08/2026</t>
        </is>
      </c>
      <c r="AF1671" t="inlineStr">
        <is>
          <t>Prazo Premissa VALE</t>
        </is>
      </c>
    </row>
    <row r="1672">
      <c r="A1672">
        <v>1670</v>
      </c>
      <c r="B1672">
        <v>1</v>
      </c>
      <c r="C1672" t="inlineStr">
        <is>
          <t>1.4A</t>
        </is>
      </c>
      <c r="D1672" t="inlineStr">
        <is>
          <t>A02</t>
        </is>
      </c>
      <c r="E1672" t="inlineStr">
        <is>
          <t>LE</t>
        </is>
      </c>
      <c r="F1672" t="inlineStr">
        <is>
          <t>EMPA</t>
        </is>
      </c>
      <c r="G1672" t="inlineStr">
        <is>
          <t>CLP-020</t>
        </is>
      </c>
      <c r="H1672" t="inlineStr">
        <is>
          <t>Protocolo</t>
        </is>
      </c>
      <c r="I1672">
        <v>6</v>
      </c>
      <c r="J1672" t="inlineStr">
        <is>
          <t>Drenagem Superficial</t>
        </is>
      </c>
      <c r="K1672" t="inlineStr">
        <is>
          <t>6.1</t>
        </is>
      </c>
      <c r="L1672" t="inlineStr">
        <is>
          <t>VPC 03</t>
        </is>
      </c>
      <c r="M1672" t="inlineStr">
        <is>
          <t>Dispositivo não executado</t>
        </is>
      </c>
      <c r="N1672" t="inlineStr">
        <is>
          <t>VPC não executada.</t>
        </is>
      </c>
      <c r="O1672" t="inlineStr">
        <is>
          <t>Tipo A</t>
        </is>
      </c>
      <c r="P1672" t="inlineStr">
        <is>
          <t>32+880</t>
        </is>
      </c>
      <c r="Q1672" t="inlineStr">
        <is>
          <t>33+075</t>
        </is>
      </c>
      <c r="R1672" t="inlineStr">
        <is>
          <t>Aberta</t>
        </is>
      </c>
      <c r="T1672" t="inlineStr">
        <is>
          <t>Aline Batista</t>
        </is>
      </c>
      <c r="U1672" t="inlineStr">
        <is>
          <t>29/05/2026</t>
        </is>
      </c>
      <c r="V1672" t="inlineStr">
        <is>
          <t>05/06/2026</t>
        </is>
      </c>
      <c r="W1672">
        <v>5</v>
      </c>
      <c r="AA1672" t="inlineStr">
        <is>
          <t>Aberta -30 dias</t>
        </is>
      </c>
      <c r="AB1672" t="inlineStr">
        <is>
          <t>EMPA</t>
        </is>
      </c>
      <c r="AC1672" t="inlineStr">
        <is>
          <t>Aline</t>
        </is>
      </c>
      <c r="AD1672" t="inlineStr">
        <is>
          <t>17/08/2026</t>
        </is>
      </c>
      <c r="AE1672" t="inlineStr">
        <is>
          <t>28/08/2026</t>
        </is>
      </c>
      <c r="AF1672" t="inlineStr">
        <is>
          <t>Prazo Premissa VALE</t>
        </is>
      </c>
    </row>
    <row r="1673">
      <c r="A1673">
        <v>1671</v>
      </c>
      <c r="B1673">
        <v>1</v>
      </c>
      <c r="C1673" t="inlineStr">
        <is>
          <t>1.4A</t>
        </is>
      </c>
      <c r="D1673" t="inlineStr">
        <is>
          <t>A03</t>
        </is>
      </c>
      <c r="E1673" t="inlineStr">
        <is>
          <t>LD</t>
        </is>
      </c>
      <c r="F1673" t="inlineStr">
        <is>
          <t>EMPA</t>
        </is>
      </c>
      <c r="G1673" t="inlineStr">
        <is>
          <t>CLP-020</t>
        </is>
      </c>
      <c r="H1673" t="inlineStr">
        <is>
          <t>Protocolo</t>
        </is>
      </c>
      <c r="I1673">
        <v>6</v>
      </c>
      <c r="J1673" t="inlineStr">
        <is>
          <t>Drenagem Superficial</t>
        </is>
      </c>
      <c r="K1673" t="inlineStr">
        <is>
          <t>6.1</t>
        </is>
      </c>
      <c r="L1673" t="inlineStr">
        <is>
          <t>VPC 01</t>
        </is>
      </c>
      <c r="M1673" t="inlineStr">
        <is>
          <t>Dispositivo não executado</t>
        </is>
      </c>
      <c r="N1673" t="inlineStr">
        <is>
          <t>VPC não executada.</t>
        </is>
      </c>
      <c r="O1673" t="inlineStr">
        <is>
          <t>Tipo A</t>
        </is>
      </c>
      <c r="P1673" t="inlineStr">
        <is>
          <t>33+280</t>
        </is>
      </c>
      <c r="Q1673" t="inlineStr">
        <is>
          <t>33+419</t>
        </is>
      </c>
      <c r="R1673" t="inlineStr">
        <is>
          <t>Aberta</t>
        </is>
      </c>
      <c r="T1673" t="inlineStr">
        <is>
          <t>Aline Batista</t>
        </is>
      </c>
      <c r="U1673" t="inlineStr">
        <is>
          <t>29/05/2026</t>
        </is>
      </c>
      <c r="V1673" t="inlineStr">
        <is>
          <t>05/06/2026</t>
        </is>
      </c>
      <c r="W1673">
        <v>5</v>
      </c>
      <c r="AA1673" t="inlineStr">
        <is>
          <t>Aberta -30 dias</t>
        </is>
      </c>
      <c r="AB1673" t="inlineStr">
        <is>
          <t>EMPA</t>
        </is>
      </c>
      <c r="AC1673" t="inlineStr">
        <is>
          <t>Aline</t>
        </is>
      </c>
      <c r="AD1673" t="inlineStr">
        <is>
          <t>31/08/2026</t>
        </is>
      </c>
      <c r="AE1673" t="inlineStr">
        <is>
          <t>10/09/2026</t>
        </is>
      </c>
      <c r="AF1673" t="inlineStr">
        <is>
          <t>Prazo Premissa VALE</t>
        </is>
      </c>
    </row>
    <row r="1674">
      <c r="A1674">
        <v>1672</v>
      </c>
      <c r="B1674">
        <v>1</v>
      </c>
      <c r="C1674" t="inlineStr">
        <is>
          <t>1.4A</t>
        </is>
      </c>
      <c r="D1674" t="inlineStr">
        <is>
          <t>A03</t>
        </is>
      </c>
      <c r="E1674" t="inlineStr">
        <is>
          <t>LE</t>
        </is>
      </c>
      <c r="F1674" t="inlineStr">
        <is>
          <t>EMPA</t>
        </is>
      </c>
      <c r="G1674" t="inlineStr">
        <is>
          <t>CLP-020</t>
        </is>
      </c>
      <c r="H1674" t="inlineStr">
        <is>
          <t>Protocolo</t>
        </is>
      </c>
      <c r="I1674">
        <v>6</v>
      </c>
      <c r="J1674" t="inlineStr">
        <is>
          <t>Drenagem Superficial</t>
        </is>
      </c>
      <c r="K1674" t="inlineStr">
        <is>
          <t>6.1</t>
        </is>
      </c>
      <c r="L1674" t="inlineStr">
        <is>
          <t>VPC 01</t>
        </is>
      </c>
      <c r="M1674" t="inlineStr">
        <is>
          <t>Dispositivo não executado</t>
        </is>
      </c>
      <c r="N1674" t="inlineStr">
        <is>
          <t>VPC não executada.</t>
        </is>
      </c>
      <c r="O1674" t="inlineStr">
        <is>
          <t>Tipo A</t>
        </is>
      </c>
      <c r="P1674" t="inlineStr">
        <is>
          <t>33+280</t>
        </is>
      </c>
      <c r="Q1674" t="inlineStr">
        <is>
          <t>33+443</t>
        </is>
      </c>
      <c r="R1674" t="inlineStr">
        <is>
          <t>Aberta</t>
        </is>
      </c>
      <c r="T1674" t="inlineStr">
        <is>
          <t>Aline Batista</t>
        </is>
      </c>
      <c r="U1674" t="inlineStr">
        <is>
          <t>29/05/2026</t>
        </is>
      </c>
      <c r="V1674" t="inlineStr">
        <is>
          <t>05/06/2026</t>
        </is>
      </c>
      <c r="W1674">
        <v>5</v>
      </c>
      <c r="AA1674" t="inlineStr">
        <is>
          <t>Aberta -30 dias</t>
        </is>
      </c>
      <c r="AB1674" t="inlineStr">
        <is>
          <t>EMPA</t>
        </is>
      </c>
      <c r="AC1674" t="inlineStr">
        <is>
          <t>Aline</t>
        </is>
      </c>
      <c r="AD1674" t="inlineStr">
        <is>
          <t>31/08/2026</t>
        </is>
      </c>
      <c r="AE1674" t="inlineStr">
        <is>
          <t>10/09/2026</t>
        </is>
      </c>
      <c r="AF1674" t="inlineStr">
        <is>
          <t>Prazo Premissa VALE</t>
        </is>
      </c>
    </row>
    <row r="1675">
      <c r="A1675">
        <v>1673</v>
      </c>
      <c r="B1675">
        <v>1</v>
      </c>
      <c r="C1675" t="inlineStr">
        <is>
          <t>1.4A</t>
        </is>
      </c>
      <c r="D1675" t="inlineStr">
        <is>
          <t>A03</t>
        </is>
      </c>
      <c r="E1675" t="inlineStr">
        <is>
          <t>LE</t>
        </is>
      </c>
      <c r="F1675" t="inlineStr">
        <is>
          <t>EMPA</t>
        </is>
      </c>
      <c r="G1675" t="inlineStr">
        <is>
          <t>CLP-020</t>
        </is>
      </c>
      <c r="H1675" t="inlineStr">
        <is>
          <t>Protocolo</t>
        </is>
      </c>
      <c r="I1675">
        <v>6</v>
      </c>
      <c r="J1675" t="inlineStr">
        <is>
          <t>Drenagem Superficial</t>
        </is>
      </c>
      <c r="K1675" t="inlineStr">
        <is>
          <t>6.1</t>
        </is>
      </c>
      <c r="L1675" t="inlineStr">
        <is>
          <t>TSS 07</t>
        </is>
      </c>
      <c r="M1675" t="inlineStr">
        <is>
          <t>Dispositivo não executado</t>
        </is>
      </c>
      <c r="N1675" t="inlineStr">
        <is>
          <t>TSS não executado.</t>
        </is>
      </c>
      <c r="O1675" t="inlineStr">
        <is>
          <t>Tipo A</t>
        </is>
      </c>
      <c r="P1675" t="inlineStr">
        <is>
          <t>33+889</t>
        </is>
      </c>
      <c r="Q1675" t="inlineStr">
        <is>
          <t>33+398</t>
        </is>
      </c>
      <c r="R1675" t="inlineStr">
        <is>
          <t>Aberta</t>
        </is>
      </c>
      <c r="T1675" t="inlineStr">
        <is>
          <t>Aline Batista</t>
        </is>
      </c>
      <c r="U1675" t="inlineStr">
        <is>
          <t>29/05/2026</t>
        </is>
      </c>
      <c r="V1675" t="inlineStr">
        <is>
          <t>05/06/2026</t>
        </is>
      </c>
      <c r="W1675">
        <v>5</v>
      </c>
      <c r="AA1675" t="inlineStr">
        <is>
          <t>Aberta -30 dias</t>
        </is>
      </c>
      <c r="AB1675" t="inlineStr">
        <is>
          <t>EMPA</t>
        </is>
      </c>
      <c r="AC1675" t="inlineStr">
        <is>
          <t>Aline</t>
        </is>
      </c>
      <c r="AD1675" t="inlineStr">
        <is>
          <t>31/08/2026</t>
        </is>
      </c>
      <c r="AE1675" t="inlineStr">
        <is>
          <t>10/09/2026</t>
        </is>
      </c>
      <c r="AF1675" t="inlineStr">
        <is>
          <t>Prazo Premissa VALE</t>
        </is>
      </c>
    </row>
    <row r="1676">
      <c r="A1676">
        <v>1674</v>
      </c>
      <c r="B1676">
        <v>1</v>
      </c>
      <c r="C1676" t="inlineStr">
        <is>
          <t>1.4A</t>
        </is>
      </c>
      <c r="D1676" t="inlineStr">
        <is>
          <t>A03</t>
        </is>
      </c>
      <c r="E1676" t="inlineStr">
        <is>
          <t>LD</t>
        </is>
      </c>
      <c r="F1676" t="inlineStr">
        <is>
          <t>EMPA</t>
        </is>
      </c>
      <c r="G1676" t="inlineStr">
        <is>
          <t>CLP-020</t>
        </is>
      </c>
      <c r="H1676" t="inlineStr">
        <is>
          <t>Protocolo</t>
        </is>
      </c>
      <c r="I1676">
        <v>6</v>
      </c>
      <c r="J1676" t="inlineStr">
        <is>
          <t>Drenagem Superficial</t>
        </is>
      </c>
      <c r="K1676" t="inlineStr">
        <is>
          <t>6.1</t>
        </is>
      </c>
      <c r="L1676" t="inlineStr">
        <is>
          <t>TSS 07</t>
        </is>
      </c>
      <c r="M1676" t="inlineStr">
        <is>
          <t>Dispositivo não executado</t>
        </is>
      </c>
      <c r="N1676" t="inlineStr">
        <is>
          <t>TSS não executado.</t>
        </is>
      </c>
      <c r="O1676" t="inlineStr">
        <is>
          <t>Tipo A</t>
        </is>
      </c>
      <c r="P1676" t="inlineStr">
        <is>
          <t>33+388</t>
        </is>
      </c>
      <c r="Q1676" t="inlineStr">
        <is>
          <t>33+398</t>
        </is>
      </c>
      <c r="R1676" t="inlineStr">
        <is>
          <t>Aberta</t>
        </is>
      </c>
      <c r="T1676" t="inlineStr">
        <is>
          <t>Aline Batista</t>
        </is>
      </c>
      <c r="U1676" t="inlineStr">
        <is>
          <t>29/05/2026</t>
        </is>
      </c>
      <c r="V1676" t="inlineStr">
        <is>
          <t>05/06/2026</t>
        </is>
      </c>
      <c r="W1676">
        <v>5</v>
      </c>
      <c r="AA1676" t="inlineStr">
        <is>
          <t>Aberta -30 dias</t>
        </is>
      </c>
      <c r="AB1676" t="inlineStr">
        <is>
          <t>EMPA</t>
        </is>
      </c>
      <c r="AC1676" t="inlineStr">
        <is>
          <t>Aline</t>
        </is>
      </c>
      <c r="AD1676" t="inlineStr">
        <is>
          <t>31/08/2026</t>
        </is>
      </c>
      <c r="AE1676" t="inlineStr">
        <is>
          <t>10/09/2026</t>
        </is>
      </c>
      <c r="AF1676" t="inlineStr">
        <is>
          <t>Prazo Premissa VALE</t>
        </is>
      </c>
    </row>
    <row r="1677">
      <c r="A1677">
        <v>1675</v>
      </c>
      <c r="B1677">
        <v>1</v>
      </c>
      <c r="C1677" t="inlineStr">
        <is>
          <t>1.4A</t>
        </is>
      </c>
      <c r="D1677" t="inlineStr">
        <is>
          <t>A03</t>
        </is>
      </c>
      <c r="E1677" t="inlineStr">
        <is>
          <t>LD</t>
        </is>
      </c>
      <c r="F1677" t="inlineStr">
        <is>
          <t>EMPA</t>
        </is>
      </c>
      <c r="G1677" t="inlineStr">
        <is>
          <t>CLP-020</t>
        </is>
      </c>
      <c r="H1677" t="inlineStr">
        <is>
          <t>Protocolo</t>
        </is>
      </c>
      <c r="I1677">
        <v>6</v>
      </c>
      <c r="J1677" t="inlineStr">
        <is>
          <t>Drenagem Superficial</t>
        </is>
      </c>
      <c r="K1677" t="inlineStr">
        <is>
          <t>6.1</t>
        </is>
      </c>
      <c r="L1677" t="inlineStr">
        <is>
          <t>VPC 01</t>
        </is>
      </c>
      <c r="M1677" t="inlineStr">
        <is>
          <t>Dispositivo não executado</t>
        </is>
      </c>
      <c r="N1677" t="inlineStr">
        <is>
          <t>VPC não executada.</t>
        </is>
      </c>
      <c r="O1677" t="inlineStr">
        <is>
          <t>Tipo A</t>
        </is>
      </c>
      <c r="P1677" t="inlineStr">
        <is>
          <t>33+392</t>
        </is>
      </c>
      <c r="Q1677" t="inlineStr">
        <is>
          <t>33+392</t>
        </is>
      </c>
      <c r="R1677" t="inlineStr">
        <is>
          <t>Aberta</t>
        </is>
      </c>
      <c r="T1677" t="inlineStr">
        <is>
          <t>Aline Batista</t>
        </is>
      </c>
      <c r="U1677" t="inlineStr">
        <is>
          <t>29/05/2026</t>
        </is>
      </c>
      <c r="V1677" t="inlineStr">
        <is>
          <t>05/06/2026</t>
        </is>
      </c>
      <c r="W1677">
        <v>5</v>
      </c>
      <c r="AA1677" t="inlineStr">
        <is>
          <t>Aberta -30 dias</t>
        </is>
      </c>
      <c r="AB1677" t="inlineStr">
        <is>
          <t>EMPA</t>
        </is>
      </c>
      <c r="AC1677" t="inlineStr">
        <is>
          <t>Aline</t>
        </is>
      </c>
      <c r="AD1677" t="inlineStr">
        <is>
          <t>31/08/2026</t>
        </is>
      </c>
      <c r="AE1677" t="inlineStr">
        <is>
          <t>10/09/2026</t>
        </is>
      </c>
      <c r="AF1677" t="inlineStr">
        <is>
          <t>Prazo Premissa VALE</t>
        </is>
      </c>
    </row>
    <row r="1678">
      <c r="A1678">
        <v>1676</v>
      </c>
      <c r="B1678">
        <v>1</v>
      </c>
      <c r="C1678" t="inlineStr">
        <is>
          <t>1.4A</t>
        </is>
      </c>
      <c r="D1678" t="inlineStr">
        <is>
          <t>A03</t>
        </is>
      </c>
      <c r="E1678" t="inlineStr">
        <is>
          <t>LD</t>
        </is>
      </c>
      <c r="F1678" t="inlineStr">
        <is>
          <t>EMPA</t>
        </is>
      </c>
      <c r="G1678" t="inlineStr">
        <is>
          <t>CLP-020</t>
        </is>
      </c>
      <c r="H1678" t="inlineStr">
        <is>
          <t>Protocolo</t>
        </is>
      </c>
      <c r="I1678">
        <v>6</v>
      </c>
      <c r="J1678" t="inlineStr">
        <is>
          <t>Drenagem Superficial</t>
        </is>
      </c>
      <c r="K1678" t="inlineStr">
        <is>
          <t>6.1</t>
        </is>
      </c>
      <c r="L1678" t="inlineStr">
        <is>
          <t>VPC 01</t>
        </is>
      </c>
      <c r="M1678" t="inlineStr">
        <is>
          <t>Dispositivo não executado</t>
        </is>
      </c>
      <c r="N1678" t="inlineStr">
        <is>
          <t>VPC não executada.</t>
        </is>
      </c>
      <c r="O1678" t="inlineStr">
        <is>
          <t>Tipo A</t>
        </is>
      </c>
      <c r="P1678" t="inlineStr">
        <is>
          <t>33+392</t>
        </is>
      </c>
      <c r="Q1678" t="inlineStr">
        <is>
          <t>33+392</t>
        </is>
      </c>
      <c r="R1678" t="inlineStr">
        <is>
          <t>Aberta</t>
        </is>
      </c>
      <c r="T1678" t="inlineStr">
        <is>
          <t>Aline Batista</t>
        </is>
      </c>
      <c r="U1678" t="inlineStr">
        <is>
          <t>29/05/2026</t>
        </is>
      </c>
      <c r="V1678" t="inlineStr">
        <is>
          <t>05/06/2026</t>
        </is>
      </c>
      <c r="W1678">
        <v>5</v>
      </c>
      <c r="AA1678" t="inlineStr">
        <is>
          <t>Aberta -30 dias</t>
        </is>
      </c>
      <c r="AB1678" t="inlineStr">
        <is>
          <t>EMPA</t>
        </is>
      </c>
      <c r="AC1678" t="inlineStr">
        <is>
          <t>Aline</t>
        </is>
      </c>
      <c r="AD1678" t="inlineStr">
        <is>
          <t>31/08/2026</t>
        </is>
      </c>
      <c r="AE1678" t="inlineStr">
        <is>
          <t>10/09/2026</t>
        </is>
      </c>
      <c r="AF1678" t="inlineStr">
        <is>
          <t>Prazo Premissa VALE</t>
        </is>
      </c>
    </row>
    <row r="1679">
      <c r="A1679">
        <v>1677</v>
      </c>
      <c r="B1679">
        <v>1</v>
      </c>
      <c r="C1679" t="inlineStr">
        <is>
          <t>1.4A</t>
        </is>
      </c>
      <c r="D1679" t="inlineStr">
        <is>
          <t>A03</t>
        </is>
      </c>
      <c r="E1679" t="inlineStr">
        <is>
          <t>LE</t>
        </is>
      </c>
      <c r="F1679" t="inlineStr">
        <is>
          <t>EMPA</t>
        </is>
      </c>
      <c r="G1679" t="inlineStr">
        <is>
          <t>CLP-020</t>
        </is>
      </c>
      <c r="H1679" t="inlineStr">
        <is>
          <t>Protocolo</t>
        </is>
      </c>
      <c r="I1679">
        <v>6</v>
      </c>
      <c r="J1679" t="inlineStr">
        <is>
          <t>Drenagem Superficial</t>
        </is>
      </c>
      <c r="K1679" t="inlineStr">
        <is>
          <t>6.1</t>
        </is>
      </c>
      <c r="L1679" t="inlineStr">
        <is>
          <t>VPC 01</t>
        </is>
      </c>
      <c r="M1679" t="inlineStr">
        <is>
          <t>Dispositivo não executado</t>
        </is>
      </c>
      <c r="N1679" t="inlineStr">
        <is>
          <t>VPC não executada.</t>
        </is>
      </c>
      <c r="O1679" t="inlineStr">
        <is>
          <t>Tipo A</t>
        </is>
      </c>
      <c r="P1679" t="inlineStr">
        <is>
          <t>33+392</t>
        </is>
      </c>
      <c r="Q1679" t="inlineStr">
        <is>
          <t>33+392</t>
        </is>
      </c>
      <c r="R1679" t="inlineStr">
        <is>
          <t>Aberta</t>
        </is>
      </c>
      <c r="T1679" t="inlineStr">
        <is>
          <t>Aline Batista</t>
        </is>
      </c>
      <c r="U1679" t="inlineStr">
        <is>
          <t>29/05/2026</t>
        </is>
      </c>
      <c r="V1679" t="inlineStr">
        <is>
          <t>05/06/2026</t>
        </is>
      </c>
      <c r="W1679">
        <v>5</v>
      </c>
      <c r="AA1679" t="inlineStr">
        <is>
          <t>Aberta -30 dias</t>
        </is>
      </c>
      <c r="AB1679" t="inlineStr">
        <is>
          <t>EMPA</t>
        </is>
      </c>
      <c r="AC1679" t="inlineStr">
        <is>
          <t>Aline</t>
        </is>
      </c>
      <c r="AD1679" t="inlineStr">
        <is>
          <t>31/08/2026</t>
        </is>
      </c>
      <c r="AE1679" t="inlineStr">
        <is>
          <t>10/09/2026</t>
        </is>
      </c>
      <c r="AF1679" t="inlineStr">
        <is>
          <t>Prazo Premissa VALE</t>
        </is>
      </c>
    </row>
    <row r="1680">
      <c r="A1680">
        <v>1678</v>
      </c>
      <c r="B1680">
        <v>1</v>
      </c>
      <c r="C1680" t="inlineStr">
        <is>
          <t>1.4A</t>
        </is>
      </c>
      <c r="D1680" t="inlineStr">
        <is>
          <t>A03</t>
        </is>
      </c>
      <c r="E1680" t="inlineStr">
        <is>
          <t>LE</t>
        </is>
      </c>
      <c r="F1680" t="inlineStr">
        <is>
          <t>EMPA</t>
        </is>
      </c>
      <c r="G1680" t="inlineStr">
        <is>
          <t>CLP-020</t>
        </is>
      </c>
      <c r="H1680" t="inlineStr">
        <is>
          <t>Protocolo</t>
        </is>
      </c>
      <c r="I1680">
        <v>6</v>
      </c>
      <c r="J1680" t="inlineStr">
        <is>
          <t>Drenagem Superficial</t>
        </is>
      </c>
      <c r="K1680" t="inlineStr">
        <is>
          <t>6.1</t>
        </is>
      </c>
      <c r="L1680" t="inlineStr">
        <is>
          <t>VPC 01</t>
        </is>
      </c>
      <c r="M1680" t="inlineStr">
        <is>
          <t>Dispositivo não executado</t>
        </is>
      </c>
      <c r="N1680" t="inlineStr">
        <is>
          <t>VPC não executada.</t>
        </is>
      </c>
      <c r="O1680" t="inlineStr">
        <is>
          <t>Tipo A</t>
        </is>
      </c>
      <c r="P1680" t="inlineStr">
        <is>
          <t>33+392</t>
        </is>
      </c>
      <c r="Q1680" t="inlineStr">
        <is>
          <t>33+392</t>
        </is>
      </c>
      <c r="R1680" t="inlineStr">
        <is>
          <t>Aberta</t>
        </is>
      </c>
      <c r="T1680" t="inlineStr">
        <is>
          <t>Aline Batista</t>
        </is>
      </c>
      <c r="U1680" t="inlineStr">
        <is>
          <t>29/05/2026</t>
        </is>
      </c>
      <c r="V1680" t="inlineStr">
        <is>
          <t>05/06/2026</t>
        </is>
      </c>
      <c r="W1680">
        <v>5</v>
      </c>
      <c r="AA1680" t="inlineStr">
        <is>
          <t>Aberta -30 dias</t>
        </is>
      </c>
      <c r="AB1680" t="inlineStr">
        <is>
          <t>EMPA</t>
        </is>
      </c>
      <c r="AC1680" t="inlineStr">
        <is>
          <t>Aline</t>
        </is>
      </c>
      <c r="AD1680" t="inlineStr">
        <is>
          <t>31/08/2026</t>
        </is>
      </c>
      <c r="AE1680" t="inlineStr">
        <is>
          <t>10/09/2026</t>
        </is>
      </c>
      <c r="AF1680" t="inlineStr">
        <is>
          <t>Prazo Premissa VALE</t>
        </is>
      </c>
    </row>
    <row r="1681">
      <c r="A1681">
        <v>1679</v>
      </c>
      <c r="B1681">
        <v>1</v>
      </c>
      <c r="C1681" t="inlineStr">
        <is>
          <t>1.4A</t>
        </is>
      </c>
      <c r="D1681" t="inlineStr">
        <is>
          <t>A03</t>
        </is>
      </c>
      <c r="E1681" t="inlineStr">
        <is>
          <t>LD</t>
        </is>
      </c>
      <c r="F1681" t="inlineStr">
        <is>
          <t>EMPA</t>
        </is>
      </c>
      <c r="G1681" t="inlineStr">
        <is>
          <t>CLP-020</t>
        </is>
      </c>
      <c r="H1681" t="inlineStr">
        <is>
          <t>Protocolo</t>
        </is>
      </c>
      <c r="I1681">
        <v>6</v>
      </c>
      <c r="J1681" t="inlineStr">
        <is>
          <t>Drenagem Superficial</t>
        </is>
      </c>
      <c r="K1681" t="inlineStr">
        <is>
          <t>6.5</t>
        </is>
      </c>
      <c r="L1681" t="inlineStr">
        <is>
          <t>DED 01</t>
        </is>
      </c>
      <c r="M1681" t="inlineStr">
        <is>
          <t>Dispositivo não executado</t>
        </is>
      </c>
      <c r="N1681" t="inlineStr">
        <is>
          <t>Dissipador não executado.</t>
        </is>
      </c>
      <c r="O1681" t="inlineStr">
        <is>
          <t>Tipo A</t>
        </is>
      </c>
      <c r="P1681" t="inlineStr">
        <is>
          <t>33+460</t>
        </is>
      </c>
      <c r="Q1681" t="inlineStr">
        <is>
          <t>33+460</t>
        </is>
      </c>
      <c r="R1681" t="inlineStr">
        <is>
          <t>Aberta</t>
        </is>
      </c>
      <c r="T1681" t="inlineStr">
        <is>
          <t>Aline Batista</t>
        </is>
      </c>
      <c r="U1681" t="inlineStr">
        <is>
          <t>29/05/2026</t>
        </is>
      </c>
      <c r="V1681" t="inlineStr">
        <is>
          <t>05/06/2026</t>
        </is>
      </c>
      <c r="W1681">
        <v>5</v>
      </c>
      <c r="AA1681" t="inlineStr">
        <is>
          <t>Aberta -30 dias</t>
        </is>
      </c>
      <c r="AB1681" t="inlineStr">
        <is>
          <t>EMPA</t>
        </is>
      </c>
      <c r="AC1681" t="inlineStr">
        <is>
          <t>Aline</t>
        </is>
      </c>
      <c r="AD1681" t="inlineStr">
        <is>
          <t>31/08/2026</t>
        </is>
      </c>
      <c r="AE1681" t="inlineStr">
        <is>
          <t>10/09/2026</t>
        </is>
      </c>
      <c r="AF1681" t="inlineStr">
        <is>
          <t>Prazo Premissa VALE</t>
        </is>
      </c>
    </row>
    <row r="1682">
      <c r="A1682">
        <v>1680</v>
      </c>
      <c r="B1682">
        <v>1</v>
      </c>
      <c r="C1682" t="inlineStr">
        <is>
          <t>1.4A</t>
        </is>
      </c>
      <c r="D1682" t="inlineStr">
        <is>
          <t>A03</t>
        </is>
      </c>
      <c r="E1682" t="inlineStr">
        <is>
          <t>LD</t>
        </is>
      </c>
      <c r="F1682" t="inlineStr">
        <is>
          <t>EMPA</t>
        </is>
      </c>
      <c r="G1682" t="inlineStr">
        <is>
          <t>CLP-020</t>
        </is>
      </c>
      <c r="H1682" t="inlineStr">
        <is>
          <t>Protocolo</t>
        </is>
      </c>
      <c r="I1682">
        <v>6</v>
      </c>
      <c r="J1682" t="inlineStr">
        <is>
          <t>Drenagem Superficial</t>
        </is>
      </c>
      <c r="K1682" t="inlineStr">
        <is>
          <t>6.5</t>
        </is>
      </c>
      <c r="L1682" t="inlineStr">
        <is>
          <t>DED 01</t>
        </is>
      </c>
      <c r="M1682" t="inlineStr">
        <is>
          <t>Dispositivo não executado</t>
        </is>
      </c>
      <c r="N1682" t="inlineStr">
        <is>
          <t>Dissipador não executado.</t>
        </is>
      </c>
      <c r="O1682" t="inlineStr">
        <is>
          <t>Tipo A</t>
        </is>
      </c>
      <c r="P1682" t="inlineStr">
        <is>
          <t>33+600</t>
        </is>
      </c>
      <c r="Q1682" t="inlineStr">
        <is>
          <t>33+600</t>
        </is>
      </c>
      <c r="R1682" t="inlineStr">
        <is>
          <t>Aberta</t>
        </is>
      </c>
      <c r="T1682" t="inlineStr">
        <is>
          <t>Aline Batista</t>
        </is>
      </c>
      <c r="U1682" t="inlineStr">
        <is>
          <t>29/05/2026</t>
        </is>
      </c>
      <c r="V1682" t="inlineStr">
        <is>
          <t>05/06/2026</t>
        </is>
      </c>
      <c r="W1682">
        <v>5</v>
      </c>
      <c r="AA1682" t="inlineStr">
        <is>
          <t>Aberta -30 dias</t>
        </is>
      </c>
      <c r="AB1682" t="inlineStr">
        <is>
          <t>EMPA</t>
        </is>
      </c>
      <c r="AC1682" t="inlineStr">
        <is>
          <t>Aline</t>
        </is>
      </c>
      <c r="AD1682" t="inlineStr">
        <is>
          <t>31/08/2026</t>
        </is>
      </c>
      <c r="AE1682" t="inlineStr">
        <is>
          <t>10/09/2026</t>
        </is>
      </c>
      <c r="AF1682" t="inlineStr">
        <is>
          <t>Prazo Premissa VALE</t>
        </is>
      </c>
    </row>
    <row r="1683">
      <c r="A1683">
        <v>1681</v>
      </c>
      <c r="B1683">
        <v>1</v>
      </c>
      <c r="C1683" t="inlineStr">
        <is>
          <t>1.4A</t>
        </is>
      </c>
      <c r="D1683" t="inlineStr">
        <is>
          <t>A03</t>
        </is>
      </c>
      <c r="E1683" t="inlineStr">
        <is>
          <t>LD</t>
        </is>
      </c>
      <c r="F1683" t="inlineStr">
        <is>
          <t>EMPA</t>
        </is>
      </c>
      <c r="G1683" t="inlineStr">
        <is>
          <t>CLP-020</t>
        </is>
      </c>
      <c r="H1683" t="inlineStr">
        <is>
          <t>Protocolo</t>
        </is>
      </c>
      <c r="I1683">
        <v>6</v>
      </c>
      <c r="J1683" t="inlineStr">
        <is>
          <t>Drenagem Superficial</t>
        </is>
      </c>
      <c r="K1683" t="inlineStr">
        <is>
          <t>6.5</t>
        </is>
      </c>
      <c r="L1683" t="inlineStr">
        <is>
          <t>DED 01</t>
        </is>
      </c>
      <c r="M1683" t="inlineStr">
        <is>
          <t>Dispositivo não executado</t>
        </is>
      </c>
      <c r="N1683" t="inlineStr">
        <is>
          <t>Dissipador não executado.</t>
        </is>
      </c>
      <c r="O1683" t="inlineStr">
        <is>
          <t>Tipo A</t>
        </is>
      </c>
      <c r="P1683" t="inlineStr">
        <is>
          <t>33+740</t>
        </is>
      </c>
      <c r="Q1683" t="inlineStr">
        <is>
          <t>33+740</t>
        </is>
      </c>
      <c r="R1683" t="inlineStr">
        <is>
          <t>Aberta</t>
        </is>
      </c>
      <c r="T1683" t="inlineStr">
        <is>
          <t>Aline Batista</t>
        </is>
      </c>
      <c r="U1683" t="inlineStr">
        <is>
          <t>29/05/2026</t>
        </is>
      </c>
      <c r="V1683" t="inlineStr">
        <is>
          <t>05/06/2026</t>
        </is>
      </c>
      <c r="W1683">
        <v>5</v>
      </c>
      <c r="AA1683" t="inlineStr">
        <is>
          <t>Aberta -30 dias</t>
        </is>
      </c>
      <c r="AB1683" t="inlineStr">
        <is>
          <t>EMPA</t>
        </is>
      </c>
      <c r="AC1683" t="inlineStr">
        <is>
          <t>Aline</t>
        </is>
      </c>
      <c r="AD1683" t="inlineStr">
        <is>
          <t>31/08/2026</t>
        </is>
      </c>
      <c r="AE1683" t="inlineStr">
        <is>
          <t>10/09/2026</t>
        </is>
      </c>
      <c r="AF1683" t="inlineStr">
        <is>
          <t>Prazo Premissa VALE</t>
        </is>
      </c>
    </row>
    <row r="1684">
      <c r="A1684">
        <v>1682</v>
      </c>
      <c r="B1684">
        <v>1</v>
      </c>
      <c r="C1684" t="inlineStr">
        <is>
          <t>1.4A</t>
        </is>
      </c>
      <c r="D1684" t="inlineStr">
        <is>
          <t>A03</t>
        </is>
      </c>
      <c r="E1684" t="inlineStr">
        <is>
          <t>LE</t>
        </is>
      </c>
      <c r="F1684" t="inlineStr">
        <is>
          <t>EMPA</t>
        </is>
      </c>
      <c r="G1684" t="inlineStr">
        <is>
          <t>CLP-020</t>
        </is>
      </c>
      <c r="H1684" t="inlineStr">
        <is>
          <t>Protocolo</t>
        </is>
      </c>
      <c r="I1684">
        <v>6</v>
      </c>
      <c r="J1684" t="inlineStr">
        <is>
          <t>Drenagem Superficial</t>
        </is>
      </c>
      <c r="K1684" t="inlineStr">
        <is>
          <t>6.1</t>
        </is>
      </c>
      <c r="L1684" t="inlineStr">
        <is>
          <t>VPC 06</t>
        </is>
      </c>
      <c r="M1684" t="inlineStr">
        <is>
          <t>Dispositivo não executado</t>
        </is>
      </c>
      <c r="N1684" t="inlineStr">
        <is>
          <t>VPC não executada.</t>
        </is>
      </c>
      <c r="O1684" t="inlineStr">
        <is>
          <t>Tipo A</t>
        </is>
      </c>
      <c r="P1684" t="inlineStr">
        <is>
          <t>33+839</t>
        </is>
      </c>
      <c r="Q1684" t="inlineStr">
        <is>
          <t>33+452</t>
        </is>
      </c>
      <c r="R1684" t="inlineStr">
        <is>
          <t>Aberta</t>
        </is>
      </c>
      <c r="T1684" t="inlineStr">
        <is>
          <t>Aline Batista</t>
        </is>
      </c>
      <c r="U1684" t="inlineStr">
        <is>
          <t>29/05/2026</t>
        </is>
      </c>
      <c r="V1684" t="inlineStr">
        <is>
          <t>05/06/2026</t>
        </is>
      </c>
      <c r="W1684">
        <v>5</v>
      </c>
      <c r="AA1684" t="inlineStr">
        <is>
          <t>Aberta -30 dias</t>
        </is>
      </c>
      <c r="AB1684" t="inlineStr">
        <is>
          <t>EMPA</t>
        </is>
      </c>
      <c r="AC1684" t="inlineStr">
        <is>
          <t>Aline</t>
        </is>
      </c>
      <c r="AD1684" t="inlineStr">
        <is>
          <t>31/08/2026</t>
        </is>
      </c>
      <c r="AE1684" t="inlineStr">
        <is>
          <t>10/09/2026</t>
        </is>
      </c>
      <c r="AF1684" t="inlineStr">
        <is>
          <t>Prazo Premissa VALE</t>
        </is>
      </c>
    </row>
    <row r="1685">
      <c r="A1685">
        <v>1683</v>
      </c>
      <c r="B1685">
        <v>1</v>
      </c>
      <c r="C1685" t="inlineStr">
        <is>
          <t>1.4A</t>
        </is>
      </c>
      <c r="D1685" t="inlineStr">
        <is>
          <t>A03</t>
        </is>
      </c>
      <c r="E1685" t="inlineStr">
        <is>
          <t>LE</t>
        </is>
      </c>
      <c r="F1685" t="inlineStr">
        <is>
          <t>EMPA</t>
        </is>
      </c>
      <c r="G1685" t="inlineStr">
        <is>
          <t>CLP-020</t>
        </is>
      </c>
      <c r="H1685" t="inlineStr">
        <is>
          <t>Protocolo</t>
        </is>
      </c>
      <c r="I1685">
        <v>6</v>
      </c>
      <c r="J1685" t="inlineStr">
        <is>
          <t>Drenagem Superficial</t>
        </is>
      </c>
      <c r="K1685" t="inlineStr">
        <is>
          <t>6.1</t>
        </is>
      </c>
      <c r="L1685" t="inlineStr">
        <is>
          <t>VPC 01</t>
        </is>
      </c>
      <c r="M1685" t="inlineStr">
        <is>
          <t>Dispositivo não executado</t>
        </is>
      </c>
      <c r="N1685" t="inlineStr">
        <is>
          <t>VPC não executada.</t>
        </is>
      </c>
      <c r="O1685" t="inlineStr">
        <is>
          <t>Tipo A</t>
        </is>
      </c>
      <c r="P1685" t="inlineStr">
        <is>
          <t>33+839</t>
        </is>
      </c>
      <c r="Q1685" t="inlineStr">
        <is>
          <t>33+866</t>
        </is>
      </c>
      <c r="R1685" t="inlineStr">
        <is>
          <t>Aberta</t>
        </is>
      </c>
      <c r="T1685" t="inlineStr">
        <is>
          <t>Aline Batista</t>
        </is>
      </c>
      <c r="U1685" t="inlineStr">
        <is>
          <t>29/05/2026</t>
        </is>
      </c>
      <c r="V1685" t="inlineStr">
        <is>
          <t>05/06/2026</t>
        </is>
      </c>
      <c r="W1685">
        <v>5</v>
      </c>
      <c r="AA1685" t="inlineStr">
        <is>
          <t>Aberta -30 dias</t>
        </is>
      </c>
      <c r="AB1685" t="inlineStr">
        <is>
          <t>EMPA</t>
        </is>
      </c>
      <c r="AC1685" t="inlineStr">
        <is>
          <t>Aline</t>
        </is>
      </c>
      <c r="AD1685" t="inlineStr">
        <is>
          <t>31/08/2026</t>
        </is>
      </c>
      <c r="AE1685" t="inlineStr">
        <is>
          <t>10/09/2026</t>
        </is>
      </c>
      <c r="AF1685" t="inlineStr">
        <is>
          <t>Prazo Premissa VALE</t>
        </is>
      </c>
    </row>
    <row r="1686">
      <c r="A1686">
        <v>1684</v>
      </c>
      <c r="B1686">
        <v>1</v>
      </c>
      <c r="C1686" t="inlineStr">
        <is>
          <t>1.4A</t>
        </is>
      </c>
      <c r="D1686" t="inlineStr">
        <is>
          <t>A03</t>
        </is>
      </c>
      <c r="E1686" t="inlineStr">
        <is>
          <t>LD</t>
        </is>
      </c>
      <c r="F1686" t="inlineStr">
        <is>
          <t>EMPA</t>
        </is>
      </c>
      <c r="G1686" t="inlineStr">
        <is>
          <t>CLP-020</t>
        </is>
      </c>
      <c r="H1686" t="inlineStr">
        <is>
          <t>Protocolo</t>
        </is>
      </c>
      <c r="I1686">
        <v>6</v>
      </c>
      <c r="J1686" t="inlineStr">
        <is>
          <t>Drenagem Superficial</t>
        </is>
      </c>
      <c r="K1686" t="inlineStr">
        <is>
          <t>6.1</t>
        </is>
      </c>
      <c r="L1686" t="inlineStr">
        <is>
          <t>VPC 04</t>
        </is>
      </c>
      <c r="M1686" t="inlineStr">
        <is>
          <t>Dispositivo não executado</t>
        </is>
      </c>
      <c r="N1686" t="inlineStr">
        <is>
          <t>VPC não executada.</t>
        </is>
      </c>
      <c r="O1686" t="inlineStr">
        <is>
          <t>Tipo A</t>
        </is>
      </c>
      <c r="P1686" t="inlineStr">
        <is>
          <t>34+065</t>
        </is>
      </c>
      <c r="Q1686" t="inlineStr">
        <is>
          <t>33+850</t>
        </is>
      </c>
      <c r="R1686" t="inlineStr">
        <is>
          <t>Aberta</t>
        </is>
      </c>
      <c r="T1686" t="inlineStr">
        <is>
          <t>Aline Batista</t>
        </is>
      </c>
      <c r="U1686" t="inlineStr">
        <is>
          <t>29/05/2026</t>
        </is>
      </c>
      <c r="V1686" t="inlineStr">
        <is>
          <t>05/06/2026</t>
        </is>
      </c>
      <c r="W1686">
        <v>5</v>
      </c>
      <c r="AA1686" t="inlineStr">
        <is>
          <t>Aberta -30 dias</t>
        </is>
      </c>
      <c r="AB1686" t="inlineStr">
        <is>
          <t>EMPA</t>
        </is>
      </c>
      <c r="AC1686" t="inlineStr">
        <is>
          <t>Aline</t>
        </is>
      </c>
      <c r="AD1686" t="inlineStr">
        <is>
          <t>31/08/2026</t>
        </is>
      </c>
      <c r="AE1686" t="inlineStr">
        <is>
          <t>10/09/2026</t>
        </is>
      </c>
      <c r="AF1686" t="inlineStr">
        <is>
          <t>Prazo Premissa VALE</t>
        </is>
      </c>
    </row>
    <row r="1687">
      <c r="A1687">
        <v>1685</v>
      </c>
      <c r="B1687">
        <v>1</v>
      </c>
      <c r="C1687" t="inlineStr">
        <is>
          <t>1.4A</t>
        </is>
      </c>
      <c r="D1687" t="inlineStr">
        <is>
          <t>A03</t>
        </is>
      </c>
      <c r="E1687" t="inlineStr">
        <is>
          <t>LE</t>
        </is>
      </c>
      <c r="F1687" t="inlineStr">
        <is>
          <t>EMPA</t>
        </is>
      </c>
      <c r="G1687" t="inlineStr">
        <is>
          <t>CLP-020</t>
        </is>
      </c>
      <c r="H1687" t="inlineStr">
        <is>
          <t>Protocolo</t>
        </is>
      </c>
      <c r="I1687">
        <v>6</v>
      </c>
      <c r="J1687" t="inlineStr">
        <is>
          <t>Drenagem Superficial</t>
        </is>
      </c>
      <c r="K1687" t="inlineStr">
        <is>
          <t>6.2</t>
        </is>
      </c>
      <c r="L1687" t="inlineStr">
        <is>
          <t>STC 01</t>
        </is>
      </c>
      <c r="M1687" t="inlineStr">
        <is>
          <t>Dispositivo não executado</t>
        </is>
      </c>
      <c r="N1687" t="inlineStr">
        <is>
          <t>Sarjeta não executada.</t>
        </is>
      </c>
      <c r="O1687" t="inlineStr">
        <is>
          <t>Tipo A</t>
        </is>
      </c>
      <c r="P1687" t="inlineStr">
        <is>
          <t>101+150</t>
        </is>
      </c>
      <c r="Q1687" t="inlineStr">
        <is>
          <t>101+080</t>
        </is>
      </c>
      <c r="R1687" t="inlineStr">
        <is>
          <t>Aberta</t>
        </is>
      </c>
      <c r="T1687" t="inlineStr">
        <is>
          <t>Aline Batista</t>
        </is>
      </c>
      <c r="U1687" t="inlineStr">
        <is>
          <t>29/05/2026</t>
        </is>
      </c>
      <c r="V1687" t="inlineStr">
        <is>
          <t>05/06/2026</t>
        </is>
      </c>
      <c r="W1687">
        <v>5</v>
      </c>
      <c r="AA1687" t="inlineStr">
        <is>
          <t>Aberta -30 dias</t>
        </is>
      </c>
      <c r="AB1687" t="inlineStr">
        <is>
          <t>EMPA</t>
        </is>
      </c>
      <c r="AC1687" t="inlineStr">
        <is>
          <t>Aline</t>
        </is>
      </c>
      <c r="AD1687" t="inlineStr">
        <is>
          <t>31/08/2026</t>
        </is>
      </c>
      <c r="AE1687" t="inlineStr">
        <is>
          <t>10/09/2026</t>
        </is>
      </c>
      <c r="AF1687" t="inlineStr">
        <is>
          <t>Prazo Premissa VALE</t>
        </is>
      </c>
    </row>
    <row r="1688">
      <c r="A1688">
        <v>1686</v>
      </c>
      <c r="B1688">
        <v>1</v>
      </c>
      <c r="C1688" t="inlineStr">
        <is>
          <t>1.4A</t>
        </is>
      </c>
      <c r="D1688" t="inlineStr">
        <is>
          <t>A03</t>
        </is>
      </c>
      <c r="E1688" t="inlineStr">
        <is>
          <t>LE</t>
        </is>
      </c>
      <c r="F1688" t="inlineStr">
        <is>
          <t>EMPA</t>
        </is>
      </c>
      <c r="G1688" t="inlineStr">
        <is>
          <t>CLP-020</t>
        </is>
      </c>
      <c r="H1688" t="inlineStr">
        <is>
          <t>Protocolo</t>
        </is>
      </c>
      <c r="I1688">
        <v>6</v>
      </c>
      <c r="J1688" t="inlineStr">
        <is>
          <t>Drenagem Superficial</t>
        </is>
      </c>
      <c r="K1688" t="inlineStr">
        <is>
          <t>6.2</t>
        </is>
      </c>
      <c r="L1688" t="inlineStr">
        <is>
          <t>STC 02</t>
        </is>
      </c>
      <c r="M1688" t="inlineStr">
        <is>
          <t>Dispositivo não executado</t>
        </is>
      </c>
      <c r="N1688" t="inlineStr">
        <is>
          <t>Sarjeta não executada.</t>
        </is>
      </c>
      <c r="O1688" t="inlineStr">
        <is>
          <t>Tipo A</t>
        </is>
      </c>
      <c r="P1688" t="inlineStr">
        <is>
          <t>101+080</t>
        </is>
      </c>
      <c r="Q1688" t="inlineStr">
        <is>
          <t>100+980</t>
        </is>
      </c>
      <c r="R1688" t="inlineStr">
        <is>
          <t>Aberta</t>
        </is>
      </c>
      <c r="T1688" t="inlineStr">
        <is>
          <t>Aline Batista</t>
        </is>
      </c>
      <c r="U1688" t="inlineStr">
        <is>
          <t>29/05/2026</t>
        </is>
      </c>
      <c r="V1688" t="inlineStr">
        <is>
          <t>05/06/2026</t>
        </is>
      </c>
      <c r="W1688">
        <v>5</v>
      </c>
      <c r="AA1688" t="inlineStr">
        <is>
          <t>Aberta -30 dias</t>
        </is>
      </c>
      <c r="AB1688" t="inlineStr">
        <is>
          <t>EMPA</t>
        </is>
      </c>
      <c r="AC1688" t="inlineStr">
        <is>
          <t>Aline</t>
        </is>
      </c>
      <c r="AD1688" t="inlineStr">
        <is>
          <t>31/08/2026</t>
        </is>
      </c>
      <c r="AE1688" t="inlineStr">
        <is>
          <t>10/09/2026</t>
        </is>
      </c>
      <c r="AF1688" t="inlineStr">
        <is>
          <t>Prazo Premissa VALE</t>
        </is>
      </c>
    </row>
    <row r="1689">
      <c r="A1689">
        <v>1687</v>
      </c>
      <c r="B1689">
        <v>1</v>
      </c>
      <c r="C1689" t="inlineStr">
        <is>
          <t>1.4A</t>
        </is>
      </c>
      <c r="D1689" t="inlineStr">
        <is>
          <t>A03</t>
        </is>
      </c>
      <c r="E1689" t="inlineStr">
        <is>
          <t>LE</t>
        </is>
      </c>
      <c r="F1689" t="inlineStr">
        <is>
          <t>EMPA</t>
        </is>
      </c>
      <c r="G1689" t="inlineStr">
        <is>
          <t>CLP-020</t>
        </is>
      </c>
      <c r="H1689" t="inlineStr">
        <is>
          <t>Protocolo</t>
        </is>
      </c>
      <c r="I1689">
        <v>6</v>
      </c>
      <c r="J1689" t="inlineStr">
        <is>
          <t>Drenagem Superficial</t>
        </is>
      </c>
      <c r="K1689" t="inlineStr">
        <is>
          <t>6.5</t>
        </is>
      </c>
      <c r="L1689" t="inlineStr">
        <is>
          <t>DVS 01</t>
        </is>
      </c>
      <c r="M1689" t="inlineStr">
        <is>
          <t>Dispositivo não executado</t>
        </is>
      </c>
      <c r="N1689" t="inlineStr">
        <is>
          <t>Dissipador não executado.</t>
        </is>
      </c>
      <c r="O1689" t="inlineStr">
        <is>
          <t>Tipo A</t>
        </is>
      </c>
      <c r="P1689" t="inlineStr">
        <is>
          <t>100+980</t>
        </is>
      </c>
      <c r="Q1689" t="inlineStr">
        <is>
          <t>100+980</t>
        </is>
      </c>
      <c r="R1689" t="inlineStr">
        <is>
          <t>Aberta</t>
        </is>
      </c>
      <c r="T1689" t="inlineStr">
        <is>
          <t>Aline Batista</t>
        </is>
      </c>
      <c r="U1689" t="inlineStr">
        <is>
          <t>29/05/2026</t>
        </is>
      </c>
      <c r="V1689" t="inlineStr">
        <is>
          <t>05/06/2026</t>
        </is>
      </c>
      <c r="W1689">
        <v>5</v>
      </c>
      <c r="AA1689" t="inlineStr">
        <is>
          <t>Aberta -30 dias</t>
        </is>
      </c>
      <c r="AB1689" t="inlineStr">
        <is>
          <t>EMPA</t>
        </is>
      </c>
      <c r="AC1689" t="inlineStr">
        <is>
          <t>Aline</t>
        </is>
      </c>
      <c r="AD1689" t="inlineStr">
        <is>
          <t>31/08/2026</t>
        </is>
      </c>
      <c r="AE1689" t="inlineStr">
        <is>
          <t>10/09/2026</t>
        </is>
      </c>
      <c r="AF1689" t="inlineStr">
        <is>
          <t>Prazo Premissa VALE</t>
        </is>
      </c>
    </row>
    <row r="1690">
      <c r="A1690">
        <v>1688</v>
      </c>
      <c r="B1690">
        <v>1</v>
      </c>
      <c r="C1690" t="inlineStr">
        <is>
          <t>1.4A</t>
        </is>
      </c>
      <c r="D1690" t="inlineStr">
        <is>
          <t>A03</t>
        </is>
      </c>
      <c r="E1690" t="inlineStr">
        <is>
          <t>LE</t>
        </is>
      </c>
      <c r="F1690" t="inlineStr">
        <is>
          <t>EMPA</t>
        </is>
      </c>
      <c r="G1690" t="inlineStr">
        <is>
          <t>CLP-020</t>
        </is>
      </c>
      <c r="H1690" t="inlineStr">
        <is>
          <t>Protocolo</t>
        </is>
      </c>
      <c r="I1690">
        <v>6</v>
      </c>
      <c r="J1690" t="inlineStr">
        <is>
          <t>Drenagem Superficial</t>
        </is>
      </c>
      <c r="K1690" t="inlineStr">
        <is>
          <t>6.2</t>
        </is>
      </c>
      <c r="L1690" t="inlineStr">
        <is>
          <t>STC 01</t>
        </is>
      </c>
      <c r="M1690" t="inlineStr">
        <is>
          <t>Dispositivo não executado</t>
        </is>
      </c>
      <c r="N1690" t="inlineStr">
        <is>
          <t>Sarjeta não executada.</t>
        </is>
      </c>
      <c r="O1690" t="inlineStr">
        <is>
          <t>Tipo A</t>
        </is>
      </c>
      <c r="P1690" t="inlineStr">
        <is>
          <t>100+887</t>
        </is>
      </c>
      <c r="Q1690" t="inlineStr">
        <is>
          <t>100+740</t>
        </is>
      </c>
      <c r="R1690" t="inlineStr">
        <is>
          <t>Aberta</t>
        </is>
      </c>
      <c r="T1690" t="inlineStr">
        <is>
          <t>Aline Batista</t>
        </is>
      </c>
      <c r="U1690" t="inlineStr">
        <is>
          <t>29/05/2026</t>
        </is>
      </c>
      <c r="V1690" t="inlineStr">
        <is>
          <t>05/06/2026</t>
        </is>
      </c>
      <c r="W1690">
        <v>5</v>
      </c>
      <c r="AA1690" t="inlineStr">
        <is>
          <t>Aberta -30 dias</t>
        </is>
      </c>
      <c r="AB1690" t="inlineStr">
        <is>
          <t>EMPA</t>
        </is>
      </c>
      <c r="AC1690" t="inlineStr">
        <is>
          <t>Aline</t>
        </is>
      </c>
      <c r="AD1690" t="inlineStr">
        <is>
          <t>31/08/2026</t>
        </is>
      </c>
      <c r="AE1690" t="inlineStr">
        <is>
          <t>10/09/2026</t>
        </is>
      </c>
      <c r="AF1690" t="inlineStr">
        <is>
          <t>Prazo Premissa VALE</t>
        </is>
      </c>
    </row>
    <row r="1691">
      <c r="A1691">
        <v>1689</v>
      </c>
      <c r="B1691">
        <v>1</v>
      </c>
      <c r="C1691" t="inlineStr">
        <is>
          <t>1.4A</t>
        </is>
      </c>
      <c r="D1691" t="inlineStr">
        <is>
          <t>A03</t>
        </is>
      </c>
      <c r="E1691" t="inlineStr">
        <is>
          <t>LE</t>
        </is>
      </c>
      <c r="F1691" t="inlineStr">
        <is>
          <t>EMPA</t>
        </is>
      </c>
      <c r="G1691" t="inlineStr">
        <is>
          <t>CLP-020</t>
        </is>
      </c>
      <c r="H1691" t="inlineStr">
        <is>
          <t>Protocolo</t>
        </is>
      </c>
      <c r="I1691">
        <v>6</v>
      </c>
      <c r="J1691" t="inlineStr">
        <is>
          <t>Drenagem Superficial</t>
        </is>
      </c>
      <c r="K1691" t="inlineStr">
        <is>
          <t>6.5</t>
        </is>
      </c>
      <c r="L1691" t="inlineStr">
        <is>
          <t>DVS 01</t>
        </is>
      </c>
      <c r="M1691" t="inlineStr">
        <is>
          <t>Dispositivo não executado</t>
        </is>
      </c>
      <c r="N1691" t="inlineStr">
        <is>
          <t>Dissipador não executado.</t>
        </is>
      </c>
      <c r="O1691" t="inlineStr">
        <is>
          <t>Tipo A</t>
        </is>
      </c>
      <c r="P1691" t="inlineStr">
        <is>
          <t>100+740</t>
        </is>
      </c>
      <c r="Q1691" t="inlineStr">
        <is>
          <t>100+740</t>
        </is>
      </c>
      <c r="R1691" t="inlineStr">
        <is>
          <t>Aberta</t>
        </is>
      </c>
      <c r="T1691" t="inlineStr">
        <is>
          <t>Aline Batista</t>
        </is>
      </c>
      <c r="U1691" t="inlineStr">
        <is>
          <t>29/05/2026</t>
        </is>
      </c>
      <c r="V1691" t="inlineStr">
        <is>
          <t>05/06/2026</t>
        </is>
      </c>
      <c r="W1691">
        <v>5</v>
      </c>
      <c r="AA1691" t="inlineStr">
        <is>
          <t>Aberta -30 dias</t>
        </is>
      </c>
      <c r="AB1691" t="inlineStr">
        <is>
          <t>EMPA</t>
        </is>
      </c>
      <c r="AC1691" t="inlineStr">
        <is>
          <t>Aline</t>
        </is>
      </c>
      <c r="AD1691" t="inlineStr">
        <is>
          <t>31/08/2026</t>
        </is>
      </c>
      <c r="AE1691" t="inlineStr">
        <is>
          <t>10/09/2026</t>
        </is>
      </c>
      <c r="AF1691" t="inlineStr">
        <is>
          <t>Prazo Premissa VALE</t>
        </is>
      </c>
    </row>
    <row r="1692">
      <c r="A1692">
        <v>1690</v>
      </c>
      <c r="B1692">
        <v>1</v>
      </c>
      <c r="C1692" t="inlineStr">
        <is>
          <t>1.4A</t>
        </is>
      </c>
      <c r="D1692" t="inlineStr">
        <is>
          <t>C05</t>
        </is>
      </c>
      <c r="E1692" t="inlineStr">
        <is>
          <t>LD</t>
        </is>
      </c>
      <c r="F1692" t="inlineStr">
        <is>
          <t>EMPA</t>
        </is>
      </c>
      <c r="G1692" t="inlineStr">
        <is>
          <t>CLP-020</t>
        </is>
      </c>
      <c r="H1692" t="inlineStr">
        <is>
          <t>Protocolo</t>
        </is>
      </c>
      <c r="I1692">
        <v>6</v>
      </c>
      <c r="J1692" t="inlineStr">
        <is>
          <t>Drenagem Superficial</t>
        </is>
      </c>
      <c r="K1692" t="inlineStr">
        <is>
          <t>6.1</t>
        </is>
      </c>
      <c r="L1692" t="inlineStr">
        <is>
          <t>CZB 01</t>
        </is>
      </c>
      <c r="M1692" t="inlineStr">
        <is>
          <t>Dispositivo não executado</t>
        </is>
      </c>
      <c r="N1692" t="inlineStr">
        <is>
          <t>Não executado.</t>
        </is>
      </c>
      <c r="O1692" t="inlineStr">
        <is>
          <t>Tipo A</t>
        </is>
      </c>
      <c r="P1692" t="inlineStr">
        <is>
          <t>35+065</t>
        </is>
      </c>
      <c r="Q1692">
        <v>34695</v>
      </c>
      <c r="R1692" t="inlineStr">
        <is>
          <t>Aberta</t>
        </is>
      </c>
      <c r="T1692" t="inlineStr">
        <is>
          <t>Aline Batista</t>
        </is>
      </c>
      <c r="U1692" t="inlineStr">
        <is>
          <t>29/05/2026</t>
        </is>
      </c>
      <c r="V1692" t="inlineStr">
        <is>
          <t>05/06/2026</t>
        </is>
      </c>
      <c r="W1692">
        <v>5</v>
      </c>
      <c r="AA1692" t="inlineStr">
        <is>
          <t>Aberta -30 dias</t>
        </is>
      </c>
      <c r="AB1692" t="inlineStr">
        <is>
          <t>EMPA</t>
        </is>
      </c>
      <c r="AC1692" t="inlineStr">
        <is>
          <t>Aline</t>
        </is>
      </c>
      <c r="AD1692" t="inlineStr">
        <is>
          <t>31/08/2026</t>
        </is>
      </c>
      <c r="AE1692" t="inlineStr">
        <is>
          <t>10/09/2026</t>
        </is>
      </c>
      <c r="AF1692" t="inlineStr">
        <is>
          <t>Prazo Premissa VALE</t>
        </is>
      </c>
    </row>
    <row r="1693">
      <c r="A1693">
        <v>1691</v>
      </c>
      <c r="B1693">
        <v>1</v>
      </c>
      <c r="C1693" t="inlineStr">
        <is>
          <t>1.4A</t>
        </is>
      </c>
      <c r="D1693" t="inlineStr">
        <is>
          <t>C05</t>
        </is>
      </c>
      <c r="E1693" t="inlineStr">
        <is>
          <t>LD</t>
        </is>
      </c>
      <c r="F1693" t="inlineStr">
        <is>
          <t>EMPA</t>
        </is>
      </c>
      <c r="G1693" t="inlineStr">
        <is>
          <t>CLP-020</t>
        </is>
      </c>
      <c r="H1693" t="inlineStr">
        <is>
          <t>Protocolo</t>
        </is>
      </c>
      <c r="I1693">
        <v>6</v>
      </c>
      <c r="J1693" t="inlineStr">
        <is>
          <t>Drenagem Superficial</t>
        </is>
      </c>
      <c r="K1693" t="inlineStr">
        <is>
          <t>6.1</t>
        </is>
      </c>
      <c r="L1693" t="inlineStr">
        <is>
          <t>CZB 01</t>
        </is>
      </c>
      <c r="M1693" t="inlineStr">
        <is>
          <t>Dispositivo não executado</t>
        </is>
      </c>
      <c r="N1693" t="inlineStr">
        <is>
          <t>Não executado.</t>
        </is>
      </c>
      <c r="O1693" t="inlineStr">
        <is>
          <t>Tipo A</t>
        </is>
      </c>
      <c r="P1693" t="inlineStr">
        <is>
          <t>34+795</t>
        </is>
      </c>
      <c r="Q1693">
        <v>34944</v>
      </c>
      <c r="R1693" t="inlineStr">
        <is>
          <t>Aberta</t>
        </is>
      </c>
      <c r="T1693" t="inlineStr">
        <is>
          <t>Aline Batista</t>
        </is>
      </c>
      <c r="U1693" t="inlineStr">
        <is>
          <t>29/05/2026</t>
        </is>
      </c>
      <c r="V1693" t="inlineStr">
        <is>
          <t>05/06/2026</t>
        </is>
      </c>
      <c r="W1693">
        <v>5</v>
      </c>
      <c r="AA1693" t="inlineStr">
        <is>
          <t>Aberta -30 dias</t>
        </is>
      </c>
      <c r="AB1693" t="inlineStr">
        <is>
          <t>EMPA</t>
        </is>
      </c>
      <c r="AC1693" t="inlineStr">
        <is>
          <t>Aline</t>
        </is>
      </c>
      <c r="AD1693" t="inlineStr">
        <is>
          <t>31/08/2026</t>
        </is>
      </c>
      <c r="AE1693" t="inlineStr">
        <is>
          <t>10/09/2026</t>
        </is>
      </c>
      <c r="AF1693" t="inlineStr">
        <is>
          <t>Prazo Premissa VALE</t>
        </is>
      </c>
    </row>
    <row r="1694">
      <c r="A1694">
        <v>1692</v>
      </c>
      <c r="B1694">
        <v>1</v>
      </c>
      <c r="C1694" t="inlineStr">
        <is>
          <t>1.4A</t>
        </is>
      </c>
      <c r="D1694" t="inlineStr">
        <is>
          <t>C05</t>
        </is>
      </c>
      <c r="E1694" t="inlineStr">
        <is>
          <t>LE</t>
        </is>
      </c>
      <c r="F1694" t="inlineStr">
        <is>
          <t>VALE</t>
        </is>
      </c>
      <c r="G1694" t="inlineStr">
        <is>
          <t>CLP-015</t>
        </is>
      </c>
      <c r="H1694" t="inlineStr">
        <is>
          <t>Protocolo</t>
        </is>
      </c>
      <c r="I1694">
        <v>6</v>
      </c>
      <c r="J1694" t="inlineStr">
        <is>
          <t>Drenagem Superficial</t>
        </is>
      </c>
      <c r="K1694" t="inlineStr">
        <is>
          <t>6.1</t>
        </is>
      </c>
      <c r="L1694" t="inlineStr">
        <is>
          <t>Drenagem superficial</t>
        </is>
      </c>
      <c r="M1694" t="inlineStr">
        <is>
          <t>Dispositivo não executado</t>
        </is>
      </c>
      <c r="N1694" t="inlineStr">
        <is>
          <t>Não executado.</t>
        </is>
      </c>
      <c r="O1694" t="inlineStr">
        <is>
          <t>Tipo A</t>
        </is>
      </c>
      <c r="P1694" t="inlineStr">
        <is>
          <t>35+068</t>
        </is>
      </c>
      <c r="Q1694">
        <v>34955</v>
      </c>
      <c r="R1694" t="inlineStr">
        <is>
          <t>Aberta</t>
        </is>
      </c>
      <c r="T1694" t="inlineStr">
        <is>
          <t>Aline Batista</t>
        </is>
      </c>
      <c r="U1694" t="inlineStr">
        <is>
          <t>25/05/2026</t>
        </is>
      </c>
      <c r="V1694" t="inlineStr">
        <is>
          <t>01/06/2026</t>
        </is>
      </c>
      <c r="W1694">
        <v>9</v>
      </c>
      <c r="AA1694" t="inlineStr">
        <is>
          <t>Aberta -30 dias</t>
        </is>
      </c>
      <c r="AB1694" t="inlineStr">
        <is>
          <t>CT-REMANESCENTE</t>
        </is>
      </c>
      <c r="AC1694" t="inlineStr">
        <is>
          <t>Aline</t>
        </is>
      </c>
      <c r="AD1694" t="inlineStr">
        <is>
          <t>17/07/2026</t>
        </is>
      </c>
      <c r="AE1694" t="inlineStr">
        <is>
          <t>29/07/2026</t>
        </is>
      </c>
      <c r="AF1694" t="inlineStr">
        <is>
          <t>Prazo Premissa VALE</t>
        </is>
      </c>
    </row>
    <row r="1695">
      <c r="A1695">
        <v>1693</v>
      </c>
      <c r="B1695">
        <v>1</v>
      </c>
      <c r="C1695" t="inlineStr">
        <is>
          <t>1.4A</t>
        </is>
      </c>
      <c r="D1695" t="inlineStr">
        <is>
          <t>C05</t>
        </is>
      </c>
      <c r="E1695" t="inlineStr">
        <is>
          <t>LE</t>
        </is>
      </c>
      <c r="F1695" t="inlineStr">
        <is>
          <t>VALE</t>
        </is>
      </c>
      <c r="G1695" t="inlineStr">
        <is>
          <t>CLP-015</t>
        </is>
      </c>
      <c r="H1695" t="inlineStr">
        <is>
          <t>Protocolo</t>
        </is>
      </c>
      <c r="I1695">
        <v>6</v>
      </c>
      <c r="J1695" t="inlineStr">
        <is>
          <t>Drenagem Superficial</t>
        </is>
      </c>
      <c r="K1695" t="inlineStr">
        <is>
          <t>6.1</t>
        </is>
      </c>
      <c r="L1695" t="inlineStr">
        <is>
          <t>Drenagem superficial</t>
        </is>
      </c>
      <c r="M1695" t="inlineStr">
        <is>
          <t>Dispositivo não executado</t>
        </is>
      </c>
      <c r="N1695" t="inlineStr">
        <is>
          <t>Não executado.</t>
        </is>
      </c>
      <c r="O1695" t="inlineStr">
        <is>
          <t>Tipo A</t>
        </is>
      </c>
      <c r="P1695" t="inlineStr">
        <is>
          <t>34+955</t>
        </is>
      </c>
      <c r="Q1695">
        <v>34687</v>
      </c>
      <c r="R1695" t="inlineStr">
        <is>
          <t>Aberta</t>
        </is>
      </c>
      <c r="T1695" t="inlineStr">
        <is>
          <t>Aline Batista</t>
        </is>
      </c>
      <c r="U1695" t="inlineStr">
        <is>
          <t>25/05/2026</t>
        </is>
      </c>
      <c r="V1695" t="inlineStr">
        <is>
          <t>01/06/2026</t>
        </is>
      </c>
      <c r="W1695">
        <v>9</v>
      </c>
      <c r="AA1695" t="inlineStr">
        <is>
          <t>Aberta -30 dias</t>
        </is>
      </c>
      <c r="AB1695" t="inlineStr">
        <is>
          <t>CT-REMANESCENTE</t>
        </is>
      </c>
      <c r="AC1695" t="inlineStr">
        <is>
          <t>Aline</t>
        </is>
      </c>
      <c r="AD1695" t="inlineStr">
        <is>
          <t>17/07/2026</t>
        </is>
      </c>
      <c r="AE1695" t="inlineStr">
        <is>
          <t>29/07/2026</t>
        </is>
      </c>
      <c r="AF1695" t="inlineStr">
        <is>
          <t>Prazo Premissa VALE</t>
        </is>
      </c>
    </row>
    <row r="1696">
      <c r="A1696">
        <v>1694</v>
      </c>
      <c r="B1696">
        <v>1</v>
      </c>
      <c r="C1696" t="inlineStr">
        <is>
          <t>1.4A</t>
        </is>
      </c>
      <c r="D1696" t="inlineStr">
        <is>
          <t>C05</t>
        </is>
      </c>
      <c r="E1696" t="inlineStr">
        <is>
          <t>LD</t>
        </is>
      </c>
      <c r="F1696" t="inlineStr">
        <is>
          <t>EMPA</t>
        </is>
      </c>
      <c r="G1696" t="inlineStr">
        <is>
          <t>CLP-020</t>
        </is>
      </c>
      <c r="H1696" t="inlineStr">
        <is>
          <t>Protocolo</t>
        </is>
      </c>
      <c r="I1696">
        <v>6</v>
      </c>
      <c r="J1696" t="inlineStr">
        <is>
          <t>Drenagem Superficial</t>
        </is>
      </c>
      <c r="K1696" t="inlineStr">
        <is>
          <t>6.2</t>
        </is>
      </c>
      <c r="L1696" t="inlineStr">
        <is>
          <t>SZC 02</t>
        </is>
      </c>
      <c r="M1696" t="inlineStr">
        <is>
          <t>Dispositivo não executado</t>
        </is>
      </c>
      <c r="N1696" t="inlineStr">
        <is>
          <t>Não executado.</t>
        </is>
      </c>
      <c r="O1696" t="inlineStr">
        <is>
          <t>Tipo A</t>
        </is>
      </c>
      <c r="P1696" t="inlineStr">
        <is>
          <t>34+690</t>
        </is>
      </c>
      <c r="Q1696">
        <v>35050</v>
      </c>
      <c r="R1696" t="inlineStr">
        <is>
          <t>Aberta</t>
        </is>
      </c>
      <c r="T1696" t="inlineStr">
        <is>
          <t>Aline Batista</t>
        </is>
      </c>
      <c r="U1696" t="inlineStr">
        <is>
          <t>29/05/2026</t>
        </is>
      </c>
      <c r="V1696" t="inlineStr">
        <is>
          <t>05/06/2026</t>
        </is>
      </c>
      <c r="W1696">
        <v>5</v>
      </c>
      <c r="AA1696" t="inlineStr">
        <is>
          <t>Aberta -30 dias</t>
        </is>
      </c>
      <c r="AB1696" t="inlineStr">
        <is>
          <t>EMPA</t>
        </is>
      </c>
      <c r="AC1696" t="inlineStr">
        <is>
          <t>Aline</t>
        </is>
      </c>
      <c r="AD1696" t="inlineStr">
        <is>
          <t>31/08/2026</t>
        </is>
      </c>
      <c r="AE1696" t="inlineStr">
        <is>
          <t>10/09/2026</t>
        </is>
      </c>
      <c r="AF1696" t="inlineStr">
        <is>
          <t>Prazo Premissa VALE</t>
        </is>
      </c>
    </row>
    <row r="1697">
      <c r="A1697">
        <v>1695</v>
      </c>
      <c r="B1697">
        <v>1</v>
      </c>
      <c r="C1697" t="inlineStr">
        <is>
          <t>1.4A</t>
        </is>
      </c>
      <c r="D1697" t="inlineStr">
        <is>
          <t>C05</t>
        </is>
      </c>
      <c r="E1697" t="inlineStr">
        <is>
          <t>LE</t>
        </is>
      </c>
      <c r="F1697" t="inlineStr">
        <is>
          <t>VALE</t>
        </is>
      </c>
      <c r="G1697" t="inlineStr">
        <is>
          <t>CLP-015</t>
        </is>
      </c>
      <c r="H1697" t="inlineStr">
        <is>
          <t>Protocolo</t>
        </is>
      </c>
      <c r="I1697">
        <v>6</v>
      </c>
      <c r="J1697" t="inlineStr">
        <is>
          <t>Drenagem Superficial</t>
        </is>
      </c>
      <c r="K1697" t="inlineStr">
        <is>
          <t>6.2</t>
        </is>
      </c>
      <c r="L1697" t="inlineStr">
        <is>
          <t>Drenagem superficial</t>
        </is>
      </c>
      <c r="M1697" t="inlineStr">
        <is>
          <t>Dispositivo não executado</t>
        </is>
      </c>
      <c r="N1697" t="inlineStr">
        <is>
          <t>Não executado.</t>
        </is>
      </c>
      <c r="O1697" t="inlineStr">
        <is>
          <t>Tipo A</t>
        </is>
      </c>
      <c r="P1697" t="inlineStr">
        <is>
          <t>34+690</t>
        </is>
      </c>
      <c r="Q1697">
        <v>35050</v>
      </c>
      <c r="R1697" t="inlineStr">
        <is>
          <t>Aberta</t>
        </is>
      </c>
      <c r="T1697" t="inlineStr">
        <is>
          <t>Aline Batista</t>
        </is>
      </c>
      <c r="U1697" t="inlineStr">
        <is>
          <t>25/05/2026</t>
        </is>
      </c>
      <c r="V1697" t="inlineStr">
        <is>
          <t>01/06/2026</t>
        </is>
      </c>
      <c r="W1697">
        <v>9</v>
      </c>
      <c r="AA1697" t="inlineStr">
        <is>
          <t>Aberta -30 dias</t>
        </is>
      </c>
      <c r="AB1697" t="inlineStr">
        <is>
          <t>CT-REMANESCENTE</t>
        </is>
      </c>
      <c r="AC1697" t="inlineStr">
        <is>
          <t>Aline</t>
        </is>
      </c>
      <c r="AD1697" t="inlineStr">
        <is>
          <t>17/07/2026</t>
        </is>
      </c>
      <c r="AE1697" t="inlineStr">
        <is>
          <t>29/07/2026</t>
        </is>
      </c>
      <c r="AF1697" t="inlineStr">
        <is>
          <t>Prazo Premissa VALE</t>
        </is>
      </c>
    </row>
    <row r="1698">
      <c r="A1698">
        <v>1696</v>
      </c>
      <c r="B1698">
        <v>1</v>
      </c>
      <c r="C1698" t="inlineStr">
        <is>
          <t>1.4A</t>
        </is>
      </c>
      <c r="D1698" t="inlineStr">
        <is>
          <t>C05</t>
        </is>
      </c>
      <c r="E1698" t="inlineStr">
        <is>
          <t>LE</t>
        </is>
      </c>
      <c r="F1698" t="inlineStr">
        <is>
          <t>VALE</t>
        </is>
      </c>
      <c r="G1698" t="inlineStr">
        <is>
          <t>CLP-015</t>
        </is>
      </c>
      <c r="H1698" t="inlineStr">
        <is>
          <t>Protocolo</t>
        </is>
      </c>
      <c r="I1698">
        <v>6</v>
      </c>
      <c r="J1698" t="inlineStr">
        <is>
          <t>Drenagem Superficial</t>
        </is>
      </c>
      <c r="K1698" t="inlineStr">
        <is>
          <t>6.1</t>
        </is>
      </c>
      <c r="L1698" t="inlineStr">
        <is>
          <t>Drenagem superficial</t>
        </is>
      </c>
      <c r="M1698" t="inlineStr">
        <is>
          <t>Dispositivo não executado</t>
        </is>
      </c>
      <c r="N1698" t="inlineStr">
        <is>
          <t>Não executado.</t>
        </is>
      </c>
      <c r="O1698" t="inlineStr">
        <is>
          <t>Tipo A</t>
        </is>
      </c>
      <c r="P1698" t="inlineStr">
        <is>
          <t>34+865</t>
        </is>
      </c>
      <c r="Q1698">
        <v>34955</v>
      </c>
      <c r="R1698" t="inlineStr">
        <is>
          <t>Aberta</t>
        </is>
      </c>
      <c r="T1698" t="inlineStr">
        <is>
          <t>Aline Batista</t>
        </is>
      </c>
      <c r="U1698" t="inlineStr">
        <is>
          <t>25/05/2026</t>
        </is>
      </c>
      <c r="V1698" t="inlineStr">
        <is>
          <t>01/06/2026</t>
        </is>
      </c>
      <c r="W1698">
        <v>9</v>
      </c>
      <c r="AA1698" t="inlineStr">
        <is>
          <t>Aberta -30 dias</t>
        </is>
      </c>
      <c r="AB1698" t="inlineStr">
        <is>
          <t>CT-REMANESCENTE</t>
        </is>
      </c>
      <c r="AC1698" t="inlineStr">
        <is>
          <t>Aline</t>
        </is>
      </c>
      <c r="AD1698" t="inlineStr">
        <is>
          <t>17/07/2026</t>
        </is>
      </c>
      <c r="AE1698" t="inlineStr">
        <is>
          <t>29/07/2026</t>
        </is>
      </c>
      <c r="AF1698" t="inlineStr">
        <is>
          <t>Prazo Premissa VALE</t>
        </is>
      </c>
    </row>
    <row r="1699">
      <c r="A1699">
        <v>1697</v>
      </c>
      <c r="B1699">
        <v>1</v>
      </c>
      <c r="C1699" t="inlineStr">
        <is>
          <t>1.4A</t>
        </is>
      </c>
      <c r="D1699" t="inlineStr">
        <is>
          <t>C05</t>
        </is>
      </c>
      <c r="E1699" t="inlineStr">
        <is>
          <t>LE</t>
        </is>
      </c>
      <c r="F1699" t="inlineStr">
        <is>
          <t>VALE</t>
        </is>
      </c>
      <c r="G1699" t="inlineStr">
        <is>
          <t>CLP-015</t>
        </is>
      </c>
      <c r="H1699" t="inlineStr">
        <is>
          <t>Protocolo</t>
        </is>
      </c>
      <c r="I1699">
        <v>6</v>
      </c>
      <c r="J1699" t="inlineStr">
        <is>
          <t>Drenagem Superficial</t>
        </is>
      </c>
      <c r="K1699" t="inlineStr">
        <is>
          <t>6.1</t>
        </is>
      </c>
      <c r="L1699" t="inlineStr">
        <is>
          <t>Drenagem superficial</t>
        </is>
      </c>
      <c r="M1699" t="inlineStr">
        <is>
          <t>Dispositivo não executado</t>
        </is>
      </c>
      <c r="N1699" t="inlineStr">
        <is>
          <t>Não executado.</t>
        </is>
      </c>
      <c r="O1699" t="inlineStr">
        <is>
          <t>Tipo A</t>
        </is>
      </c>
      <c r="P1699" t="inlineStr">
        <is>
          <t>34+955</t>
        </is>
      </c>
      <c r="Q1699">
        <v>34955</v>
      </c>
      <c r="R1699" t="inlineStr">
        <is>
          <t>Aberta</t>
        </is>
      </c>
      <c r="T1699" t="inlineStr">
        <is>
          <t>Aline Batista</t>
        </is>
      </c>
      <c r="U1699" t="inlineStr">
        <is>
          <t>25/05/2026</t>
        </is>
      </c>
      <c r="V1699" t="inlineStr">
        <is>
          <t>01/06/2026</t>
        </is>
      </c>
      <c r="W1699">
        <v>9</v>
      </c>
      <c r="AA1699" t="inlineStr">
        <is>
          <t>Aberta -30 dias</t>
        </is>
      </c>
      <c r="AB1699" t="inlineStr">
        <is>
          <t>CT-REMANESCENTE</t>
        </is>
      </c>
      <c r="AC1699" t="inlineStr">
        <is>
          <t>Aline</t>
        </is>
      </c>
      <c r="AD1699" t="inlineStr">
        <is>
          <t>17/07/2026</t>
        </is>
      </c>
      <c r="AE1699" t="inlineStr">
        <is>
          <t>29/07/2026</t>
        </is>
      </c>
      <c r="AF1699" t="inlineStr">
        <is>
          <t>Prazo Premissa VALE</t>
        </is>
      </c>
    </row>
    <row r="1700">
      <c r="A1700">
        <v>1698</v>
      </c>
      <c r="B1700">
        <v>1</v>
      </c>
      <c r="C1700" t="inlineStr">
        <is>
          <t>1.4A</t>
        </is>
      </c>
      <c r="D1700" t="inlineStr">
        <is>
          <t>C05</t>
        </is>
      </c>
      <c r="E1700" t="inlineStr">
        <is>
          <t>LE</t>
        </is>
      </c>
      <c r="F1700" t="inlineStr">
        <is>
          <t>VALE</t>
        </is>
      </c>
      <c r="G1700" t="inlineStr">
        <is>
          <t>CLP-015</t>
        </is>
      </c>
      <c r="H1700" t="inlineStr">
        <is>
          <t>Protocolo</t>
        </is>
      </c>
      <c r="I1700">
        <v>6</v>
      </c>
      <c r="J1700" t="inlineStr">
        <is>
          <t>Drenagem Superficial</t>
        </is>
      </c>
      <c r="K1700" t="inlineStr">
        <is>
          <t>6.3</t>
        </is>
      </c>
      <c r="L1700" t="inlineStr">
        <is>
          <t>Drenagem superficial</t>
        </is>
      </c>
      <c r="M1700" t="inlineStr">
        <is>
          <t>Dispositivo não executado</t>
        </is>
      </c>
      <c r="N1700" t="inlineStr">
        <is>
          <t>Não executado.</t>
        </is>
      </c>
      <c r="O1700" t="inlineStr">
        <is>
          <t>Tipo A</t>
        </is>
      </c>
      <c r="P1700" t="inlineStr">
        <is>
          <t>34+955</t>
        </is>
      </c>
      <c r="Q1700">
        <v>34955</v>
      </c>
      <c r="R1700" t="inlineStr">
        <is>
          <t>Aberta</t>
        </is>
      </c>
      <c r="T1700" t="inlineStr">
        <is>
          <t>Aline Batista</t>
        </is>
      </c>
      <c r="U1700" t="inlineStr">
        <is>
          <t>25/05/2026</t>
        </is>
      </c>
      <c r="V1700" t="inlineStr">
        <is>
          <t>01/06/2026</t>
        </is>
      </c>
      <c r="W1700">
        <v>9</v>
      </c>
      <c r="AA1700" t="inlineStr">
        <is>
          <t>Aberta -30 dias</t>
        </is>
      </c>
      <c r="AB1700" t="inlineStr">
        <is>
          <t>CT-REMANESCENTE</t>
        </is>
      </c>
      <c r="AC1700" t="inlineStr">
        <is>
          <t>Aline</t>
        </is>
      </c>
      <c r="AD1700" t="inlineStr">
        <is>
          <t>17/07/2026</t>
        </is>
      </c>
      <c r="AE1700" t="inlineStr">
        <is>
          <t>29/07/2026</t>
        </is>
      </c>
      <c r="AF1700" t="inlineStr">
        <is>
          <t>Prazo Premissa VALE</t>
        </is>
      </c>
    </row>
    <row r="1701">
      <c r="A1701">
        <v>1699</v>
      </c>
      <c r="B1701">
        <v>1</v>
      </c>
      <c r="C1701" t="inlineStr">
        <is>
          <t>1.4A</t>
        </is>
      </c>
      <c r="D1701" t="inlineStr">
        <is>
          <t>C05</t>
        </is>
      </c>
      <c r="E1701" t="inlineStr">
        <is>
          <t>LE</t>
        </is>
      </c>
      <c r="F1701" t="inlineStr">
        <is>
          <t>VALE</t>
        </is>
      </c>
      <c r="G1701" t="inlineStr">
        <is>
          <t>CLP-015</t>
        </is>
      </c>
      <c r="H1701" t="inlineStr">
        <is>
          <t>Protocolo</t>
        </is>
      </c>
      <c r="I1701">
        <v>6</v>
      </c>
      <c r="J1701" t="inlineStr">
        <is>
          <t>Drenagem Superficial</t>
        </is>
      </c>
      <c r="K1701" t="inlineStr">
        <is>
          <t>6.1</t>
        </is>
      </c>
      <c r="L1701" t="inlineStr">
        <is>
          <t>Drenagem superficial</t>
        </is>
      </c>
      <c r="M1701" t="inlineStr">
        <is>
          <t>Dispositivo não executado</t>
        </is>
      </c>
      <c r="N1701" t="inlineStr">
        <is>
          <t xml:space="preserve">Não executado.
Verificar com contratos sobre as atividades pendentes no corte 05.</t>
        </is>
      </c>
      <c r="O1701" t="inlineStr">
        <is>
          <t>Tipo A</t>
        </is>
      </c>
      <c r="P1701" t="inlineStr">
        <is>
          <t>35+030</t>
        </is>
      </c>
      <c r="Q1701">
        <v>34955</v>
      </c>
      <c r="R1701" t="inlineStr">
        <is>
          <t>Aberta</t>
        </is>
      </c>
      <c r="T1701" t="inlineStr">
        <is>
          <t>Aline Batista</t>
        </is>
      </c>
      <c r="U1701" t="inlineStr">
        <is>
          <t>25/05/2026</t>
        </is>
      </c>
      <c r="V1701" t="inlineStr">
        <is>
          <t>01/06/2026</t>
        </is>
      </c>
      <c r="W1701">
        <v>9</v>
      </c>
      <c r="AA1701" t="inlineStr">
        <is>
          <t>Aberta -30 dias</t>
        </is>
      </c>
      <c r="AB1701" t="inlineStr">
        <is>
          <t>CT-REMANESCENTE</t>
        </is>
      </c>
      <c r="AC1701" t="inlineStr">
        <is>
          <t>Aline</t>
        </is>
      </c>
      <c r="AD1701" t="inlineStr">
        <is>
          <t>17/07/2026</t>
        </is>
      </c>
      <c r="AE1701" t="inlineStr">
        <is>
          <t>29/07/2026</t>
        </is>
      </c>
      <c r="AF1701" t="inlineStr">
        <is>
          <t>Prazo Premissa VALE</t>
        </is>
      </c>
    </row>
    <row r="1702">
      <c r="A1702">
        <v>1700</v>
      </c>
      <c r="B1702">
        <v>1</v>
      </c>
      <c r="C1702" t="inlineStr">
        <is>
          <t>1.4A</t>
        </is>
      </c>
      <c r="D1702" t="inlineStr">
        <is>
          <t>C05</t>
        </is>
      </c>
      <c r="E1702" t="inlineStr">
        <is>
          <t>LE</t>
        </is>
      </c>
      <c r="F1702" t="inlineStr">
        <is>
          <t>VALE</t>
        </is>
      </c>
      <c r="G1702" t="inlineStr">
        <is>
          <t>CLP-015</t>
        </is>
      </c>
      <c r="H1702" t="inlineStr">
        <is>
          <t>Protocolo</t>
        </is>
      </c>
      <c r="I1702">
        <v>6</v>
      </c>
      <c r="J1702" t="inlineStr">
        <is>
          <t>Drenagem Superficial</t>
        </is>
      </c>
      <c r="K1702" t="inlineStr">
        <is>
          <t>6.1</t>
        </is>
      </c>
      <c r="L1702" t="inlineStr">
        <is>
          <t>Drenagem superficial</t>
        </is>
      </c>
      <c r="M1702" t="inlineStr">
        <is>
          <t>Dispositivo não executado</t>
        </is>
      </c>
      <c r="N1702" t="inlineStr">
        <is>
          <t>Não executado.</t>
        </is>
      </c>
      <c r="O1702" t="inlineStr">
        <is>
          <t>Tipo A</t>
        </is>
      </c>
      <c r="P1702" t="inlineStr">
        <is>
          <t>35+030</t>
        </is>
      </c>
      <c r="Q1702">
        <v>35065</v>
      </c>
      <c r="R1702" t="inlineStr">
        <is>
          <t>Aberta</t>
        </is>
      </c>
      <c r="T1702" t="inlineStr">
        <is>
          <t>Aline Batista</t>
        </is>
      </c>
      <c r="U1702" t="inlineStr">
        <is>
          <t>25/05/2026</t>
        </is>
      </c>
      <c r="V1702" t="inlineStr">
        <is>
          <t>01/06/2026</t>
        </is>
      </c>
      <c r="W1702">
        <v>9</v>
      </c>
      <c r="AA1702" t="inlineStr">
        <is>
          <t>Aberta -30 dias</t>
        </is>
      </c>
      <c r="AB1702" t="inlineStr">
        <is>
          <t>CT-REMANESCENTE</t>
        </is>
      </c>
      <c r="AC1702" t="inlineStr">
        <is>
          <t>Aline</t>
        </is>
      </c>
      <c r="AD1702" t="inlineStr">
        <is>
          <t>17/07/2026</t>
        </is>
      </c>
      <c r="AE1702" t="inlineStr">
        <is>
          <t>29/07/2026</t>
        </is>
      </c>
      <c r="AF1702" t="inlineStr">
        <is>
          <t>Prazo Premissa VALE</t>
        </is>
      </c>
    </row>
    <row r="1703">
      <c r="A1703">
        <v>1701</v>
      </c>
      <c r="B1703">
        <v>1</v>
      </c>
      <c r="C1703" t="inlineStr">
        <is>
          <t>1.4A</t>
        </is>
      </c>
      <c r="D1703" t="inlineStr">
        <is>
          <t>C05</t>
        </is>
      </c>
      <c r="E1703" t="inlineStr">
        <is>
          <t>LE</t>
        </is>
      </c>
      <c r="F1703" t="inlineStr">
        <is>
          <t>VALE</t>
        </is>
      </c>
      <c r="G1703" t="inlineStr">
        <is>
          <t>CLP-015</t>
        </is>
      </c>
      <c r="H1703" t="inlineStr">
        <is>
          <t>Protocolo</t>
        </is>
      </c>
      <c r="I1703">
        <v>6</v>
      </c>
      <c r="J1703" t="inlineStr">
        <is>
          <t>Drenagem Superficial</t>
        </is>
      </c>
      <c r="K1703" t="inlineStr">
        <is>
          <t>6.1</t>
        </is>
      </c>
      <c r="L1703" t="inlineStr">
        <is>
          <t>Drenagem superficial</t>
        </is>
      </c>
      <c r="M1703" t="inlineStr">
        <is>
          <t>Dispositivo não executado</t>
        </is>
      </c>
      <c r="N1703" t="inlineStr">
        <is>
          <t>Não executado.</t>
        </is>
      </c>
      <c r="O1703" t="inlineStr">
        <is>
          <t>Tipo A</t>
        </is>
      </c>
      <c r="P1703" t="inlineStr">
        <is>
          <t>35+065</t>
        </is>
      </c>
      <c r="Q1703">
        <v>35065</v>
      </c>
      <c r="R1703" t="inlineStr">
        <is>
          <t>Aberta</t>
        </is>
      </c>
      <c r="T1703" t="inlineStr">
        <is>
          <t>Aline Batista</t>
        </is>
      </c>
      <c r="U1703" t="inlineStr">
        <is>
          <t>25/05/2026</t>
        </is>
      </c>
      <c r="V1703" t="inlineStr">
        <is>
          <t>01/06/2026</t>
        </is>
      </c>
      <c r="W1703">
        <v>9</v>
      </c>
      <c r="AA1703" t="inlineStr">
        <is>
          <t>Aberta -30 dias</t>
        </is>
      </c>
      <c r="AB1703" t="inlineStr">
        <is>
          <t>CT-REMANESCENTE</t>
        </is>
      </c>
      <c r="AC1703" t="inlineStr">
        <is>
          <t>Aline</t>
        </is>
      </c>
      <c r="AD1703" t="inlineStr">
        <is>
          <t>17/07/2026</t>
        </is>
      </c>
      <c r="AE1703" t="inlineStr">
        <is>
          <t>29/07/2026</t>
        </is>
      </c>
      <c r="AF1703" t="inlineStr">
        <is>
          <t>Prazo Premissa VALE</t>
        </is>
      </c>
    </row>
    <row r="1704">
      <c r="A1704">
        <v>1702</v>
      </c>
      <c r="B1704">
        <v>1</v>
      </c>
      <c r="C1704" t="inlineStr">
        <is>
          <t>1.4A</t>
        </is>
      </c>
      <c r="D1704" t="inlineStr">
        <is>
          <t>C05</t>
        </is>
      </c>
      <c r="E1704" t="inlineStr">
        <is>
          <t>LE</t>
        </is>
      </c>
      <c r="F1704" t="inlineStr">
        <is>
          <t>VALE</t>
        </is>
      </c>
      <c r="G1704" t="inlineStr">
        <is>
          <t>CLP-015</t>
        </is>
      </c>
      <c r="H1704" t="inlineStr">
        <is>
          <t>Protocolo</t>
        </is>
      </c>
      <c r="I1704">
        <v>6</v>
      </c>
      <c r="J1704" t="inlineStr">
        <is>
          <t>Drenagem Superficial</t>
        </is>
      </c>
      <c r="K1704" t="inlineStr">
        <is>
          <t>6.3</t>
        </is>
      </c>
      <c r="L1704" t="inlineStr">
        <is>
          <t>Drenagem superficial</t>
        </is>
      </c>
      <c r="M1704" t="inlineStr">
        <is>
          <t>Dispositivo não executado</t>
        </is>
      </c>
      <c r="N1704" t="inlineStr">
        <is>
          <t>Não executado.</t>
        </is>
      </c>
      <c r="O1704" t="inlineStr">
        <is>
          <t>Tipo A</t>
        </is>
      </c>
      <c r="P1704" t="inlineStr">
        <is>
          <t>35+065</t>
        </is>
      </c>
      <c r="Q1704">
        <v>35065</v>
      </c>
      <c r="R1704" t="inlineStr">
        <is>
          <t>Aberta</t>
        </is>
      </c>
      <c r="T1704" t="inlineStr">
        <is>
          <t>Aline Batista</t>
        </is>
      </c>
      <c r="U1704" t="inlineStr">
        <is>
          <t>25/05/2026</t>
        </is>
      </c>
      <c r="V1704" t="inlineStr">
        <is>
          <t>01/06/2026</t>
        </is>
      </c>
      <c r="W1704">
        <v>9</v>
      </c>
      <c r="AA1704" t="inlineStr">
        <is>
          <t>Aberta -30 dias</t>
        </is>
      </c>
      <c r="AB1704" t="inlineStr">
        <is>
          <t>CT-REMANESCENTE</t>
        </is>
      </c>
      <c r="AC1704" t="inlineStr">
        <is>
          <t>Aline</t>
        </is>
      </c>
      <c r="AD1704" t="inlineStr">
        <is>
          <t>17/07/2026</t>
        </is>
      </c>
      <c r="AE1704" t="inlineStr">
        <is>
          <t>29/07/2026</t>
        </is>
      </c>
      <c r="AF1704" t="inlineStr">
        <is>
          <t>Prazo Premissa VALE</t>
        </is>
      </c>
    </row>
    <row r="1705">
      <c r="A1705">
        <v>1703</v>
      </c>
      <c r="B1705">
        <v>1</v>
      </c>
      <c r="C1705" t="inlineStr">
        <is>
          <t>1.4A</t>
        </is>
      </c>
      <c r="D1705" t="inlineStr">
        <is>
          <t>C05</t>
        </is>
      </c>
      <c r="E1705" t="inlineStr">
        <is>
          <t>LD</t>
        </is>
      </c>
      <c r="F1705" t="inlineStr">
        <is>
          <t>EMPA</t>
        </is>
      </c>
      <c r="G1705" t="inlineStr">
        <is>
          <t>CLP-020</t>
        </is>
      </c>
      <c r="H1705" t="inlineStr">
        <is>
          <t>Protocolo</t>
        </is>
      </c>
      <c r="I1705">
        <v>6</v>
      </c>
      <c r="J1705" t="inlineStr">
        <is>
          <t>Drenagem Superficial</t>
        </is>
      </c>
      <c r="K1705" t="inlineStr">
        <is>
          <t>6.1</t>
        </is>
      </c>
      <c r="L1705" t="inlineStr">
        <is>
          <t>SCZ 04</t>
        </is>
      </c>
      <c r="M1705" t="inlineStr">
        <is>
          <t>Dispositivo não executado</t>
        </is>
      </c>
      <c r="N1705" t="inlineStr">
        <is>
          <t>Não executado.</t>
        </is>
      </c>
      <c r="O1705" t="inlineStr">
        <is>
          <t>Tipo A</t>
        </is>
      </c>
      <c r="P1705" t="inlineStr">
        <is>
          <t>35+100</t>
        </is>
      </c>
      <c r="Q1705">
        <v>35180</v>
      </c>
      <c r="R1705" t="inlineStr">
        <is>
          <t>Aberta</t>
        </is>
      </c>
      <c r="T1705" t="inlineStr">
        <is>
          <t>Aline Batista</t>
        </is>
      </c>
      <c r="U1705" t="inlineStr">
        <is>
          <t>29/05/2026</t>
        </is>
      </c>
      <c r="V1705" t="inlineStr">
        <is>
          <t>05/06/2026</t>
        </is>
      </c>
      <c r="W1705">
        <v>5</v>
      </c>
      <c r="AA1705" t="inlineStr">
        <is>
          <t>Aberta -30 dias</t>
        </is>
      </c>
      <c r="AB1705" t="inlineStr">
        <is>
          <t>EMPA</t>
        </is>
      </c>
      <c r="AC1705" t="inlineStr">
        <is>
          <t>Aline</t>
        </is>
      </c>
      <c r="AD1705" t="inlineStr">
        <is>
          <t>31/08/2026</t>
        </is>
      </c>
      <c r="AE1705" t="inlineStr">
        <is>
          <t>10/09/2026</t>
        </is>
      </c>
      <c r="AF1705" t="inlineStr">
        <is>
          <t>Prazo Premissa VALE</t>
        </is>
      </c>
    </row>
    <row r="1706">
      <c r="A1706">
        <v>1704</v>
      </c>
      <c r="B1706">
        <v>1</v>
      </c>
      <c r="C1706" t="inlineStr">
        <is>
          <t>1.4A</t>
        </is>
      </c>
      <c r="D1706" t="inlineStr">
        <is>
          <t>C05</t>
        </is>
      </c>
      <c r="E1706" t="inlineStr">
        <is>
          <t>LE</t>
        </is>
      </c>
      <c r="F1706" t="inlineStr">
        <is>
          <t>VALE</t>
        </is>
      </c>
      <c r="G1706" t="inlineStr">
        <is>
          <t>CLP-015</t>
        </is>
      </c>
      <c r="H1706" t="inlineStr">
        <is>
          <t>Protocolo</t>
        </is>
      </c>
      <c r="I1706">
        <v>6</v>
      </c>
      <c r="J1706" t="inlineStr">
        <is>
          <t>Drenagem Superficial</t>
        </is>
      </c>
      <c r="K1706" t="inlineStr">
        <is>
          <t>6.1</t>
        </is>
      </c>
      <c r="L1706" t="inlineStr">
        <is>
          <t>Drenagem superficial</t>
        </is>
      </c>
      <c r="M1706" t="inlineStr">
        <is>
          <t>Dispositivo não executado</t>
        </is>
      </c>
      <c r="N1706" t="inlineStr">
        <is>
          <t>Não executado.</t>
        </is>
      </c>
      <c r="O1706" t="inlineStr">
        <is>
          <t>Tipo A</t>
        </is>
      </c>
      <c r="P1706" t="inlineStr">
        <is>
          <t>35+084</t>
        </is>
      </c>
      <c r="Q1706">
        <v>35169</v>
      </c>
      <c r="R1706" t="inlineStr">
        <is>
          <t>Aberta</t>
        </is>
      </c>
      <c r="T1706" t="inlineStr">
        <is>
          <t>Aline Batista</t>
        </is>
      </c>
      <c r="U1706" t="inlineStr">
        <is>
          <t>25/05/2026</t>
        </is>
      </c>
      <c r="V1706" t="inlineStr">
        <is>
          <t>01/06/2026</t>
        </is>
      </c>
      <c r="W1706">
        <v>9</v>
      </c>
      <c r="AA1706" t="inlineStr">
        <is>
          <t>Aberta -30 dias</t>
        </is>
      </c>
      <c r="AB1706" t="inlineStr">
        <is>
          <t>CT-REMANESCENTE</t>
        </is>
      </c>
      <c r="AC1706" t="inlineStr">
        <is>
          <t>Aline</t>
        </is>
      </c>
      <c r="AD1706" t="inlineStr">
        <is>
          <t>17/07/2026</t>
        </is>
      </c>
      <c r="AE1706" t="inlineStr">
        <is>
          <t>29/07/2026</t>
        </is>
      </c>
      <c r="AF1706" t="inlineStr">
        <is>
          <t>Prazo Premissa VALE</t>
        </is>
      </c>
    </row>
    <row r="1707">
      <c r="A1707">
        <v>1705</v>
      </c>
      <c r="B1707">
        <v>1</v>
      </c>
      <c r="C1707" t="inlineStr">
        <is>
          <t>1.4A</t>
        </is>
      </c>
      <c r="D1707" t="inlineStr">
        <is>
          <t>C05</t>
        </is>
      </c>
      <c r="E1707" t="inlineStr">
        <is>
          <t>LE</t>
        </is>
      </c>
      <c r="F1707" t="inlineStr">
        <is>
          <t>VALE</t>
        </is>
      </c>
      <c r="G1707" t="inlineStr">
        <is>
          <t>CLP-015</t>
        </is>
      </c>
      <c r="H1707" t="inlineStr">
        <is>
          <t>Protocolo</t>
        </is>
      </c>
      <c r="I1707">
        <v>6</v>
      </c>
      <c r="J1707" t="inlineStr">
        <is>
          <t>Drenagem Superficial</t>
        </is>
      </c>
      <c r="K1707" t="inlineStr">
        <is>
          <t>6.1</t>
        </is>
      </c>
      <c r="L1707" t="inlineStr">
        <is>
          <t>Drenagem superficial</t>
        </is>
      </c>
      <c r="M1707" t="inlineStr">
        <is>
          <t>Dispositivo não executado</t>
        </is>
      </c>
      <c r="N1707" t="inlineStr">
        <is>
          <t>Não executado.</t>
        </is>
      </c>
      <c r="O1707" t="inlineStr">
        <is>
          <t>Tipo A</t>
        </is>
      </c>
      <c r="P1707" t="inlineStr">
        <is>
          <t>35+082</t>
        </is>
      </c>
      <c r="Q1707">
        <v>35111</v>
      </c>
      <c r="R1707" t="inlineStr">
        <is>
          <t>Aberta</t>
        </is>
      </c>
      <c r="T1707" t="inlineStr">
        <is>
          <t>Aline Batista</t>
        </is>
      </c>
      <c r="U1707" t="inlineStr">
        <is>
          <t>25/05/2026</t>
        </is>
      </c>
      <c r="V1707" t="inlineStr">
        <is>
          <t>01/06/2026</t>
        </is>
      </c>
      <c r="W1707">
        <v>9</v>
      </c>
      <c r="AA1707" t="inlineStr">
        <is>
          <t>Aberta -30 dias</t>
        </is>
      </c>
      <c r="AB1707" t="inlineStr">
        <is>
          <t>CT-REMANESCENTE</t>
        </is>
      </c>
      <c r="AC1707" t="inlineStr">
        <is>
          <t>Aline</t>
        </is>
      </c>
      <c r="AD1707" t="inlineStr">
        <is>
          <t>17/07/2026</t>
        </is>
      </c>
      <c r="AE1707" t="inlineStr">
        <is>
          <t>29/07/2026</t>
        </is>
      </c>
      <c r="AF1707" t="inlineStr">
        <is>
          <t>Prazo Premissa VALE</t>
        </is>
      </c>
    </row>
    <row r="1708">
      <c r="A1708">
        <v>1706</v>
      </c>
      <c r="B1708">
        <v>1</v>
      </c>
      <c r="C1708" t="inlineStr">
        <is>
          <t>1.4A</t>
        </is>
      </c>
      <c r="D1708" t="inlineStr">
        <is>
          <t>A05</t>
        </is>
      </c>
      <c r="E1708" t="inlineStr">
        <is>
          <t>LE</t>
        </is>
      </c>
      <c r="F1708" t="inlineStr">
        <is>
          <t>EMPA</t>
        </is>
      </c>
      <c r="G1708" t="inlineStr">
        <is>
          <t>CLP-020</t>
        </is>
      </c>
      <c r="H1708" t="inlineStr">
        <is>
          <t>Protocolo</t>
        </is>
      </c>
      <c r="I1708">
        <v>6</v>
      </c>
      <c r="J1708" t="inlineStr">
        <is>
          <t>Drenagem Superficial</t>
        </is>
      </c>
      <c r="K1708" t="inlineStr">
        <is>
          <t>6.1</t>
        </is>
      </c>
      <c r="L1708" t="inlineStr">
        <is>
          <t>VPC 02</t>
        </is>
      </c>
      <c r="M1708" t="inlineStr">
        <is>
          <t>Dispositivo não executado</t>
        </is>
      </c>
      <c r="N1708" t="inlineStr">
        <is>
          <t>Não executado.</t>
        </is>
      </c>
      <c r="O1708" t="inlineStr">
        <is>
          <t>Tipo A</t>
        </is>
      </c>
      <c r="P1708" t="inlineStr">
        <is>
          <t>35+169</t>
        </is>
      </c>
      <c r="Q1708">
        <v>35315</v>
      </c>
      <c r="R1708" t="inlineStr">
        <is>
          <t>Aberta</t>
        </is>
      </c>
      <c r="T1708" t="inlineStr">
        <is>
          <t>Aline Batista</t>
        </is>
      </c>
      <c r="U1708" t="inlineStr">
        <is>
          <t>29/05/2026</t>
        </is>
      </c>
      <c r="V1708" t="inlineStr">
        <is>
          <t>05/06/2026</t>
        </is>
      </c>
      <c r="W1708">
        <v>5</v>
      </c>
      <c r="AA1708" t="inlineStr">
        <is>
          <t>Aberta -30 dias</t>
        </is>
      </c>
      <c r="AB1708" t="inlineStr">
        <is>
          <t>EMPA</t>
        </is>
      </c>
      <c r="AC1708" t="inlineStr">
        <is>
          <t>Aline</t>
        </is>
      </c>
      <c r="AD1708" t="inlineStr">
        <is>
          <t>31/08/2026</t>
        </is>
      </c>
      <c r="AE1708" t="inlineStr">
        <is>
          <t>10/09/2026</t>
        </is>
      </c>
      <c r="AF1708" t="inlineStr">
        <is>
          <t>Prazo Premissa VALE</t>
        </is>
      </c>
    </row>
    <row r="1709">
      <c r="A1709">
        <v>1707</v>
      </c>
      <c r="B1709">
        <v>1</v>
      </c>
      <c r="C1709" t="inlineStr">
        <is>
          <t>1.4A</t>
        </is>
      </c>
      <c r="D1709" t="inlineStr">
        <is>
          <t>A05</t>
        </is>
      </c>
      <c r="E1709" t="inlineStr">
        <is>
          <t>LD</t>
        </is>
      </c>
      <c r="F1709" t="inlineStr">
        <is>
          <t>EMPA</t>
        </is>
      </c>
      <c r="G1709" t="inlineStr">
        <is>
          <t>CLP-020</t>
        </is>
      </c>
      <c r="H1709" t="inlineStr">
        <is>
          <t>Protocolo</t>
        </is>
      </c>
      <c r="I1709">
        <v>6</v>
      </c>
      <c r="J1709" t="inlineStr">
        <is>
          <t>Drenagem Superficial</t>
        </is>
      </c>
      <c r="K1709" t="inlineStr">
        <is>
          <t>6.1</t>
        </is>
      </c>
      <c r="L1709" t="inlineStr">
        <is>
          <t>VPC 01</t>
        </is>
      </c>
      <c r="M1709" t="inlineStr">
        <is>
          <t>Dispositivo não executado</t>
        </is>
      </c>
      <c r="N1709" t="inlineStr">
        <is>
          <t>Não executado.</t>
        </is>
      </c>
      <c r="O1709" t="inlineStr">
        <is>
          <t>Tipo A</t>
        </is>
      </c>
      <c r="P1709" t="inlineStr">
        <is>
          <t>35+180</t>
        </is>
      </c>
      <c r="Q1709">
        <v>35315</v>
      </c>
      <c r="R1709" t="inlineStr">
        <is>
          <t>Aberta</t>
        </is>
      </c>
      <c r="T1709" t="inlineStr">
        <is>
          <t>Aline Batista</t>
        </is>
      </c>
      <c r="U1709" t="inlineStr">
        <is>
          <t>29/05/2026</t>
        </is>
      </c>
      <c r="V1709" t="inlineStr">
        <is>
          <t>05/06/2026</t>
        </is>
      </c>
      <c r="W1709">
        <v>5</v>
      </c>
      <c r="AA1709" t="inlineStr">
        <is>
          <t>Aberta -30 dias</t>
        </is>
      </c>
      <c r="AB1709" t="inlineStr">
        <is>
          <t>EMPA</t>
        </is>
      </c>
      <c r="AC1709" t="inlineStr">
        <is>
          <t>Aline</t>
        </is>
      </c>
      <c r="AD1709" t="inlineStr">
        <is>
          <t>31/08/2026</t>
        </is>
      </c>
      <c r="AE1709" t="inlineStr">
        <is>
          <t>10/09/2026</t>
        </is>
      </c>
      <c r="AF1709" t="inlineStr">
        <is>
          <t>Prazo Premissa VALE</t>
        </is>
      </c>
    </row>
    <row r="1710">
      <c r="A1710">
        <v>1708</v>
      </c>
      <c r="B1710">
        <v>1</v>
      </c>
      <c r="C1710" t="inlineStr">
        <is>
          <t>1.4A</t>
        </is>
      </c>
      <c r="D1710" t="inlineStr">
        <is>
          <t>A05</t>
        </is>
      </c>
      <c r="E1710" t="inlineStr">
        <is>
          <t>LE</t>
        </is>
      </c>
      <c r="F1710" t="inlineStr">
        <is>
          <t>EMPA</t>
        </is>
      </c>
      <c r="G1710" t="inlineStr">
        <is>
          <t>CLP-020</t>
        </is>
      </c>
      <c r="H1710" t="inlineStr">
        <is>
          <t>Protocolo</t>
        </is>
      </c>
      <c r="I1710">
        <v>6</v>
      </c>
      <c r="J1710" t="inlineStr">
        <is>
          <t>Drenagem Superficial</t>
        </is>
      </c>
      <c r="K1710" t="inlineStr">
        <is>
          <t>6.1</t>
        </is>
      </c>
      <c r="L1710" t="inlineStr">
        <is>
          <t>VPC 01</t>
        </is>
      </c>
      <c r="M1710" t="inlineStr">
        <is>
          <t>Dispositivo não executado</t>
        </is>
      </c>
      <c r="N1710" t="inlineStr">
        <is>
          <t>Não executado.</t>
        </is>
      </c>
      <c r="O1710" t="inlineStr">
        <is>
          <t>Tipo A</t>
        </is>
      </c>
      <c r="P1710" t="inlineStr">
        <is>
          <t>35+333</t>
        </is>
      </c>
      <c r="Q1710">
        <v>35321</v>
      </c>
      <c r="R1710" t="inlineStr">
        <is>
          <t>Aberta</t>
        </is>
      </c>
      <c r="T1710" t="inlineStr">
        <is>
          <t>Aline Batista</t>
        </is>
      </c>
      <c r="U1710" t="inlineStr">
        <is>
          <t>29/05/2026</t>
        </is>
      </c>
      <c r="V1710" t="inlineStr">
        <is>
          <t>05/06/2026</t>
        </is>
      </c>
      <c r="W1710">
        <v>5</v>
      </c>
      <c r="AA1710" t="inlineStr">
        <is>
          <t>Aberta -30 dias</t>
        </is>
      </c>
      <c r="AB1710" t="inlineStr">
        <is>
          <t>EMPA</t>
        </is>
      </c>
      <c r="AC1710" t="inlineStr">
        <is>
          <t>Aline</t>
        </is>
      </c>
      <c r="AD1710" t="inlineStr">
        <is>
          <t>31/08/2026</t>
        </is>
      </c>
      <c r="AE1710" t="inlineStr">
        <is>
          <t>10/09/2026</t>
        </is>
      </c>
      <c r="AF1710" t="inlineStr">
        <is>
          <t>Prazo Premissa VALE</t>
        </is>
      </c>
    </row>
    <row r="1711">
      <c r="A1711">
        <v>1709</v>
      </c>
      <c r="B1711">
        <v>1</v>
      </c>
      <c r="C1711" t="inlineStr">
        <is>
          <t>1.4A</t>
        </is>
      </c>
      <c r="D1711" t="inlineStr">
        <is>
          <t>A05</t>
        </is>
      </c>
      <c r="E1711" t="inlineStr">
        <is>
          <t>LE</t>
        </is>
      </c>
      <c r="F1711" t="inlineStr">
        <is>
          <t>EMPA</t>
        </is>
      </c>
      <c r="G1711" t="inlineStr">
        <is>
          <t>CLP-020</t>
        </is>
      </c>
      <c r="H1711" t="inlineStr">
        <is>
          <t>Protocolo</t>
        </is>
      </c>
      <c r="I1711">
        <v>6</v>
      </c>
      <c r="J1711" t="inlineStr">
        <is>
          <t>Drenagem Superficial</t>
        </is>
      </c>
      <c r="K1711" t="inlineStr">
        <is>
          <t>6.1</t>
        </is>
      </c>
      <c r="L1711" t="inlineStr">
        <is>
          <t>VPC 01</t>
        </is>
      </c>
      <c r="M1711" t="inlineStr">
        <is>
          <t>Dispositivo não executado</t>
        </is>
      </c>
      <c r="N1711" t="inlineStr">
        <is>
          <t>Não executado.</t>
        </is>
      </c>
      <c r="O1711" t="inlineStr">
        <is>
          <t>Tipo A</t>
        </is>
      </c>
      <c r="P1711" t="inlineStr">
        <is>
          <t>35+333</t>
        </is>
      </c>
      <c r="Q1711">
        <v>35569</v>
      </c>
      <c r="R1711" t="inlineStr">
        <is>
          <t>Aberta</t>
        </is>
      </c>
      <c r="T1711" t="inlineStr">
        <is>
          <t>Aline Batista</t>
        </is>
      </c>
      <c r="U1711" t="inlineStr">
        <is>
          <t>29/05/2026</t>
        </is>
      </c>
      <c r="V1711" t="inlineStr">
        <is>
          <t>05/06/2026</t>
        </is>
      </c>
      <c r="W1711">
        <v>5</v>
      </c>
      <c r="AA1711" t="inlineStr">
        <is>
          <t>Aberta -30 dias</t>
        </is>
      </c>
      <c r="AB1711" t="inlineStr">
        <is>
          <t>EMPA</t>
        </is>
      </c>
      <c r="AC1711" t="inlineStr">
        <is>
          <t>Aline</t>
        </is>
      </c>
      <c r="AD1711" t="inlineStr">
        <is>
          <t>31/08/2026</t>
        </is>
      </c>
      <c r="AE1711" t="inlineStr">
        <is>
          <t>10/09/2026</t>
        </is>
      </c>
      <c r="AF1711" t="inlineStr">
        <is>
          <t>Prazo Premissa VALE</t>
        </is>
      </c>
    </row>
    <row r="1712">
      <c r="A1712">
        <v>1710</v>
      </c>
      <c r="B1712">
        <v>1</v>
      </c>
      <c r="C1712" t="inlineStr">
        <is>
          <t>1.4A</t>
        </is>
      </c>
      <c r="D1712" t="inlineStr">
        <is>
          <t>A05</t>
        </is>
      </c>
      <c r="E1712" t="inlineStr">
        <is>
          <t>LD</t>
        </is>
      </c>
      <c r="F1712" t="inlineStr">
        <is>
          <t>EMPA</t>
        </is>
      </c>
      <c r="G1712" t="inlineStr">
        <is>
          <t>CLP-020</t>
        </is>
      </c>
      <c r="H1712" t="inlineStr">
        <is>
          <t>Protocolo</t>
        </is>
      </c>
      <c r="I1712">
        <v>6</v>
      </c>
      <c r="J1712" t="inlineStr">
        <is>
          <t>Drenagem Superficial</t>
        </is>
      </c>
      <c r="K1712" t="inlineStr">
        <is>
          <t>6.1</t>
        </is>
      </c>
      <c r="L1712" t="inlineStr">
        <is>
          <t>VPC 01</t>
        </is>
      </c>
      <c r="M1712" t="inlineStr">
        <is>
          <t>Dispositivo não executado</t>
        </is>
      </c>
      <c r="N1712" t="inlineStr">
        <is>
          <t>Não executado.</t>
        </is>
      </c>
      <c r="O1712" t="inlineStr">
        <is>
          <t>Tipo A</t>
        </is>
      </c>
      <c r="P1712" t="inlineStr">
        <is>
          <t>35+400</t>
        </is>
      </c>
      <c r="Q1712">
        <v>35540</v>
      </c>
      <c r="R1712" t="inlineStr">
        <is>
          <t>Aberta</t>
        </is>
      </c>
      <c r="T1712" t="inlineStr">
        <is>
          <t>Aline Batista</t>
        </is>
      </c>
      <c r="U1712" t="inlineStr">
        <is>
          <t>29/05/2026</t>
        </is>
      </c>
      <c r="V1712" t="inlineStr">
        <is>
          <t>05/06/2026</t>
        </is>
      </c>
      <c r="W1712">
        <v>5</v>
      </c>
      <c r="AA1712" t="inlineStr">
        <is>
          <t>Aberta -30 dias</t>
        </is>
      </c>
      <c r="AB1712" t="inlineStr">
        <is>
          <t>EMPA</t>
        </is>
      </c>
      <c r="AC1712" t="inlineStr">
        <is>
          <t>Aline</t>
        </is>
      </c>
      <c r="AD1712" t="inlineStr">
        <is>
          <t>31/08/2026</t>
        </is>
      </c>
      <c r="AE1712" t="inlineStr">
        <is>
          <t>10/09/2026</t>
        </is>
      </c>
      <c r="AF1712" t="inlineStr">
        <is>
          <t>Prazo Premissa VALE</t>
        </is>
      </c>
    </row>
    <row r="1713">
      <c r="A1713">
        <v>1711</v>
      </c>
      <c r="B1713">
        <v>1</v>
      </c>
      <c r="C1713" t="inlineStr">
        <is>
          <t>1.4A</t>
        </is>
      </c>
      <c r="D1713" t="inlineStr">
        <is>
          <t>A05</t>
        </is>
      </c>
      <c r="E1713" t="inlineStr">
        <is>
          <t>LD</t>
        </is>
      </c>
      <c r="F1713" t="inlineStr">
        <is>
          <t>EMPA</t>
        </is>
      </c>
      <c r="G1713" t="inlineStr">
        <is>
          <t>CLP-020</t>
        </is>
      </c>
      <c r="H1713" t="inlineStr">
        <is>
          <t>Protocolo</t>
        </is>
      </c>
      <c r="I1713">
        <v>6</v>
      </c>
      <c r="J1713" t="inlineStr">
        <is>
          <t>Drenagem Superficial</t>
        </is>
      </c>
      <c r="K1713" t="inlineStr">
        <is>
          <t>6.3</t>
        </is>
      </c>
      <c r="L1713" t="inlineStr">
        <is>
          <t>DVS 02</t>
        </is>
      </c>
      <c r="M1713" t="inlineStr">
        <is>
          <t>Dispositivo não executado</t>
        </is>
      </c>
      <c r="N1713" t="inlineStr">
        <is>
          <t>Não executado.</t>
        </is>
      </c>
      <c r="O1713" t="inlineStr">
        <is>
          <t>Tipo A</t>
        </is>
      </c>
      <c r="P1713" t="inlineStr">
        <is>
          <t>35+540</t>
        </is>
      </c>
      <c r="Q1713">
        <v>35540</v>
      </c>
      <c r="R1713" t="inlineStr">
        <is>
          <t>Aberta</t>
        </is>
      </c>
      <c r="T1713" t="inlineStr">
        <is>
          <t>Aline Batista</t>
        </is>
      </c>
      <c r="U1713" t="inlineStr">
        <is>
          <t>29/05/2026</t>
        </is>
      </c>
      <c r="V1713" t="inlineStr">
        <is>
          <t>05/06/2026</t>
        </is>
      </c>
      <c r="W1713">
        <v>5</v>
      </c>
      <c r="AA1713" t="inlineStr">
        <is>
          <t>Aberta -30 dias</t>
        </is>
      </c>
      <c r="AB1713" t="inlineStr">
        <is>
          <t>EMPA</t>
        </is>
      </c>
      <c r="AC1713" t="inlineStr">
        <is>
          <t>Aline</t>
        </is>
      </c>
      <c r="AD1713" t="inlineStr">
        <is>
          <t>31/08/2026</t>
        </is>
      </c>
      <c r="AE1713" t="inlineStr">
        <is>
          <t>10/09/2026</t>
        </is>
      </c>
      <c r="AF1713" t="inlineStr">
        <is>
          <t>Prazo Premissa VALE</t>
        </is>
      </c>
    </row>
    <row r="1714">
      <c r="A1714">
        <v>1712</v>
      </c>
      <c r="B1714">
        <v>1</v>
      </c>
      <c r="C1714" t="inlineStr">
        <is>
          <t>1.4A</t>
        </is>
      </c>
      <c r="D1714" t="inlineStr">
        <is>
          <t>A05</t>
        </is>
      </c>
      <c r="E1714" t="inlineStr">
        <is>
          <t>LE</t>
        </is>
      </c>
      <c r="F1714" t="inlineStr">
        <is>
          <t>EMPA</t>
        </is>
      </c>
      <c r="G1714" t="inlineStr">
        <is>
          <t>CLP-020</t>
        </is>
      </c>
      <c r="H1714" t="inlineStr">
        <is>
          <t>Protocolo</t>
        </is>
      </c>
      <c r="I1714">
        <v>6</v>
      </c>
      <c r="J1714" t="inlineStr">
        <is>
          <t>Drenagem Superficial</t>
        </is>
      </c>
      <c r="K1714" t="inlineStr">
        <is>
          <t>6.1</t>
        </is>
      </c>
      <c r="L1714" t="inlineStr">
        <is>
          <t>VPC 01</t>
        </is>
      </c>
      <c r="M1714" t="inlineStr">
        <is>
          <t>Dispositivo não executado</t>
        </is>
      </c>
      <c r="N1714" t="inlineStr">
        <is>
          <t>Não executado.</t>
        </is>
      </c>
      <c r="O1714" t="inlineStr">
        <is>
          <t>Tipo A</t>
        </is>
      </c>
      <c r="P1714" t="inlineStr">
        <is>
          <t>35+645</t>
        </is>
      </c>
      <c r="Q1714">
        <v>35563</v>
      </c>
      <c r="R1714" t="inlineStr">
        <is>
          <t>Aberta</t>
        </is>
      </c>
      <c r="T1714" t="inlineStr">
        <is>
          <t>Aline Batista</t>
        </is>
      </c>
      <c r="U1714" t="inlineStr">
        <is>
          <t>29/05/2026</t>
        </is>
      </c>
      <c r="V1714" t="inlineStr">
        <is>
          <t>05/06/2026</t>
        </is>
      </c>
      <c r="W1714">
        <v>5</v>
      </c>
      <c r="AA1714" t="inlineStr">
        <is>
          <t>Aberta -30 dias</t>
        </is>
      </c>
      <c r="AB1714" t="inlineStr">
        <is>
          <t>EMPA</t>
        </is>
      </c>
      <c r="AC1714" t="inlineStr">
        <is>
          <t>Aline</t>
        </is>
      </c>
      <c r="AD1714" t="inlineStr">
        <is>
          <t>31/08/2026</t>
        </is>
      </c>
      <c r="AE1714" t="inlineStr">
        <is>
          <t>10/09/2026</t>
        </is>
      </c>
      <c r="AF1714" t="inlineStr">
        <is>
          <t>Prazo Premissa VALE</t>
        </is>
      </c>
    </row>
    <row r="1715">
      <c r="A1715">
        <v>1713</v>
      </c>
      <c r="B1715">
        <v>1</v>
      </c>
      <c r="C1715" t="inlineStr">
        <is>
          <t>1.4A</t>
        </is>
      </c>
      <c r="D1715" t="inlineStr">
        <is>
          <t>A05</t>
        </is>
      </c>
      <c r="E1715" t="inlineStr">
        <is>
          <t>LE</t>
        </is>
      </c>
      <c r="F1715" t="inlineStr">
        <is>
          <t>EMPA</t>
        </is>
      </c>
      <c r="G1715" t="inlineStr">
        <is>
          <t>CLP-020</t>
        </is>
      </c>
      <c r="H1715" t="inlineStr">
        <is>
          <t>Protocolo</t>
        </is>
      </c>
      <c r="I1715">
        <v>6</v>
      </c>
      <c r="J1715" t="inlineStr">
        <is>
          <t>Drenagem Superficial</t>
        </is>
      </c>
      <c r="K1715" t="inlineStr">
        <is>
          <t>6.1</t>
        </is>
      </c>
      <c r="L1715" t="inlineStr">
        <is>
          <t>VPC 03</t>
        </is>
      </c>
      <c r="M1715" t="inlineStr">
        <is>
          <t>Dispositivo não executado</t>
        </is>
      </c>
      <c r="N1715" t="inlineStr">
        <is>
          <t>Não executado.</t>
        </is>
      </c>
      <c r="O1715" t="inlineStr">
        <is>
          <t>Tipo A</t>
        </is>
      </c>
      <c r="P1715" t="inlineStr">
        <is>
          <t>35+645</t>
        </is>
      </c>
      <c r="Q1715">
        <v>35791</v>
      </c>
      <c r="R1715" t="inlineStr">
        <is>
          <t>Aberta</t>
        </is>
      </c>
      <c r="T1715" t="inlineStr">
        <is>
          <t>Aline Batista</t>
        </is>
      </c>
      <c r="U1715" t="inlineStr">
        <is>
          <t>29/05/2026</t>
        </is>
      </c>
      <c r="V1715" t="inlineStr">
        <is>
          <t>05/06/2026</t>
        </is>
      </c>
      <c r="W1715">
        <v>5</v>
      </c>
      <c r="AA1715" t="inlineStr">
        <is>
          <t>Aberta -30 dias</t>
        </is>
      </c>
      <c r="AB1715" t="inlineStr">
        <is>
          <t>EMPA</t>
        </is>
      </c>
      <c r="AC1715" t="inlineStr">
        <is>
          <t>Aline</t>
        </is>
      </c>
      <c r="AD1715" t="inlineStr">
        <is>
          <t>31/08/2026</t>
        </is>
      </c>
      <c r="AE1715" t="inlineStr">
        <is>
          <t>10/09/2026</t>
        </is>
      </c>
      <c r="AF1715" t="inlineStr">
        <is>
          <t>Prazo Premissa VALE</t>
        </is>
      </c>
    </row>
    <row r="1716">
      <c r="A1716">
        <v>1714</v>
      </c>
      <c r="B1716">
        <v>1</v>
      </c>
      <c r="C1716" t="inlineStr">
        <is>
          <t>1.4A</t>
        </is>
      </c>
      <c r="D1716" t="inlineStr">
        <is>
          <t>A05</t>
        </is>
      </c>
      <c r="E1716" t="inlineStr">
        <is>
          <t>LE</t>
        </is>
      </c>
      <c r="F1716" t="inlineStr">
        <is>
          <t>EMPA</t>
        </is>
      </c>
      <c r="G1716" t="inlineStr">
        <is>
          <t>CLP-020</t>
        </is>
      </c>
      <c r="H1716" t="inlineStr">
        <is>
          <t>Protocolo</t>
        </is>
      </c>
      <c r="I1716">
        <v>6</v>
      </c>
      <c r="J1716" t="inlineStr">
        <is>
          <t>Drenagem Superficial</t>
        </is>
      </c>
      <c r="K1716" t="inlineStr">
        <is>
          <t>6.1</t>
        </is>
      </c>
      <c r="L1716" t="inlineStr">
        <is>
          <t>VPC 01</t>
        </is>
      </c>
      <c r="M1716" t="inlineStr">
        <is>
          <t>Dispositivo não executado</t>
        </is>
      </c>
      <c r="N1716" t="inlineStr">
        <is>
          <t>Não executado.</t>
        </is>
      </c>
      <c r="O1716" t="inlineStr">
        <is>
          <t>Tipo A</t>
        </is>
      </c>
      <c r="P1716" t="inlineStr">
        <is>
          <t>35+934</t>
        </is>
      </c>
      <c r="Q1716">
        <v>35803</v>
      </c>
      <c r="R1716" t="inlineStr">
        <is>
          <t>Aberta</t>
        </is>
      </c>
      <c r="T1716" t="inlineStr">
        <is>
          <t>Aline Batista</t>
        </is>
      </c>
      <c r="U1716" t="inlineStr">
        <is>
          <t>29/05/2026</t>
        </is>
      </c>
      <c r="V1716" t="inlineStr">
        <is>
          <t>05/06/2026</t>
        </is>
      </c>
      <c r="W1716">
        <v>5</v>
      </c>
      <c r="AA1716" t="inlineStr">
        <is>
          <t>Aberta -30 dias</t>
        </is>
      </c>
      <c r="AB1716" t="inlineStr">
        <is>
          <t>EMPA</t>
        </is>
      </c>
      <c r="AC1716" t="inlineStr">
        <is>
          <t>Aline</t>
        </is>
      </c>
      <c r="AD1716" t="inlineStr">
        <is>
          <t>31/08/2026</t>
        </is>
      </c>
      <c r="AE1716" t="inlineStr">
        <is>
          <t>10/09/2026</t>
        </is>
      </c>
      <c r="AF1716" t="inlineStr">
        <is>
          <t>Prazo Premissa VALE</t>
        </is>
      </c>
    </row>
    <row r="1717">
      <c r="A1717">
        <v>1715</v>
      </c>
      <c r="B1717">
        <v>1</v>
      </c>
      <c r="C1717" t="inlineStr">
        <is>
          <t>1.4A</t>
        </is>
      </c>
      <c r="D1717" t="inlineStr">
        <is>
          <t>A01</t>
        </is>
      </c>
      <c r="E1717" t="inlineStr">
        <is>
          <t>LD</t>
        </is>
      </c>
      <c r="F1717" t="inlineStr">
        <is>
          <t>EMPA</t>
        </is>
      </c>
      <c r="G1717" t="inlineStr">
        <is>
          <t>CLP-020</t>
        </is>
      </c>
      <c r="H1717" t="inlineStr">
        <is>
          <t>Fiscalização</t>
        </is>
      </c>
      <c r="I1717">
        <v>6</v>
      </c>
      <c r="J1717" t="inlineStr">
        <is>
          <t>Drenagem Superficial</t>
        </is>
      </c>
      <c r="K1717" t="inlineStr">
        <is>
          <t>6.10</t>
        </is>
      </c>
      <c r="L1717" t="inlineStr">
        <is>
          <t>Drenagem Superficial</t>
        </is>
      </c>
      <c r="M1717" t="inlineStr">
        <is>
          <t>Obstrução do dispositivo</t>
        </is>
      </c>
      <c r="N1717" t="inlineStr">
        <is>
          <t>Drenagem obstruída por acúmulo de material</t>
        </is>
      </c>
      <c r="O1717" t="inlineStr">
        <is>
          <t>Tipo A</t>
        </is>
      </c>
      <c r="P1717" t="inlineStr">
        <is>
          <t>31+050</t>
        </is>
      </c>
      <c r="Q1717">
        <v>31840</v>
      </c>
      <c r="R1717" t="inlineStr">
        <is>
          <t>Aberta</t>
        </is>
      </c>
      <c r="T1717" t="inlineStr">
        <is>
          <t>Aline Batista</t>
        </is>
      </c>
      <c r="U1717" t="inlineStr">
        <is>
          <t>29/05/2026</t>
        </is>
      </c>
      <c r="V1717" t="inlineStr">
        <is>
          <t>05/06/2026</t>
        </is>
      </c>
      <c r="W1717">
        <v>5</v>
      </c>
      <c r="AA1717" t="inlineStr">
        <is>
          <t>Aberta -30 dias</t>
        </is>
      </c>
      <c r="AB1717" t="inlineStr">
        <is>
          <t>EMPA</t>
        </is>
      </c>
      <c r="AC1717" t="inlineStr">
        <is>
          <t>Aline</t>
        </is>
      </c>
      <c r="AD1717" t="inlineStr">
        <is>
          <t>17/08/2026</t>
        </is>
      </c>
      <c r="AE1717" t="inlineStr">
        <is>
          <t>28/08/2026</t>
        </is>
      </c>
      <c r="AF1717" t="inlineStr">
        <is>
          <t>Prazo Premissa VALE</t>
        </is>
      </c>
    </row>
    <row r="1718">
      <c r="A1718">
        <v>1716</v>
      </c>
      <c r="B1718">
        <v>1</v>
      </c>
      <c r="C1718" t="inlineStr">
        <is>
          <t>1.4A</t>
        </is>
      </c>
      <c r="D1718" t="inlineStr">
        <is>
          <t>A01</t>
        </is>
      </c>
      <c r="E1718" t="inlineStr">
        <is>
          <t>LE</t>
        </is>
      </c>
      <c r="F1718" t="inlineStr">
        <is>
          <t>EMPA</t>
        </is>
      </c>
      <c r="G1718" t="inlineStr">
        <is>
          <t>CLP-020</t>
        </is>
      </c>
      <c r="H1718" t="inlineStr">
        <is>
          <t>Fiscalização</t>
        </is>
      </c>
      <c r="I1718">
        <v>6</v>
      </c>
      <c r="J1718" t="inlineStr">
        <is>
          <t>Drenagem Superficial</t>
        </is>
      </c>
      <c r="K1718" t="inlineStr">
        <is>
          <t>6.10</t>
        </is>
      </c>
      <c r="L1718" t="inlineStr">
        <is>
          <t>Drenagem Superficial</t>
        </is>
      </c>
      <c r="M1718" t="inlineStr">
        <is>
          <t>Obstrução do dispositivo</t>
        </is>
      </c>
      <c r="N1718" t="inlineStr">
        <is>
          <t>Drenagem obstruída por acúmulo de material</t>
        </is>
      </c>
      <c r="O1718" t="inlineStr">
        <is>
          <t>Tipo A</t>
        </is>
      </c>
      <c r="P1718" t="inlineStr">
        <is>
          <t>31+050</t>
        </is>
      </c>
      <c r="Q1718">
        <v>31840</v>
      </c>
      <c r="R1718" t="inlineStr">
        <is>
          <t>Aberta</t>
        </is>
      </c>
      <c r="T1718" t="inlineStr">
        <is>
          <t>Aline Batista</t>
        </is>
      </c>
      <c r="U1718" t="inlineStr">
        <is>
          <t>29/05/2026</t>
        </is>
      </c>
      <c r="V1718" t="inlineStr">
        <is>
          <t>05/06/2026</t>
        </is>
      </c>
      <c r="W1718">
        <v>5</v>
      </c>
      <c r="AA1718" t="inlineStr">
        <is>
          <t>Aberta -30 dias</t>
        </is>
      </c>
      <c r="AB1718" t="inlineStr">
        <is>
          <t>EMPA</t>
        </is>
      </c>
      <c r="AC1718" t="inlineStr">
        <is>
          <t>Aline</t>
        </is>
      </c>
      <c r="AD1718" t="inlineStr">
        <is>
          <t>17/08/2026</t>
        </is>
      </c>
      <c r="AE1718" t="inlineStr">
        <is>
          <t>28/08/2026</t>
        </is>
      </c>
      <c r="AF1718" t="inlineStr">
        <is>
          <t>Prazo Premissa VALE</t>
        </is>
      </c>
    </row>
    <row r="1719">
      <c r="A1719">
        <v>1717</v>
      </c>
      <c r="B1719">
        <v>1</v>
      </c>
      <c r="C1719" t="inlineStr">
        <is>
          <t>1.4A</t>
        </is>
      </c>
      <c r="D1719" t="inlineStr">
        <is>
          <t>A02</t>
        </is>
      </c>
      <c r="E1719" t="inlineStr">
        <is>
          <t>LD/LE</t>
        </is>
      </c>
      <c r="F1719" t="inlineStr">
        <is>
          <t>EMPA</t>
        </is>
      </c>
      <c r="G1719" t="inlineStr">
        <is>
          <t>CLP-020</t>
        </is>
      </c>
      <c r="H1719" t="inlineStr">
        <is>
          <t>Fiscalização</t>
        </is>
      </c>
      <c r="I1719">
        <v>6</v>
      </c>
      <c r="J1719" t="inlineStr">
        <is>
          <t>Drenagem Superficial</t>
        </is>
      </c>
      <c r="K1719" t="inlineStr">
        <is>
          <t>6.10</t>
        </is>
      </c>
      <c r="L1719" t="inlineStr">
        <is>
          <t>Drenagem Superficial</t>
        </is>
      </c>
      <c r="M1719" t="inlineStr">
        <is>
          <t>Obstrução do dispositivo</t>
        </is>
      </c>
      <c r="N1719" t="inlineStr">
        <is>
          <t>Drenagem obstruída por acúmulo de material</t>
        </is>
      </c>
      <c r="O1719" t="inlineStr">
        <is>
          <t>Tipo A</t>
        </is>
      </c>
      <c r="P1719" t="inlineStr">
        <is>
          <t>31+870</t>
        </is>
      </c>
      <c r="Q1719">
        <v>33180</v>
      </c>
      <c r="R1719" t="inlineStr">
        <is>
          <t>Aberta</t>
        </is>
      </c>
      <c r="T1719" t="inlineStr">
        <is>
          <t>Aline Batista</t>
        </is>
      </c>
      <c r="U1719" t="inlineStr">
        <is>
          <t>29/05/2026</t>
        </is>
      </c>
      <c r="V1719" t="inlineStr">
        <is>
          <t>05/06/2026</t>
        </is>
      </c>
      <c r="W1719">
        <v>5</v>
      </c>
      <c r="AA1719" t="inlineStr">
        <is>
          <t>Aberta -30 dias</t>
        </is>
      </c>
      <c r="AB1719" t="inlineStr">
        <is>
          <t>EMPA</t>
        </is>
      </c>
      <c r="AC1719" t="inlineStr">
        <is>
          <t>Aline</t>
        </is>
      </c>
      <c r="AD1719" t="inlineStr">
        <is>
          <t>17/08/2026</t>
        </is>
      </c>
      <c r="AE1719" t="inlineStr">
        <is>
          <t>28/08/2026</t>
        </is>
      </c>
      <c r="AF1719" t="inlineStr">
        <is>
          <t>Prazo Premissa VALE</t>
        </is>
      </c>
    </row>
    <row r="1720">
      <c r="A1720">
        <v>1718</v>
      </c>
      <c r="B1720">
        <v>1</v>
      </c>
      <c r="C1720" t="inlineStr">
        <is>
          <t>1.4A</t>
        </is>
      </c>
      <c r="D1720" t="inlineStr">
        <is>
          <t>A04</t>
        </is>
      </c>
      <c r="E1720" t="inlineStr">
        <is>
          <t>LD/LE</t>
        </is>
      </c>
      <c r="F1720" t="inlineStr">
        <is>
          <t>EMPA</t>
        </is>
      </c>
      <c r="G1720" t="inlineStr">
        <is>
          <t>CLP-020</t>
        </is>
      </c>
      <c r="H1720" t="inlineStr">
        <is>
          <t>Protocolo</t>
        </is>
      </c>
      <c r="I1720">
        <v>6</v>
      </c>
      <c r="J1720" t="inlineStr">
        <is>
          <t>Drenagem Superficial</t>
        </is>
      </c>
      <c r="K1720" t="inlineStr">
        <is>
          <t>6.10</t>
        </is>
      </c>
      <c r="L1720" t="inlineStr">
        <is>
          <t>Drenagem Superficial</t>
        </is>
      </c>
      <c r="M1720" t="inlineStr">
        <is>
          <t>Obstrução do dispositivo</t>
        </is>
      </c>
      <c r="N1720" t="inlineStr">
        <is>
          <t>Drenagem obstruída por acúmulo de material</t>
        </is>
      </c>
      <c r="O1720" t="inlineStr">
        <is>
          <t>Tipo A</t>
        </is>
      </c>
      <c r="P1720" t="inlineStr">
        <is>
          <t>34+500</t>
        </is>
      </c>
      <c r="Q1720">
        <v>34710</v>
      </c>
      <c r="R1720" t="inlineStr">
        <is>
          <t>Aberta</t>
        </is>
      </c>
      <c r="T1720" t="inlineStr">
        <is>
          <t>Aline Batista</t>
        </is>
      </c>
      <c r="U1720" t="inlineStr">
        <is>
          <t>29/05/2026</t>
        </is>
      </c>
      <c r="V1720" t="inlineStr">
        <is>
          <t>05/06/2026</t>
        </is>
      </c>
      <c r="W1720">
        <v>5</v>
      </c>
      <c r="AA1720" t="inlineStr">
        <is>
          <t>Aberta -30 dias</t>
        </is>
      </c>
      <c r="AB1720" t="inlineStr">
        <is>
          <t>EMPA</t>
        </is>
      </c>
      <c r="AC1720" t="inlineStr">
        <is>
          <t>Aline</t>
        </is>
      </c>
      <c r="AD1720" t="inlineStr">
        <is>
          <t>31/08/2026</t>
        </is>
      </c>
      <c r="AE1720" t="inlineStr">
        <is>
          <t>10/09/2026</t>
        </is>
      </c>
      <c r="AF1720" t="inlineStr">
        <is>
          <t>Prazo Premissa VALE</t>
        </is>
      </c>
    </row>
    <row r="1721">
      <c r="A1721">
        <v>1719</v>
      </c>
      <c r="B1721">
        <v>1</v>
      </c>
      <c r="C1721" t="inlineStr">
        <is>
          <t>1.4A</t>
        </is>
      </c>
      <c r="D1721" t="inlineStr">
        <is>
          <t>C08</t>
        </is>
      </c>
      <c r="E1721" t="inlineStr">
        <is>
          <t>LD/LE</t>
        </is>
      </c>
      <c r="F1721" t="inlineStr">
        <is>
          <t>EMPA</t>
        </is>
      </c>
      <c r="G1721" t="inlineStr">
        <is>
          <t>CLP-020</t>
        </is>
      </c>
      <c r="H1721" t="inlineStr">
        <is>
          <t>Protocolo</t>
        </is>
      </c>
      <c r="I1721">
        <v>6</v>
      </c>
      <c r="J1721" t="inlineStr">
        <is>
          <t>Drenagem Superficial</t>
        </is>
      </c>
      <c r="K1721" t="inlineStr">
        <is>
          <t>6.10</t>
        </is>
      </c>
      <c r="L1721" t="inlineStr">
        <is>
          <t>Drenagem superficial</t>
        </is>
      </c>
      <c r="M1721" t="inlineStr">
        <is>
          <t>Obstrução do dispositivo</t>
        </is>
      </c>
      <c r="N1721" t="inlineStr">
        <is>
          <t>Drenagem obstruída por acúmulo de material</t>
        </is>
      </c>
      <c r="O1721" t="inlineStr">
        <is>
          <t>Tipo A</t>
        </is>
      </c>
      <c r="P1721" t="inlineStr">
        <is>
          <t>36+150</t>
        </is>
      </c>
      <c r="Q1721">
        <v>36440</v>
      </c>
      <c r="R1721" t="inlineStr">
        <is>
          <t>Aberta</t>
        </is>
      </c>
      <c r="T1721" t="inlineStr">
        <is>
          <t>Aline Batista</t>
        </is>
      </c>
      <c r="U1721" t="inlineStr">
        <is>
          <t>29/05/2026</t>
        </is>
      </c>
      <c r="V1721" t="inlineStr">
        <is>
          <t>05/06/2026</t>
        </is>
      </c>
      <c r="W1721">
        <v>5</v>
      </c>
      <c r="AA1721" t="inlineStr">
        <is>
          <t>Aberta -30 dias</t>
        </is>
      </c>
      <c r="AB1721" t="inlineStr">
        <is>
          <t>EMPA</t>
        </is>
      </c>
      <c r="AC1721" t="inlineStr">
        <is>
          <t>Aline</t>
        </is>
      </c>
      <c r="AD1721" t="inlineStr">
        <is>
          <t>31/08/2026</t>
        </is>
      </c>
      <c r="AE1721" t="inlineStr">
        <is>
          <t>10/09/2026</t>
        </is>
      </c>
      <c r="AF1721" t="inlineStr">
        <is>
          <t>Prazo Premissa VALE</t>
        </is>
      </c>
    </row>
    <row r="1722">
      <c r="A1722">
        <v>1720</v>
      </c>
      <c r="B1722">
        <v>1</v>
      </c>
      <c r="C1722" t="inlineStr">
        <is>
          <t>1.4A</t>
        </is>
      </c>
      <c r="D1722" t="inlineStr">
        <is>
          <t>C08</t>
        </is>
      </c>
      <c r="E1722" t="inlineStr">
        <is>
          <t>LD/LE</t>
        </is>
      </c>
      <c r="F1722" t="inlineStr">
        <is>
          <t>EMPA</t>
        </is>
      </c>
      <c r="G1722" t="inlineStr">
        <is>
          <t>CLP-020</t>
        </is>
      </c>
      <c r="H1722" t="inlineStr">
        <is>
          <t>Protocolo</t>
        </is>
      </c>
      <c r="I1722">
        <v>6</v>
      </c>
      <c r="J1722" t="inlineStr">
        <is>
          <t>Drenagem Superficial</t>
        </is>
      </c>
      <c r="K1722" t="inlineStr">
        <is>
          <t>6.10</t>
        </is>
      </c>
      <c r="L1722" t="inlineStr">
        <is>
          <t>Drenagem superficial</t>
        </is>
      </c>
      <c r="M1722" t="inlineStr">
        <is>
          <t>Obstrução do dispositivo</t>
        </is>
      </c>
      <c r="N1722" t="inlineStr">
        <is>
          <t>Drenagem obstruída por acúmulo de material</t>
        </is>
      </c>
      <c r="O1722" t="inlineStr">
        <is>
          <t>Tipo A</t>
        </is>
      </c>
      <c r="P1722" t="inlineStr">
        <is>
          <t>36+440</t>
        </is>
      </c>
      <c r="Q1722">
        <v>36700</v>
      </c>
      <c r="R1722" t="inlineStr">
        <is>
          <t>Aberta</t>
        </is>
      </c>
      <c r="T1722" t="inlineStr">
        <is>
          <t>Aline Batista</t>
        </is>
      </c>
      <c r="U1722" t="inlineStr">
        <is>
          <t>29/05/2026</t>
        </is>
      </c>
      <c r="V1722" t="inlineStr">
        <is>
          <t>05/06/2026</t>
        </is>
      </c>
      <c r="W1722">
        <v>5</v>
      </c>
      <c r="AA1722" t="inlineStr">
        <is>
          <t>Aberta -30 dias</t>
        </is>
      </c>
      <c r="AB1722" t="inlineStr">
        <is>
          <t>EMPA</t>
        </is>
      </c>
      <c r="AC1722" t="inlineStr">
        <is>
          <t>Aline</t>
        </is>
      </c>
      <c r="AD1722" t="inlineStr">
        <is>
          <t>31/08/2026</t>
        </is>
      </c>
      <c r="AE1722" t="inlineStr">
        <is>
          <t>10/09/2026</t>
        </is>
      </c>
      <c r="AF1722" t="inlineStr">
        <is>
          <t>Prazo Premissa VALE</t>
        </is>
      </c>
    </row>
    <row r="1723">
      <c r="A1723">
        <v>1721</v>
      </c>
      <c r="B1723">
        <v>1</v>
      </c>
      <c r="C1723" t="inlineStr">
        <is>
          <t>1.4A</t>
        </is>
      </c>
      <c r="D1723" t="inlineStr">
        <is>
          <t>C05</t>
        </is>
      </c>
      <c r="E1723" t="inlineStr">
        <is>
          <t>E/D</t>
        </is>
      </c>
      <c r="F1723" t="inlineStr">
        <is>
          <t>VALE</t>
        </is>
      </c>
      <c r="G1723" t="inlineStr">
        <is>
          <t>CLP-015</t>
        </is>
      </c>
      <c r="H1723" t="inlineStr">
        <is>
          <t>Protocolo</t>
        </is>
      </c>
      <c r="I1723">
        <v>6</v>
      </c>
      <c r="J1723" t="inlineStr">
        <is>
          <t>Drenagem Superficial</t>
        </is>
      </c>
      <c r="K1723" t="inlineStr">
        <is>
          <t>5.5</t>
        </is>
      </c>
      <c r="L1723" t="inlineStr">
        <is>
          <t>DSH</t>
        </is>
      </c>
      <c r="M1723" t="inlineStr">
        <is>
          <t>Dispositivo não executado</t>
        </is>
      </c>
      <c r="N1723" t="inlineStr">
        <is>
          <t>Drenos Sub-horizontais executados sem BSD</t>
        </is>
      </c>
      <c r="O1723" t="inlineStr">
        <is>
          <t>Tipo A</t>
        </is>
      </c>
      <c r="P1723" t="inlineStr">
        <is>
          <t>34+680</t>
        </is>
      </c>
      <c r="Q1723" t="inlineStr">
        <is>
          <t>35+180</t>
        </is>
      </c>
      <c r="R1723" t="inlineStr">
        <is>
          <t>Aberta</t>
        </is>
      </c>
      <c r="T1723" t="inlineStr">
        <is>
          <t>Aline Batista</t>
        </is>
      </c>
      <c r="U1723" t="inlineStr">
        <is>
          <t>25/05/2026</t>
        </is>
      </c>
      <c r="V1723" t="inlineStr">
        <is>
          <t>01/06/2026</t>
        </is>
      </c>
      <c r="W1723">
        <v>9</v>
      </c>
      <c r="AA1723" t="inlineStr">
        <is>
          <t>Aberta -30 dias</t>
        </is>
      </c>
      <c r="AB1723" t="inlineStr">
        <is>
          <t>CT-REMANESCENTE</t>
        </is>
      </c>
      <c r="AC1723" t="inlineStr">
        <is>
          <t>Aline</t>
        </is>
      </c>
      <c r="AD1723" t="inlineStr">
        <is>
          <t>17/07/2026</t>
        </is>
      </c>
      <c r="AE1723" t="inlineStr">
        <is>
          <t>29/07/2026</t>
        </is>
      </c>
      <c r="AF1723" t="inlineStr">
        <is>
          <t>Prazo Premissa VALE</t>
        </is>
      </c>
    </row>
    <row r="1724">
      <c r="A1724">
        <v>1722</v>
      </c>
      <c r="B1724">
        <v>1</v>
      </c>
      <c r="C1724" t="inlineStr">
        <is>
          <t>1.4A</t>
        </is>
      </c>
      <c r="D1724" t="inlineStr">
        <is>
          <t>C05</t>
        </is>
      </c>
      <c r="E1724" t="inlineStr">
        <is>
          <t>LE</t>
        </is>
      </c>
      <c r="F1724" t="inlineStr">
        <is>
          <t>VALE</t>
        </is>
      </c>
      <c r="G1724" t="inlineStr">
        <is>
          <t>CLP-015</t>
        </is>
      </c>
      <c r="H1724" t="inlineStr">
        <is>
          <t>Protocolo</t>
        </is>
      </c>
      <c r="I1724">
        <v>6</v>
      </c>
      <c r="J1724" t="inlineStr">
        <is>
          <t>Drenagem Superficial</t>
        </is>
      </c>
      <c r="K1724" t="inlineStr">
        <is>
          <t>6.2</t>
        </is>
      </c>
      <c r="L1724" t="inlineStr">
        <is>
          <t>Drenagem superficial</t>
        </is>
      </c>
      <c r="M1724" t="inlineStr">
        <is>
          <t>Execuçao divergente do projeto</t>
        </is>
      </c>
      <c r="N1724" t="inlineStr">
        <is>
          <t xml:space="preserve">Verificado ponto baixo no dispositivo de drenagem, necessário evidência de cota de acordo com projeto do dispositivo executado. </t>
        </is>
      </c>
      <c r="O1724" t="inlineStr">
        <is>
          <t>Tipo A</t>
        </is>
      </c>
      <c r="P1724" t="inlineStr">
        <is>
          <t>35+040</t>
        </is>
      </c>
      <c r="Q1724" t="inlineStr">
        <is>
          <t>35+040</t>
        </is>
      </c>
      <c r="R1724" t="inlineStr">
        <is>
          <t>Aberta</t>
        </is>
      </c>
      <c r="T1724" t="inlineStr">
        <is>
          <t>Aline Batista</t>
        </is>
      </c>
      <c r="U1724" t="inlineStr">
        <is>
          <t>25/05/2026</t>
        </is>
      </c>
      <c r="V1724" t="inlineStr">
        <is>
          <t>01/06/2026</t>
        </is>
      </c>
      <c r="W1724">
        <v>9</v>
      </c>
      <c r="AA1724" t="inlineStr">
        <is>
          <t>Aberta -30 dias</t>
        </is>
      </c>
      <c r="AB1724" t="inlineStr">
        <is>
          <t>CT-REMANESCENTE</t>
        </is>
      </c>
      <c r="AC1724" t="inlineStr">
        <is>
          <t>Aline</t>
        </is>
      </c>
      <c r="AD1724" t="inlineStr">
        <is>
          <t>17/07/2026</t>
        </is>
      </c>
      <c r="AE1724" t="inlineStr">
        <is>
          <t>29/07/2026</t>
        </is>
      </c>
      <c r="AF1724" t="inlineStr">
        <is>
          <t>Prazo Premissa VALE</t>
        </is>
      </c>
    </row>
    <row r="1725">
      <c r="A1725">
        <v>1723</v>
      </c>
      <c r="B1725">
        <v>1</v>
      </c>
      <c r="C1725" t="inlineStr">
        <is>
          <t>1.4A</t>
        </is>
      </c>
      <c r="D1725" t="inlineStr">
        <is>
          <t>A05</t>
        </is>
      </c>
      <c r="E1725" t="inlineStr">
        <is>
          <t>E</t>
        </is>
      </c>
      <c r="F1725" t="inlineStr">
        <is>
          <t>EMPA</t>
        </is>
      </c>
      <c r="G1725" t="inlineStr">
        <is>
          <t>CLP-020</t>
        </is>
      </c>
      <c r="H1725" t="inlineStr">
        <is>
          <t>Protocolo</t>
        </is>
      </c>
      <c r="I1725">
        <v>6</v>
      </c>
      <c r="J1725" t="inlineStr">
        <is>
          <t>Drenagem Superficial</t>
        </is>
      </c>
      <c r="K1725" t="inlineStr">
        <is>
          <t>6.1</t>
        </is>
      </c>
      <c r="L1725" t="inlineStr">
        <is>
          <t>VPC</t>
        </is>
      </c>
      <c r="M1725" t="inlineStr">
        <is>
          <t>Execuçao divergente do projeto</t>
        </is>
      </c>
      <c r="N1725" t="inlineStr">
        <is>
          <t>Valeta executada em cima de material depositado gerando uma condição em que a água seguira pelo canal natural e não pelo dispositivo implantado.</t>
        </is>
      </c>
      <c r="O1725" t="inlineStr">
        <is>
          <t>Tipo A</t>
        </is>
      </c>
      <c r="P1725" t="inlineStr">
        <is>
          <t>35+220</t>
        </is>
      </c>
      <c r="Q1725" t="inlineStr">
        <is>
          <t>35+220</t>
        </is>
      </c>
      <c r="R1725" t="inlineStr">
        <is>
          <t>Aberta</t>
        </is>
      </c>
      <c r="T1725" t="inlineStr">
        <is>
          <t>Aline Batista</t>
        </is>
      </c>
      <c r="U1725" t="inlineStr">
        <is>
          <t>29/05/2026</t>
        </is>
      </c>
      <c r="V1725" t="inlineStr">
        <is>
          <t>05/06/2026</t>
        </is>
      </c>
      <c r="W1725">
        <v>5</v>
      </c>
      <c r="AA1725" t="inlineStr">
        <is>
          <t>Aberta -30 dias</t>
        </is>
      </c>
      <c r="AB1725" t="inlineStr">
        <is>
          <t>EMPA</t>
        </is>
      </c>
      <c r="AC1725" t="inlineStr">
        <is>
          <t>Aline</t>
        </is>
      </c>
      <c r="AD1725" t="inlineStr">
        <is>
          <t>31/08/2026</t>
        </is>
      </c>
      <c r="AE1725" t="inlineStr">
        <is>
          <t>10/09/2026</t>
        </is>
      </c>
      <c r="AF1725" t="inlineStr">
        <is>
          <t>Prazo Premissa VALE</t>
        </is>
      </c>
    </row>
    <row r="1726">
      <c r="A1726">
        <v>1724</v>
      </c>
      <c r="B1726">
        <v>1</v>
      </c>
      <c r="C1726" t="inlineStr">
        <is>
          <t>1.4A</t>
        </is>
      </c>
      <c r="D1726" t="inlineStr">
        <is>
          <t>A05</t>
        </is>
      </c>
      <c r="E1726" t="inlineStr">
        <is>
          <t>E</t>
        </is>
      </c>
      <c r="F1726" t="inlineStr">
        <is>
          <t>EMPA</t>
        </is>
      </c>
      <c r="G1726" t="inlineStr">
        <is>
          <t>CLP-020</t>
        </is>
      </c>
      <c r="H1726" t="inlineStr">
        <is>
          <t>Protocolo</t>
        </is>
      </c>
      <c r="I1726">
        <v>6</v>
      </c>
      <c r="J1726" t="inlineStr">
        <is>
          <t>Drenagem Superficial</t>
        </is>
      </c>
      <c r="K1726" t="inlineStr">
        <is>
          <t>6.1</t>
        </is>
      </c>
      <c r="L1726" t="inlineStr">
        <is>
          <t>VPC</t>
        </is>
      </c>
      <c r="M1726" t="inlineStr">
        <is>
          <t>Execuçao divergente do projeto</t>
        </is>
      </c>
      <c r="N1726" t="inlineStr">
        <is>
          <t>Valetas e bacia de capitação sendo executadas no material depositado (ADME).</t>
        </is>
      </c>
      <c r="O1726" t="inlineStr">
        <is>
          <t>Tipo A</t>
        </is>
      </c>
      <c r="P1726" t="inlineStr">
        <is>
          <t>35+310</t>
        </is>
      </c>
      <c r="Q1726" t="inlineStr">
        <is>
          <t>35+310</t>
        </is>
      </c>
      <c r="R1726" t="inlineStr">
        <is>
          <t>Aberta</t>
        </is>
      </c>
      <c r="T1726" t="inlineStr">
        <is>
          <t>Aline Batista</t>
        </is>
      </c>
      <c r="U1726" t="inlineStr">
        <is>
          <t>29/05/2026</t>
        </is>
      </c>
      <c r="V1726" t="inlineStr">
        <is>
          <t>05/06/2026</t>
        </is>
      </c>
      <c r="W1726">
        <v>5</v>
      </c>
      <c r="AA1726" t="inlineStr">
        <is>
          <t>Aberta -30 dias</t>
        </is>
      </c>
      <c r="AB1726" t="inlineStr">
        <is>
          <t>EMPA</t>
        </is>
      </c>
      <c r="AC1726" t="inlineStr">
        <is>
          <t>Aline</t>
        </is>
      </c>
      <c r="AD1726" t="inlineStr">
        <is>
          <t>31/08/2026</t>
        </is>
      </c>
      <c r="AE1726" t="inlineStr">
        <is>
          <t>10/09/2026</t>
        </is>
      </c>
      <c r="AF1726" t="inlineStr">
        <is>
          <t>Prazo Premissa VALE</t>
        </is>
      </c>
    </row>
    <row r="1727">
      <c r="A1727">
        <v>1725</v>
      </c>
      <c r="B1727">
        <v>1</v>
      </c>
      <c r="C1727" t="inlineStr">
        <is>
          <t>1.4A</t>
        </is>
      </c>
      <c r="D1727" t="inlineStr">
        <is>
          <t>A05</t>
        </is>
      </c>
      <c r="E1727" t="inlineStr">
        <is>
          <t>D</t>
        </is>
      </c>
      <c r="F1727" t="inlineStr">
        <is>
          <t>EMPA</t>
        </is>
      </c>
      <c r="G1727" t="inlineStr">
        <is>
          <t>CLP-020</t>
        </is>
      </c>
      <c r="H1727" t="inlineStr">
        <is>
          <t>Protocolo</t>
        </is>
      </c>
      <c r="I1727">
        <v>6</v>
      </c>
      <c r="J1727" t="inlineStr">
        <is>
          <t>Drenagem Superficial</t>
        </is>
      </c>
      <c r="K1727" t="inlineStr">
        <is>
          <t>6.3</t>
        </is>
      </c>
      <c r="L1727" t="inlineStr">
        <is>
          <t>DDA 01</t>
        </is>
      </c>
      <c r="M1727" t="inlineStr">
        <is>
          <t>Dispositivo não executado</t>
        </is>
      </c>
      <c r="N1727" t="inlineStr">
        <is>
          <t>Pendente execução do deságue da DDA conforme projeto.</t>
        </is>
      </c>
      <c r="O1727" t="inlineStr">
        <is>
          <t>Tipo A</t>
        </is>
      </c>
      <c r="P1727" t="inlineStr">
        <is>
          <t>35+455</t>
        </is>
      </c>
      <c r="Q1727" t="inlineStr">
        <is>
          <t>35+455</t>
        </is>
      </c>
      <c r="R1727" t="inlineStr">
        <is>
          <t>Aberta</t>
        </is>
      </c>
      <c r="T1727" t="inlineStr">
        <is>
          <t>Aline Batista</t>
        </is>
      </c>
      <c r="U1727" t="inlineStr">
        <is>
          <t>29/05/2026</t>
        </is>
      </c>
      <c r="V1727" t="inlineStr">
        <is>
          <t>05/06/2026</t>
        </is>
      </c>
      <c r="W1727">
        <v>5</v>
      </c>
      <c r="AA1727" t="inlineStr">
        <is>
          <t>Aberta -30 dias</t>
        </is>
      </c>
      <c r="AB1727" t="inlineStr">
        <is>
          <t>EMPA</t>
        </is>
      </c>
      <c r="AC1727" t="inlineStr">
        <is>
          <t>Aline</t>
        </is>
      </c>
      <c r="AD1727" t="inlineStr">
        <is>
          <t>31/08/2026</t>
        </is>
      </c>
      <c r="AE1727" t="inlineStr">
        <is>
          <t>10/09/2026</t>
        </is>
      </c>
      <c r="AF1727" t="inlineStr">
        <is>
          <t>Prazo Premissa VALE</t>
        </is>
      </c>
    </row>
    <row r="1728">
      <c r="A1728">
        <v>1726</v>
      </c>
      <c r="B1728">
        <v>1</v>
      </c>
      <c r="C1728" t="inlineStr">
        <is>
          <t>1.4A</t>
        </is>
      </c>
      <c r="D1728" t="inlineStr">
        <is>
          <t>A05</t>
        </is>
      </c>
      <c r="E1728" t="inlineStr">
        <is>
          <t>E</t>
        </is>
      </c>
      <c r="F1728" t="inlineStr">
        <is>
          <t>EMPA</t>
        </is>
      </c>
      <c r="G1728" t="inlineStr">
        <is>
          <t>CLP-020</t>
        </is>
      </c>
      <c r="H1728" t="inlineStr">
        <is>
          <t>Protocolo</t>
        </is>
      </c>
      <c r="I1728">
        <v>6</v>
      </c>
      <c r="J1728" t="inlineStr">
        <is>
          <t>Drenagem Superficial</t>
        </is>
      </c>
      <c r="K1728" t="inlineStr">
        <is>
          <t>6.3</t>
        </is>
      </c>
      <c r="L1728" t="inlineStr">
        <is>
          <t>DDA 01</t>
        </is>
      </c>
      <c r="M1728" t="inlineStr">
        <is>
          <t>Dispositivo não executado</t>
        </is>
      </c>
      <c r="N1728" t="inlineStr">
        <is>
          <t>Pendente execução do deságue da DDA conforme projeto.</t>
        </is>
      </c>
      <c r="O1728" t="inlineStr">
        <is>
          <t>Tipo A</t>
        </is>
      </c>
      <c r="P1728" t="inlineStr">
        <is>
          <t>35+480</t>
        </is>
      </c>
      <c r="Q1728" t="inlineStr">
        <is>
          <t>35+480</t>
        </is>
      </c>
      <c r="R1728" t="inlineStr">
        <is>
          <t>Aberta</t>
        </is>
      </c>
      <c r="T1728" t="inlineStr">
        <is>
          <t>Aline Batista</t>
        </is>
      </c>
      <c r="U1728" t="inlineStr">
        <is>
          <t>29/05/2026</t>
        </is>
      </c>
      <c r="V1728" t="inlineStr">
        <is>
          <t>05/06/2026</t>
        </is>
      </c>
      <c r="W1728">
        <v>5</v>
      </c>
      <c r="AA1728" t="inlineStr">
        <is>
          <t>Aberta -30 dias</t>
        </is>
      </c>
      <c r="AB1728" t="inlineStr">
        <is>
          <t>EMPA</t>
        </is>
      </c>
      <c r="AC1728" t="inlineStr">
        <is>
          <t>Aline</t>
        </is>
      </c>
      <c r="AD1728" t="inlineStr">
        <is>
          <t>31/08/2026</t>
        </is>
      </c>
      <c r="AE1728" t="inlineStr">
        <is>
          <t>10/09/2026</t>
        </is>
      </c>
      <c r="AF1728" t="inlineStr">
        <is>
          <t>Prazo Premissa VALE</t>
        </is>
      </c>
    </row>
    <row r="1729">
      <c r="A1729">
        <v>1727</v>
      </c>
      <c r="B1729">
        <v>1</v>
      </c>
      <c r="C1729" t="inlineStr">
        <is>
          <t>1.4A</t>
        </is>
      </c>
      <c r="D1729" t="inlineStr">
        <is>
          <t>A05</t>
        </is>
      </c>
      <c r="E1729" t="inlineStr">
        <is>
          <t xml:space="preserve">E </t>
        </is>
      </c>
      <c r="F1729" t="inlineStr">
        <is>
          <t>EMPA</t>
        </is>
      </c>
      <c r="G1729" t="inlineStr">
        <is>
          <t>CLP-020</t>
        </is>
      </c>
      <c r="H1729" t="inlineStr">
        <is>
          <t>Protocolo</t>
        </is>
      </c>
      <c r="I1729">
        <v>6</v>
      </c>
      <c r="J1729" t="inlineStr">
        <is>
          <t>Drenagem Superficial</t>
        </is>
      </c>
      <c r="K1729" t="inlineStr">
        <is>
          <t>6.1</t>
        </is>
      </c>
      <c r="L1729" t="inlineStr">
        <is>
          <t>VPC</t>
        </is>
      </c>
      <c r="M1729" t="inlineStr">
        <is>
          <t>Execuçao divergente do projeto</t>
        </is>
      </c>
      <c r="N1729" t="inlineStr">
        <is>
          <t>Drenagem sendo executada em material depositado (ADME).</t>
        </is>
      </c>
      <c r="O1729" t="inlineStr">
        <is>
          <t>Tipo A</t>
        </is>
      </c>
      <c r="P1729" t="inlineStr">
        <is>
          <t>35+580</t>
        </is>
      </c>
      <c r="Q1729" t="inlineStr">
        <is>
          <t>35+580</t>
        </is>
      </c>
      <c r="R1729" t="inlineStr">
        <is>
          <t>Aberta</t>
        </is>
      </c>
      <c r="T1729" t="inlineStr">
        <is>
          <t>Aline Batista</t>
        </is>
      </c>
      <c r="U1729" t="inlineStr">
        <is>
          <t>29/05/2026</t>
        </is>
      </c>
      <c r="V1729" t="inlineStr">
        <is>
          <t>05/06/2026</t>
        </is>
      </c>
      <c r="W1729">
        <v>5</v>
      </c>
      <c r="AA1729" t="inlineStr">
        <is>
          <t>Aberta -30 dias</t>
        </is>
      </c>
      <c r="AB1729" t="inlineStr">
        <is>
          <t>EMPA</t>
        </is>
      </c>
      <c r="AC1729" t="inlineStr">
        <is>
          <t>Aline</t>
        </is>
      </c>
      <c r="AD1729" t="inlineStr">
        <is>
          <t>31/08/2026</t>
        </is>
      </c>
      <c r="AE1729" t="inlineStr">
        <is>
          <t>10/09/2026</t>
        </is>
      </c>
      <c r="AF1729" t="inlineStr">
        <is>
          <t>Prazo Premissa VALE</t>
        </is>
      </c>
    </row>
    <row r="1730">
      <c r="A1730">
        <v>1728</v>
      </c>
      <c r="B1730">
        <v>1</v>
      </c>
      <c r="C1730" t="inlineStr">
        <is>
          <t>1.4A</t>
        </is>
      </c>
      <c r="D1730" t="inlineStr">
        <is>
          <t>C06</t>
        </is>
      </c>
      <c r="E1730" t="inlineStr">
        <is>
          <t>E/D</t>
        </is>
      </c>
      <c r="F1730" t="inlineStr">
        <is>
          <t>EMPA</t>
        </is>
      </c>
      <c r="G1730" t="inlineStr">
        <is>
          <t>CLP-020</t>
        </is>
      </c>
      <c r="H1730" t="inlineStr">
        <is>
          <t>Protocolo</t>
        </is>
      </c>
      <c r="I1730">
        <v>6</v>
      </c>
      <c r="J1730" t="inlineStr">
        <is>
          <t>Drenagem Superficial</t>
        </is>
      </c>
      <c r="K1730" t="inlineStr">
        <is>
          <t>6.1</t>
        </is>
      </c>
      <c r="L1730" t="inlineStr">
        <is>
          <t>CZB 01</t>
        </is>
      </c>
      <c r="M1730" t="inlineStr">
        <is>
          <t>Dispositivo não executado</t>
        </is>
      </c>
      <c r="N1730" t="inlineStr">
        <is>
          <t>Pendente a execução de drenagem do corte conforme projeto.</t>
        </is>
      </c>
      <c r="O1730" t="inlineStr">
        <is>
          <t>Tipo A</t>
        </is>
      </c>
      <c r="P1730" t="inlineStr">
        <is>
          <t>36+060</t>
        </is>
      </c>
      <c r="Q1730" t="inlineStr">
        <is>
          <t>36+060</t>
        </is>
      </c>
      <c r="R1730" t="inlineStr">
        <is>
          <t>Aberta</t>
        </is>
      </c>
      <c r="T1730" t="inlineStr">
        <is>
          <t>Aline Batista</t>
        </is>
      </c>
      <c r="U1730" t="inlineStr">
        <is>
          <t>29/05/2026</t>
        </is>
      </c>
      <c r="V1730" t="inlineStr">
        <is>
          <t>05/06/2026</t>
        </is>
      </c>
      <c r="W1730">
        <v>5</v>
      </c>
      <c r="AA1730" t="inlineStr">
        <is>
          <t>Aberta -30 dias</t>
        </is>
      </c>
      <c r="AB1730" t="inlineStr">
        <is>
          <t>EMPA</t>
        </is>
      </c>
      <c r="AC1730" t="inlineStr">
        <is>
          <t>Aline</t>
        </is>
      </c>
      <c r="AD1730" t="inlineStr">
        <is>
          <t>31/08/2026</t>
        </is>
      </c>
      <c r="AE1730" t="inlineStr">
        <is>
          <t>10/09/2026</t>
        </is>
      </c>
      <c r="AF1730" t="inlineStr">
        <is>
          <t>Prazo Premissa VALE</t>
        </is>
      </c>
    </row>
    <row r="1731">
      <c r="A1731">
        <v>1729</v>
      </c>
      <c r="B1731">
        <v>1</v>
      </c>
      <c r="C1731" t="inlineStr">
        <is>
          <t>1.4A</t>
        </is>
      </c>
      <c r="D1731" t="inlineStr">
        <is>
          <t>A06</t>
        </is>
      </c>
      <c r="E1731" t="inlineStr">
        <is>
          <t>E</t>
        </is>
      </c>
      <c r="F1731" t="inlineStr">
        <is>
          <t>EMPA</t>
        </is>
      </c>
      <c r="G1731" t="inlineStr">
        <is>
          <t>CLP-020</t>
        </is>
      </c>
      <c r="H1731" t="inlineStr">
        <is>
          <t>Protocolo</t>
        </is>
      </c>
      <c r="I1731">
        <v>6</v>
      </c>
      <c r="J1731" t="inlineStr">
        <is>
          <t>Drenagem Superficial</t>
        </is>
      </c>
      <c r="K1731" t="inlineStr">
        <is>
          <t>6.10</t>
        </is>
      </c>
      <c r="L1731" t="inlineStr">
        <is>
          <t xml:space="preserve">SZC </t>
        </is>
      </c>
      <c r="M1731" t="inlineStr">
        <is>
          <t>Assoreamento</t>
        </is>
      </c>
      <c r="N1731" t="inlineStr">
        <is>
          <t>Sarjeta assoreada, pendente limpeza.</t>
        </is>
      </c>
      <c r="O1731" t="inlineStr">
        <is>
          <t>Tipo A</t>
        </is>
      </c>
      <c r="P1731" t="inlineStr">
        <is>
          <t>36+180</t>
        </is>
      </c>
      <c r="Q1731" t="inlineStr">
        <is>
          <t>36+180</t>
        </is>
      </c>
      <c r="R1731" t="inlineStr">
        <is>
          <t>Aberta</t>
        </is>
      </c>
      <c r="T1731" t="inlineStr">
        <is>
          <t>Aline Batista</t>
        </is>
      </c>
      <c r="U1731" t="inlineStr">
        <is>
          <t>29/05/2026</t>
        </is>
      </c>
      <c r="V1731" t="inlineStr">
        <is>
          <t>05/06/2026</t>
        </is>
      </c>
      <c r="W1731">
        <v>5</v>
      </c>
      <c r="AA1731" t="inlineStr">
        <is>
          <t>Aberta -30 dias</t>
        </is>
      </c>
      <c r="AB1731" t="inlineStr">
        <is>
          <t>EMPA</t>
        </is>
      </c>
      <c r="AC1731" t="inlineStr">
        <is>
          <t>Aline</t>
        </is>
      </c>
      <c r="AD1731" t="inlineStr">
        <is>
          <t>31/08/2026</t>
        </is>
      </c>
      <c r="AE1731" t="inlineStr">
        <is>
          <t>10/09/2026</t>
        </is>
      </c>
      <c r="AF1731" t="inlineStr">
        <is>
          <t>Prazo Premissa VALE</t>
        </is>
      </c>
    </row>
    <row r="1732">
      <c r="A1732">
        <v>1730</v>
      </c>
      <c r="B1732">
        <v>1</v>
      </c>
      <c r="C1732" t="inlineStr">
        <is>
          <t>1.4A</t>
        </is>
      </c>
      <c r="D1732" t="inlineStr">
        <is>
          <t>C08</t>
        </is>
      </c>
      <c r="E1732" t="inlineStr">
        <is>
          <t>E/D</t>
        </is>
      </c>
      <c r="F1732" t="inlineStr">
        <is>
          <t>EMPA</t>
        </is>
      </c>
      <c r="G1732" t="inlineStr">
        <is>
          <t>CLP-020</t>
        </is>
      </c>
      <c r="H1732" t="inlineStr">
        <is>
          <t>Protocolo</t>
        </is>
      </c>
      <c r="I1732">
        <v>6</v>
      </c>
      <c r="J1732" t="inlineStr">
        <is>
          <t>Drenagem Superficial</t>
        </is>
      </c>
      <c r="K1732" t="inlineStr">
        <is>
          <t>6.10</t>
        </is>
      </c>
      <c r="L1732" t="inlineStr">
        <is>
          <t xml:space="preserve">SZC </t>
        </is>
      </c>
      <c r="M1732" t="inlineStr">
        <is>
          <t>Assoreamento</t>
        </is>
      </c>
      <c r="N1732" t="inlineStr">
        <is>
          <t>Sarjetas assoreadas, pendente limpeza.</t>
        </is>
      </c>
      <c r="O1732" t="inlineStr">
        <is>
          <t>Tipo A</t>
        </is>
      </c>
      <c r="P1732" t="inlineStr">
        <is>
          <t>36+500</t>
        </is>
      </c>
      <c r="Q1732" t="inlineStr">
        <is>
          <t>36+500</t>
        </is>
      </c>
      <c r="R1732" t="inlineStr">
        <is>
          <t>Aberta</t>
        </is>
      </c>
      <c r="T1732" t="inlineStr">
        <is>
          <t>Aline Batista</t>
        </is>
      </c>
      <c r="U1732" t="inlineStr">
        <is>
          <t>29/05/2026</t>
        </is>
      </c>
      <c r="V1732" t="inlineStr">
        <is>
          <t>05/06/2026</t>
        </is>
      </c>
      <c r="W1732">
        <v>5</v>
      </c>
      <c r="AA1732" t="inlineStr">
        <is>
          <t>Aberta -30 dias</t>
        </is>
      </c>
      <c r="AB1732" t="inlineStr">
        <is>
          <t>EMPA</t>
        </is>
      </c>
      <c r="AC1732" t="inlineStr">
        <is>
          <t>Aline</t>
        </is>
      </c>
      <c r="AD1732" t="inlineStr">
        <is>
          <t>31/08/2026</t>
        </is>
      </c>
      <c r="AE1732" t="inlineStr">
        <is>
          <t>10/09/2026</t>
        </is>
      </c>
      <c r="AF1732" t="inlineStr">
        <is>
          <t>Prazo Premissa VALE</t>
        </is>
      </c>
    </row>
    <row r="1733">
      <c r="A1733">
        <v>1731</v>
      </c>
      <c r="B1733">
        <v>1</v>
      </c>
      <c r="C1733" t="inlineStr">
        <is>
          <t>1.4A</t>
        </is>
      </c>
      <c r="D1733" t="inlineStr">
        <is>
          <t>A09</t>
        </is>
      </c>
      <c r="E1733" t="inlineStr">
        <is>
          <t>E</t>
        </is>
      </c>
      <c r="F1733" t="inlineStr">
        <is>
          <t>EMPA</t>
        </is>
      </c>
      <c r="G1733" t="inlineStr">
        <is>
          <t>CLP-020</t>
        </is>
      </c>
      <c r="H1733" t="inlineStr">
        <is>
          <t>Protocolo</t>
        </is>
      </c>
      <c r="I1733">
        <v>6</v>
      </c>
      <c r="J1733" t="inlineStr">
        <is>
          <t>Drenagem Superficial</t>
        </is>
      </c>
      <c r="K1733" t="inlineStr">
        <is>
          <t>6.2</t>
        </is>
      </c>
      <c r="L1733" t="inlineStr">
        <is>
          <t>Sarjeta</t>
        </is>
      </c>
      <c r="M1733" t="inlineStr">
        <is>
          <t>Execuçao divergente do projeto</t>
        </is>
      </c>
      <c r="N1733" t="inlineStr">
        <is>
          <t>Dissipador da sarjeta foi executado sobre material depositado e não terrendo natural, desaguando numa declividade alta e apresentando erosões a jusante do dispositivo.</t>
        </is>
      </c>
      <c r="O1733" t="inlineStr">
        <is>
          <t>Tipo A</t>
        </is>
      </c>
      <c r="P1733" t="inlineStr">
        <is>
          <t>37+200</t>
        </is>
      </c>
      <c r="Q1733" t="inlineStr">
        <is>
          <t>37+200</t>
        </is>
      </c>
      <c r="R1733" t="inlineStr">
        <is>
          <t>Aberta</t>
        </is>
      </c>
      <c r="T1733" t="inlineStr">
        <is>
          <t>Aline Batista</t>
        </is>
      </c>
      <c r="U1733" t="inlineStr">
        <is>
          <t>29/05/2026</t>
        </is>
      </c>
      <c r="V1733" t="inlineStr">
        <is>
          <t>05/06/2026</t>
        </is>
      </c>
      <c r="W1733">
        <v>5</v>
      </c>
      <c r="AA1733" t="inlineStr">
        <is>
          <t>Aberta -30 dias</t>
        </is>
      </c>
      <c r="AB1733" t="inlineStr">
        <is>
          <t>EMPA</t>
        </is>
      </c>
      <c r="AC1733" t="inlineStr">
        <is>
          <t>Aline</t>
        </is>
      </c>
      <c r="AD1733" t="inlineStr">
        <is>
          <t>31/08/2026</t>
        </is>
      </c>
      <c r="AE1733" t="inlineStr">
        <is>
          <t>10/09/2026</t>
        </is>
      </c>
      <c r="AF1733" t="inlineStr">
        <is>
          <t>Prazo Premissa VALE</t>
        </is>
      </c>
    </row>
    <row r="1734">
      <c r="A1734">
        <v>1732</v>
      </c>
      <c r="B1734">
        <v>1</v>
      </c>
      <c r="C1734" t="inlineStr">
        <is>
          <t>1.4A</t>
        </is>
      </c>
      <c r="D1734" t="inlineStr">
        <is>
          <t>A09</t>
        </is>
      </c>
      <c r="E1734" t="inlineStr">
        <is>
          <t>E</t>
        </is>
      </c>
      <c r="F1734" t="inlineStr">
        <is>
          <t>EMPA</t>
        </is>
      </c>
      <c r="G1734" t="inlineStr">
        <is>
          <t>CLP-020</t>
        </is>
      </c>
      <c r="H1734" t="inlineStr">
        <is>
          <t>Protocolo</t>
        </is>
      </c>
      <c r="I1734">
        <v>6</v>
      </c>
      <c r="J1734" t="inlineStr">
        <is>
          <t>Drenagem Superficial</t>
        </is>
      </c>
      <c r="K1734" t="inlineStr">
        <is>
          <t>6.3</t>
        </is>
      </c>
      <c r="L1734" t="inlineStr">
        <is>
          <t>DRA</t>
        </is>
      </c>
      <c r="M1734" t="inlineStr">
        <is>
          <t>Execuçao divergente do projeto</t>
        </is>
      </c>
      <c r="N1734" t="inlineStr">
        <is>
          <t>Descida executada antes do final da sarjeta, em desconformidade com o projeto.</t>
        </is>
      </c>
      <c r="O1734" t="inlineStr">
        <is>
          <t>Tipo A</t>
        </is>
      </c>
      <c r="P1734" t="inlineStr">
        <is>
          <t>37+360</t>
        </is>
      </c>
      <c r="Q1734" t="inlineStr">
        <is>
          <t>37+360</t>
        </is>
      </c>
      <c r="R1734" t="inlineStr">
        <is>
          <t>Aberta</t>
        </is>
      </c>
      <c r="T1734" t="inlineStr">
        <is>
          <t>Aline Batista</t>
        </is>
      </c>
      <c r="U1734" t="inlineStr">
        <is>
          <t>29/05/2026</t>
        </is>
      </c>
      <c r="V1734" t="inlineStr">
        <is>
          <t>05/06/2026</t>
        </is>
      </c>
      <c r="W1734">
        <v>5</v>
      </c>
      <c r="AA1734" t="inlineStr">
        <is>
          <t>Aberta -30 dias</t>
        </is>
      </c>
      <c r="AB1734" t="inlineStr">
        <is>
          <t>EMPA</t>
        </is>
      </c>
      <c r="AC1734" t="inlineStr">
        <is>
          <t>Aline</t>
        </is>
      </c>
      <c r="AD1734" t="inlineStr">
        <is>
          <t>31/08/2026</t>
        </is>
      </c>
      <c r="AE1734" t="inlineStr">
        <is>
          <t>10/09/2026</t>
        </is>
      </c>
      <c r="AF1734" t="inlineStr">
        <is>
          <t>Prazo Premissa VALE</t>
        </is>
      </c>
    </row>
    <row r="1735">
      <c r="A1735">
        <v>1733</v>
      </c>
      <c r="B1735">
        <v>1</v>
      </c>
      <c r="C1735" t="inlineStr">
        <is>
          <t>1.4A</t>
        </is>
      </c>
      <c r="D1735" t="inlineStr">
        <is>
          <t>A09</t>
        </is>
      </c>
      <c r="E1735" t="inlineStr">
        <is>
          <t>E/D</t>
        </is>
      </c>
      <c r="F1735" t="inlineStr">
        <is>
          <t>EMPA</t>
        </is>
      </c>
      <c r="G1735" t="inlineStr">
        <is>
          <t>CLP-020</t>
        </is>
      </c>
      <c r="H1735" t="inlineStr">
        <is>
          <t>Protocolo</t>
        </is>
      </c>
      <c r="I1735">
        <v>6</v>
      </c>
      <c r="J1735" t="inlineStr">
        <is>
          <t>Drenagem Superficial</t>
        </is>
      </c>
      <c r="K1735" t="inlineStr">
        <is>
          <t>6.1</t>
        </is>
      </c>
      <c r="L1735" t="inlineStr">
        <is>
          <t>Conexão</t>
        </is>
      </c>
      <c r="M1735" t="inlineStr">
        <is>
          <t>Execuçao divergente do projeto</t>
        </is>
      </c>
      <c r="N1735" t="inlineStr">
        <is>
          <t>Conexão da descida com a valeta não conforme.</t>
        </is>
      </c>
      <c r="O1735" t="inlineStr">
        <is>
          <t>Tipo A</t>
        </is>
      </c>
      <c r="P1735" t="inlineStr">
        <is>
          <t>37+720</t>
        </is>
      </c>
      <c r="Q1735" t="inlineStr">
        <is>
          <t>37+720</t>
        </is>
      </c>
      <c r="R1735" t="inlineStr">
        <is>
          <t>Aberta</t>
        </is>
      </c>
      <c r="T1735" t="inlineStr">
        <is>
          <t>Aline Batista</t>
        </is>
      </c>
      <c r="U1735" t="inlineStr">
        <is>
          <t>29/05/2026</t>
        </is>
      </c>
      <c r="V1735" t="inlineStr">
        <is>
          <t>05/06/2026</t>
        </is>
      </c>
      <c r="W1735">
        <v>5</v>
      </c>
      <c r="AA1735" t="inlineStr">
        <is>
          <t>Aberta -30 dias</t>
        </is>
      </c>
      <c r="AB1735" t="inlineStr">
        <is>
          <t>EMPA</t>
        </is>
      </c>
      <c r="AC1735" t="inlineStr">
        <is>
          <t>Aline</t>
        </is>
      </c>
      <c r="AD1735" t="inlineStr">
        <is>
          <t>31/08/2026</t>
        </is>
      </c>
      <c r="AE1735" t="inlineStr">
        <is>
          <t>10/09/2026</t>
        </is>
      </c>
      <c r="AF1735" t="inlineStr">
        <is>
          <t>Prazo Premissa VALE</t>
        </is>
      </c>
    </row>
    <row r="1736">
      <c r="A1736">
        <v>1734</v>
      </c>
      <c r="B1736">
        <v>1</v>
      </c>
      <c r="C1736" t="inlineStr">
        <is>
          <t>1.4A</t>
        </is>
      </c>
      <c r="D1736" t="inlineStr">
        <is>
          <t>A01</t>
        </is>
      </c>
      <c r="E1736" t="inlineStr">
        <is>
          <t>D</t>
        </is>
      </c>
      <c r="F1736" t="inlineStr">
        <is>
          <t>EMPA</t>
        </is>
      </c>
      <c r="G1736" t="inlineStr">
        <is>
          <t>CLP-020</t>
        </is>
      </c>
      <c r="H1736" t="inlineStr">
        <is>
          <t>Protocolo</t>
        </is>
      </c>
      <c r="I1736">
        <v>6</v>
      </c>
      <c r="J1736" t="inlineStr">
        <is>
          <t>Drenagem Superficial</t>
        </is>
      </c>
      <c r="K1736" t="inlineStr">
        <is>
          <t>6.10</t>
        </is>
      </c>
      <c r="L1736" t="inlineStr">
        <is>
          <t>VPC</t>
        </is>
      </c>
      <c r="M1736" t="inlineStr">
        <is>
          <t>Obstrução do dispositivo</t>
        </is>
      </c>
      <c r="N1736" t="inlineStr">
        <is>
          <t>Limpeza dos dispositivos de drenagem da plataforma</t>
        </is>
      </c>
      <c r="O1736" t="inlineStr">
        <is>
          <t>Tipo A</t>
        </is>
      </c>
      <c r="P1736" t="inlineStr">
        <is>
          <t>31+200</t>
        </is>
      </c>
      <c r="Q1736" t="inlineStr">
        <is>
          <t>31+200</t>
        </is>
      </c>
      <c r="R1736" t="inlineStr">
        <is>
          <t>Aberta</t>
        </is>
      </c>
      <c r="T1736" t="inlineStr">
        <is>
          <t>Aline Batista</t>
        </is>
      </c>
      <c r="U1736" t="inlineStr">
        <is>
          <t>29/05/2026</t>
        </is>
      </c>
      <c r="V1736" t="inlineStr">
        <is>
          <t>05/06/2026</t>
        </is>
      </c>
      <c r="W1736">
        <v>5</v>
      </c>
      <c r="AA1736" t="inlineStr">
        <is>
          <t>Aberta -30 dias</t>
        </is>
      </c>
      <c r="AB1736" t="inlineStr">
        <is>
          <t>EMPA</t>
        </is>
      </c>
      <c r="AC1736" t="inlineStr">
        <is>
          <t>Aline</t>
        </is>
      </c>
      <c r="AD1736" t="inlineStr">
        <is>
          <t>17/08/2026</t>
        </is>
      </c>
      <c r="AE1736" t="inlineStr">
        <is>
          <t>28/08/2026</t>
        </is>
      </c>
      <c r="AF1736" t="inlineStr">
        <is>
          <t>Prazo Premissa VALE</t>
        </is>
      </c>
    </row>
    <row r="1737">
      <c r="A1737">
        <v>1735</v>
      </c>
      <c r="B1737">
        <v>1</v>
      </c>
      <c r="C1737" t="inlineStr">
        <is>
          <t>1.4A</t>
        </is>
      </c>
      <c r="D1737" t="inlineStr">
        <is>
          <t>A01</t>
        </is>
      </c>
      <c r="E1737" t="inlineStr">
        <is>
          <t>E</t>
        </is>
      </c>
      <c r="F1737" t="inlineStr">
        <is>
          <t>EMPA</t>
        </is>
      </c>
      <c r="G1737" t="inlineStr">
        <is>
          <t>CLP-020</t>
        </is>
      </c>
      <c r="H1737" t="inlineStr">
        <is>
          <t>Protocolo</t>
        </is>
      </c>
      <c r="I1737">
        <v>6</v>
      </c>
      <c r="J1737" t="inlineStr">
        <is>
          <t>Drenagem Superficial</t>
        </is>
      </c>
      <c r="K1737" t="inlineStr">
        <is>
          <t>6.10</t>
        </is>
      </c>
      <c r="L1737" t="inlineStr">
        <is>
          <t>VPC</t>
        </is>
      </c>
      <c r="M1737" t="inlineStr">
        <is>
          <t>Obstrução do dispositivo</t>
        </is>
      </c>
      <c r="N1737" t="inlineStr">
        <is>
          <t>Limpeza dos dispositivos de drenagem da plataforma</t>
        </is>
      </c>
      <c r="O1737" t="inlineStr">
        <is>
          <t>Tipo A</t>
        </is>
      </c>
      <c r="P1737" t="inlineStr">
        <is>
          <t>31+680</t>
        </is>
      </c>
      <c r="Q1737" t="inlineStr">
        <is>
          <t>31+680</t>
        </is>
      </c>
      <c r="R1737" t="inlineStr">
        <is>
          <t>Aberta</t>
        </is>
      </c>
      <c r="T1737" t="inlineStr">
        <is>
          <t>Aline Batista</t>
        </is>
      </c>
      <c r="U1737" t="inlineStr">
        <is>
          <t>29/05/2026</t>
        </is>
      </c>
      <c r="V1737" t="inlineStr">
        <is>
          <t>05/06/2026</t>
        </is>
      </c>
      <c r="W1737">
        <v>5</v>
      </c>
      <c r="AA1737" t="inlineStr">
        <is>
          <t>Aberta -30 dias</t>
        </is>
      </c>
      <c r="AB1737" t="inlineStr">
        <is>
          <t>EMPA</t>
        </is>
      </c>
      <c r="AC1737" t="inlineStr">
        <is>
          <t>Aline</t>
        </is>
      </c>
      <c r="AD1737" t="inlineStr">
        <is>
          <t>17/08/2026</t>
        </is>
      </c>
      <c r="AE1737" t="inlineStr">
        <is>
          <t>28/08/2026</t>
        </is>
      </c>
      <c r="AF1737" t="inlineStr">
        <is>
          <t>Prazo Premissa VALE</t>
        </is>
      </c>
    </row>
    <row r="1738">
      <c r="A1738">
        <v>1736</v>
      </c>
      <c r="B1738">
        <v>1</v>
      </c>
      <c r="C1738" t="inlineStr">
        <is>
          <t>1.4A</t>
        </is>
      </c>
      <c r="D1738" t="inlineStr">
        <is>
          <t>C02</t>
        </is>
      </c>
      <c r="E1738" t="inlineStr">
        <is>
          <t>E</t>
        </is>
      </c>
      <c r="F1738" t="inlineStr">
        <is>
          <t>EMPA</t>
        </is>
      </c>
      <c r="G1738" t="inlineStr">
        <is>
          <t>CLP-020</t>
        </is>
      </c>
      <c r="H1738" t="inlineStr">
        <is>
          <t>Protocolo</t>
        </is>
      </c>
      <c r="I1738">
        <v>6</v>
      </c>
      <c r="J1738" t="inlineStr">
        <is>
          <t>Drenagem Superficial</t>
        </is>
      </c>
      <c r="K1738" t="inlineStr">
        <is>
          <t>6.1</t>
        </is>
      </c>
      <c r="L1738" t="inlineStr">
        <is>
          <t>VPC</t>
        </is>
      </c>
      <c r="M1738" t="inlineStr">
        <is>
          <t>Execuçao divergente do projeto</t>
        </is>
      </c>
      <c r="N1738" t="inlineStr">
        <is>
          <t>Necessária verificação de um aparente ponto baixo no dispositivo de drenagem, é necessário encaminhar evidênvias da cota conforme executado.</t>
        </is>
      </c>
      <c r="O1738" t="inlineStr">
        <is>
          <t>Tipo A</t>
        </is>
      </c>
      <c r="P1738" t="inlineStr">
        <is>
          <t>32+120</t>
        </is>
      </c>
      <c r="Q1738" t="inlineStr">
        <is>
          <t>32+120</t>
        </is>
      </c>
      <c r="R1738" t="inlineStr">
        <is>
          <t>Aberta</t>
        </is>
      </c>
      <c r="T1738" t="inlineStr">
        <is>
          <t>Aline Batista</t>
        </is>
      </c>
      <c r="U1738" t="inlineStr">
        <is>
          <t>29/05/2026</t>
        </is>
      </c>
      <c r="V1738" t="inlineStr">
        <is>
          <t>05/06/2026</t>
        </is>
      </c>
      <c r="W1738">
        <v>5</v>
      </c>
      <c r="AA1738" t="inlineStr">
        <is>
          <t>Aberta -30 dias</t>
        </is>
      </c>
      <c r="AB1738" t="inlineStr">
        <is>
          <t>EMPA</t>
        </is>
      </c>
      <c r="AC1738" t="inlineStr">
        <is>
          <t>Aline</t>
        </is>
      </c>
      <c r="AD1738" t="inlineStr">
        <is>
          <t>17/08/2026</t>
        </is>
      </c>
      <c r="AE1738" t="inlineStr">
        <is>
          <t>28/08/2026</t>
        </is>
      </c>
      <c r="AF1738" t="inlineStr">
        <is>
          <t>Prazo Premissa VALE</t>
        </is>
      </c>
    </row>
    <row r="1739">
      <c r="A1739">
        <v>1737</v>
      </c>
      <c r="B1739">
        <v>1</v>
      </c>
      <c r="C1739" t="inlineStr">
        <is>
          <t>1.4A</t>
        </is>
      </c>
      <c r="D1739" t="inlineStr">
        <is>
          <t>A02</t>
        </is>
      </c>
      <c r="E1739" t="inlineStr">
        <is>
          <t>D</t>
        </is>
      </c>
      <c r="F1739" t="inlineStr">
        <is>
          <t>EMPA</t>
        </is>
      </c>
      <c r="G1739" t="inlineStr">
        <is>
          <t>CLP-020</t>
        </is>
      </c>
      <c r="H1739" t="inlineStr">
        <is>
          <t>Protocolo</t>
        </is>
      </c>
      <c r="I1739">
        <v>6</v>
      </c>
      <c r="J1739" t="inlineStr">
        <is>
          <t>Drenagem Superficial</t>
        </is>
      </c>
      <c r="K1739" t="inlineStr">
        <is>
          <t>6.10</t>
        </is>
      </c>
      <c r="L1739" t="inlineStr">
        <is>
          <t>VPC</t>
        </is>
      </c>
      <c r="M1739" t="inlineStr">
        <is>
          <t>Obstrução do dispositivo</t>
        </is>
      </c>
      <c r="N1739" t="inlineStr">
        <is>
          <t>Limpeza da valeta de proteção em concreto (VPC)</t>
        </is>
      </c>
      <c r="O1739" t="inlineStr">
        <is>
          <t>Tipo A</t>
        </is>
      </c>
      <c r="P1739" t="inlineStr">
        <is>
          <t>32+380</t>
        </is>
      </c>
      <c r="Q1739" t="inlineStr">
        <is>
          <t>32+380</t>
        </is>
      </c>
      <c r="R1739" t="inlineStr">
        <is>
          <t>Aberta</t>
        </is>
      </c>
      <c r="T1739" t="inlineStr">
        <is>
          <t>Aline Batista</t>
        </is>
      </c>
      <c r="U1739" t="inlineStr">
        <is>
          <t>29/05/2026</t>
        </is>
      </c>
      <c r="V1739" t="inlineStr">
        <is>
          <t>05/06/2026</t>
        </is>
      </c>
      <c r="W1739">
        <v>5</v>
      </c>
      <c r="AA1739" t="inlineStr">
        <is>
          <t>Aberta -30 dias</t>
        </is>
      </c>
      <c r="AB1739" t="inlineStr">
        <is>
          <t>EMPA</t>
        </is>
      </c>
      <c r="AC1739" t="inlineStr">
        <is>
          <t>Aline</t>
        </is>
      </c>
      <c r="AD1739" t="inlineStr">
        <is>
          <t>17/08/2026</t>
        </is>
      </c>
      <c r="AE1739" t="inlineStr">
        <is>
          <t>28/08/2026</t>
        </is>
      </c>
      <c r="AF1739" t="inlineStr">
        <is>
          <t>Prazo Premissa VALE</t>
        </is>
      </c>
    </row>
    <row r="1740">
      <c r="A1740">
        <v>1738</v>
      </c>
      <c r="B1740">
        <v>1</v>
      </c>
      <c r="C1740" t="inlineStr">
        <is>
          <t>1.4A</t>
        </is>
      </c>
      <c r="D1740" t="inlineStr">
        <is>
          <t>A02</t>
        </is>
      </c>
      <c r="E1740" t="inlineStr">
        <is>
          <t>D</t>
        </is>
      </c>
      <c r="F1740" t="inlineStr">
        <is>
          <t>EMPA</t>
        </is>
      </c>
      <c r="G1740" t="inlineStr">
        <is>
          <t>CLP-020</t>
        </is>
      </c>
      <c r="H1740" t="inlineStr">
        <is>
          <t>Protocolo</t>
        </is>
      </c>
      <c r="I1740">
        <v>6</v>
      </c>
      <c r="J1740" t="inlineStr">
        <is>
          <t>Drenagem Superficial</t>
        </is>
      </c>
      <c r="K1740" t="inlineStr">
        <is>
          <t>6.10</t>
        </is>
      </c>
      <c r="L1740" t="inlineStr">
        <is>
          <t>VPC</t>
        </is>
      </c>
      <c r="M1740" t="inlineStr">
        <is>
          <t>Obstrução do dispositivo</t>
        </is>
      </c>
      <c r="N1740" t="inlineStr">
        <is>
          <t>Limpeza da valeta de proteção em concreto (VPC)</t>
        </is>
      </c>
      <c r="O1740" t="inlineStr">
        <is>
          <t>Tipo A</t>
        </is>
      </c>
      <c r="P1740" t="inlineStr">
        <is>
          <t>32+420</t>
        </is>
      </c>
      <c r="Q1740" t="inlineStr">
        <is>
          <t>32+420</t>
        </is>
      </c>
      <c r="R1740" t="inlineStr">
        <is>
          <t>Aberta</t>
        </is>
      </c>
      <c r="T1740" t="inlineStr">
        <is>
          <t>Aline Batista</t>
        </is>
      </c>
      <c r="U1740" t="inlineStr">
        <is>
          <t>29/05/2026</t>
        </is>
      </c>
      <c r="V1740" t="inlineStr">
        <is>
          <t>05/06/2026</t>
        </is>
      </c>
      <c r="W1740">
        <v>5</v>
      </c>
      <c r="AA1740" t="inlineStr">
        <is>
          <t>Aberta -30 dias</t>
        </is>
      </c>
      <c r="AB1740" t="inlineStr">
        <is>
          <t>EMPA</t>
        </is>
      </c>
      <c r="AC1740" t="inlineStr">
        <is>
          <t>Aline</t>
        </is>
      </c>
      <c r="AD1740" t="inlineStr">
        <is>
          <t>17/08/2026</t>
        </is>
      </c>
      <c r="AE1740" t="inlineStr">
        <is>
          <t>28/08/2026</t>
        </is>
      </c>
      <c r="AF1740" t="inlineStr">
        <is>
          <t>Prazo Premissa VALE</t>
        </is>
      </c>
    </row>
    <row r="1741">
      <c r="A1741">
        <v>1739</v>
      </c>
      <c r="B1741">
        <v>1</v>
      </c>
      <c r="C1741" t="inlineStr">
        <is>
          <t>1.4A</t>
        </is>
      </c>
      <c r="D1741" t="inlineStr">
        <is>
          <t>A02</t>
        </is>
      </c>
      <c r="E1741" t="inlineStr">
        <is>
          <t>E/D</t>
        </is>
      </c>
      <c r="F1741" t="inlineStr">
        <is>
          <t>EMPA</t>
        </is>
      </c>
      <c r="G1741" t="inlineStr">
        <is>
          <t>CLP-020</t>
        </is>
      </c>
      <c r="H1741" t="inlineStr">
        <is>
          <t>Protocolo</t>
        </is>
      </c>
      <c r="I1741">
        <v>6</v>
      </c>
      <c r="J1741" t="inlineStr">
        <is>
          <t>Drenagem Superficial</t>
        </is>
      </c>
      <c r="K1741" t="inlineStr">
        <is>
          <t>6.10</t>
        </is>
      </c>
      <c r="L1741" t="inlineStr">
        <is>
          <t>VPC</t>
        </is>
      </c>
      <c r="M1741" t="inlineStr">
        <is>
          <t>Obstrução do dispositivo</t>
        </is>
      </c>
      <c r="N1741" t="inlineStr">
        <is>
          <t>Limpeza da valeta de proteção em concreto (VPC) e pendente execução da conexão da descida na VPC.</t>
        </is>
      </c>
      <c r="O1741" t="inlineStr">
        <is>
          <t>Tipo A</t>
        </is>
      </c>
      <c r="P1741" t="inlineStr">
        <is>
          <t>32+540</t>
        </is>
      </c>
      <c r="Q1741" t="inlineStr">
        <is>
          <t>32+540</t>
        </is>
      </c>
      <c r="R1741" t="inlineStr">
        <is>
          <t>Aberta</t>
        </is>
      </c>
      <c r="T1741" t="inlineStr">
        <is>
          <t>Aline Batista</t>
        </is>
      </c>
      <c r="U1741" t="inlineStr">
        <is>
          <t>29/05/2026</t>
        </is>
      </c>
      <c r="V1741" t="inlineStr">
        <is>
          <t>05/06/2026</t>
        </is>
      </c>
      <c r="W1741">
        <v>5</v>
      </c>
      <c r="AA1741" t="inlineStr">
        <is>
          <t>Aberta -30 dias</t>
        </is>
      </c>
      <c r="AB1741" t="inlineStr">
        <is>
          <t>EMPA</t>
        </is>
      </c>
      <c r="AC1741" t="inlineStr">
        <is>
          <t>Aline</t>
        </is>
      </c>
      <c r="AD1741" t="inlineStr">
        <is>
          <t>17/08/2026</t>
        </is>
      </c>
      <c r="AE1741" t="inlineStr">
        <is>
          <t>28/08/2026</t>
        </is>
      </c>
      <c r="AF1741" t="inlineStr">
        <is>
          <t>Prazo Premissa VALE</t>
        </is>
      </c>
    </row>
    <row r="1742">
      <c r="A1742">
        <v>1740</v>
      </c>
      <c r="B1742">
        <v>1</v>
      </c>
      <c r="C1742" t="inlineStr">
        <is>
          <t>1.4A</t>
        </is>
      </c>
      <c r="D1742" t="inlineStr">
        <is>
          <t>A02</t>
        </is>
      </c>
      <c r="E1742" t="inlineStr">
        <is>
          <t>E/D</t>
        </is>
      </c>
      <c r="F1742" t="inlineStr">
        <is>
          <t>EMPA</t>
        </is>
      </c>
      <c r="G1742" t="inlineStr">
        <is>
          <t>CLP-020</t>
        </is>
      </c>
      <c r="H1742" t="inlineStr">
        <is>
          <t>Protocolo</t>
        </is>
      </c>
      <c r="I1742">
        <v>6</v>
      </c>
      <c r="J1742" t="inlineStr">
        <is>
          <t>Drenagem Superficial</t>
        </is>
      </c>
      <c r="K1742" t="inlineStr">
        <is>
          <t>6.10</t>
        </is>
      </c>
      <c r="L1742" t="inlineStr">
        <is>
          <t>VPC</t>
        </is>
      </c>
      <c r="M1742" t="inlineStr">
        <is>
          <t>Obstrução do dispositivo</t>
        </is>
      </c>
      <c r="N1742" t="inlineStr">
        <is>
          <t>Limpeza dos dispositivos de drenagem da plataforma</t>
        </is>
      </c>
      <c r="O1742" t="inlineStr">
        <is>
          <t>Tipo A</t>
        </is>
      </c>
      <c r="P1742" t="inlineStr">
        <is>
          <t>32+950</t>
        </is>
      </c>
      <c r="Q1742" t="inlineStr">
        <is>
          <t>32+980</t>
        </is>
      </c>
      <c r="R1742" t="inlineStr">
        <is>
          <t>Aberta</t>
        </is>
      </c>
      <c r="T1742" t="inlineStr">
        <is>
          <t>Aline Batista</t>
        </is>
      </c>
      <c r="U1742" t="inlineStr">
        <is>
          <t>29/05/2026</t>
        </is>
      </c>
      <c r="V1742" t="inlineStr">
        <is>
          <t>05/06/2026</t>
        </is>
      </c>
      <c r="W1742">
        <v>5</v>
      </c>
      <c r="AA1742" t="inlineStr">
        <is>
          <t>Aberta -30 dias</t>
        </is>
      </c>
      <c r="AB1742" t="inlineStr">
        <is>
          <t>EMPA</t>
        </is>
      </c>
      <c r="AC1742" t="inlineStr">
        <is>
          <t>Aline</t>
        </is>
      </c>
      <c r="AD1742" t="inlineStr">
        <is>
          <t>17/08/2026</t>
        </is>
      </c>
      <c r="AE1742" t="inlineStr">
        <is>
          <t>28/08/2026</t>
        </is>
      </c>
      <c r="AF1742" t="inlineStr">
        <is>
          <t>Prazo Premissa VALE</t>
        </is>
      </c>
    </row>
    <row r="1743">
      <c r="A1743">
        <v>1741</v>
      </c>
      <c r="B1743">
        <v>1</v>
      </c>
      <c r="C1743" t="inlineStr">
        <is>
          <t>1.4A</t>
        </is>
      </c>
      <c r="D1743" t="inlineStr">
        <is>
          <t>A02</t>
        </is>
      </c>
      <c r="E1743" t="inlineStr">
        <is>
          <t>E/D</t>
        </is>
      </c>
      <c r="F1743" t="inlineStr">
        <is>
          <t>EMPA</t>
        </is>
      </c>
      <c r="G1743" t="inlineStr">
        <is>
          <t>CLP-020</t>
        </is>
      </c>
      <c r="H1743" t="inlineStr">
        <is>
          <t>Protocolo</t>
        </is>
      </c>
      <c r="I1743">
        <v>6</v>
      </c>
      <c r="J1743" t="inlineStr">
        <is>
          <t>Drenagem Superficial</t>
        </is>
      </c>
      <c r="K1743" t="inlineStr">
        <is>
          <t>6.3</t>
        </is>
      </c>
      <c r="L1743" t="inlineStr">
        <is>
          <t>DRA</t>
        </is>
      </c>
      <c r="M1743" t="inlineStr">
        <is>
          <t>Dispositivo não executado</t>
        </is>
      </c>
      <c r="N1743" t="inlineStr">
        <is>
          <t>Pendente a execução do deságue das descidas conforme projeto</t>
        </is>
      </c>
      <c r="O1743" t="inlineStr">
        <is>
          <t>Tipo A</t>
        </is>
      </c>
      <c r="P1743" t="inlineStr">
        <is>
          <t>32+980</t>
        </is>
      </c>
      <c r="Q1743" t="inlineStr">
        <is>
          <t>33+760</t>
        </is>
      </c>
      <c r="R1743" t="inlineStr">
        <is>
          <t>Aberta</t>
        </is>
      </c>
      <c r="T1743" t="inlineStr">
        <is>
          <t>Aline Batista</t>
        </is>
      </c>
      <c r="U1743" t="inlineStr">
        <is>
          <t>29/05/2026</t>
        </is>
      </c>
      <c r="V1743" t="inlineStr">
        <is>
          <t>05/06/2026</t>
        </is>
      </c>
      <c r="W1743">
        <v>5</v>
      </c>
      <c r="AA1743" t="inlineStr">
        <is>
          <t>Aberta -30 dias</t>
        </is>
      </c>
      <c r="AB1743" t="inlineStr">
        <is>
          <t>EMPA</t>
        </is>
      </c>
      <c r="AC1743" t="inlineStr">
        <is>
          <t>Aline</t>
        </is>
      </c>
      <c r="AD1743" t="inlineStr">
        <is>
          <t>17/08/2026</t>
        </is>
      </c>
      <c r="AE1743" t="inlineStr">
        <is>
          <t>28/08/2026</t>
        </is>
      </c>
      <c r="AF1743" t="inlineStr">
        <is>
          <t>Prazo Premissa VALE</t>
        </is>
      </c>
    </row>
    <row r="1744">
      <c r="A1744">
        <v>1742</v>
      </c>
      <c r="B1744">
        <v>1</v>
      </c>
      <c r="C1744" t="inlineStr">
        <is>
          <t>1.4A</t>
        </is>
      </c>
      <c r="D1744" t="inlineStr">
        <is>
          <t>A03</t>
        </is>
      </c>
      <c r="E1744" t="inlineStr">
        <is>
          <t>E/D</t>
        </is>
      </c>
      <c r="F1744" t="inlineStr">
        <is>
          <t>EMPA</t>
        </is>
      </c>
      <c r="G1744" t="inlineStr">
        <is>
          <t>CLP-020</t>
        </is>
      </c>
      <c r="H1744" t="inlineStr">
        <is>
          <t>Protocolo</t>
        </is>
      </c>
      <c r="I1744">
        <v>6</v>
      </c>
      <c r="J1744" t="inlineStr">
        <is>
          <t>Drenagem Superficial</t>
        </is>
      </c>
      <c r="K1744" t="inlineStr">
        <is>
          <t>6.3</t>
        </is>
      </c>
      <c r="L1744" t="inlineStr">
        <is>
          <t>DDA 01</t>
        </is>
      </c>
      <c r="M1744" t="inlineStr">
        <is>
          <t>Dispositivo não executado</t>
        </is>
      </c>
      <c r="N1744" t="inlineStr">
        <is>
          <t>Pendente a execução do deságue das descidas conforme projeto em toda a extensão desse aterro.</t>
        </is>
      </c>
      <c r="O1744" t="inlineStr">
        <is>
          <t>Tipo A</t>
        </is>
      </c>
      <c r="P1744" t="inlineStr">
        <is>
          <t>33+760</t>
        </is>
      </c>
      <c r="Q1744" t="inlineStr">
        <is>
          <t>33+760</t>
        </is>
      </c>
      <c r="R1744" t="inlineStr">
        <is>
          <t>Aberta</t>
        </is>
      </c>
      <c r="T1744" t="inlineStr">
        <is>
          <t>Aline Batista</t>
        </is>
      </c>
      <c r="U1744" t="inlineStr">
        <is>
          <t>29/05/2026</t>
        </is>
      </c>
      <c r="V1744" t="inlineStr">
        <is>
          <t>05/06/2026</t>
        </is>
      </c>
      <c r="W1744">
        <v>5</v>
      </c>
      <c r="AA1744" t="inlineStr">
        <is>
          <t>Aberta -30 dias</t>
        </is>
      </c>
      <c r="AB1744" t="inlineStr">
        <is>
          <t>EMPA</t>
        </is>
      </c>
      <c r="AC1744" t="inlineStr">
        <is>
          <t>Aline</t>
        </is>
      </c>
      <c r="AD1744" t="inlineStr">
        <is>
          <t>31/08/2026</t>
        </is>
      </c>
      <c r="AE1744" t="inlineStr">
        <is>
          <t>10/09/2026</t>
        </is>
      </c>
      <c r="AF1744" t="inlineStr">
        <is>
          <t>Prazo Premissa VALE</t>
        </is>
      </c>
    </row>
    <row r="1745">
      <c r="A1745">
        <v>1743</v>
      </c>
      <c r="B1745">
        <v>1</v>
      </c>
      <c r="C1745" t="inlineStr">
        <is>
          <t>1.4A</t>
        </is>
      </c>
      <c r="D1745" t="inlineStr">
        <is>
          <t>A01</t>
        </is>
      </c>
      <c r="E1745" t="inlineStr">
        <is>
          <t>LD e LE</t>
        </is>
      </c>
      <c r="F1745" t="inlineStr">
        <is>
          <t>EMPA</t>
        </is>
      </c>
      <c r="G1745" t="inlineStr">
        <is>
          <t>CLP-020</t>
        </is>
      </c>
      <c r="H1745" t="inlineStr">
        <is>
          <t>Protocolo</t>
        </is>
      </c>
      <c r="I1745">
        <v>6</v>
      </c>
      <c r="J1745" t="inlineStr">
        <is>
          <t>Drenagem Superficial</t>
        </is>
      </c>
      <c r="K1745" t="inlineStr">
        <is>
          <t>6.10</t>
        </is>
      </c>
      <c r="L1745" t="inlineStr">
        <is>
          <t>VPC</t>
        </is>
      </c>
      <c r="M1745" t="inlineStr">
        <is>
          <t>Obstrução do dispositivo</t>
        </is>
      </c>
      <c r="N1745" t="inlineStr">
        <is>
          <t>Drenagem obstruída ao longo do aterro; necessária limpeza e desobstrução dos dispositivos.</t>
        </is>
      </c>
      <c r="O1745" t="inlineStr">
        <is>
          <t>Tipo A</t>
        </is>
      </c>
      <c r="P1745" t="inlineStr">
        <is>
          <t>31+000</t>
        </is>
      </c>
      <c r="Q1745" t="inlineStr">
        <is>
          <t>31+840</t>
        </is>
      </c>
      <c r="R1745" t="inlineStr">
        <is>
          <t>Aberta</t>
        </is>
      </c>
      <c r="T1745" t="inlineStr">
        <is>
          <t>Aline Batista</t>
        </is>
      </c>
      <c r="U1745" t="inlineStr">
        <is>
          <t>29/05/2026</t>
        </is>
      </c>
      <c r="V1745" t="inlineStr">
        <is>
          <t>05/06/2026</t>
        </is>
      </c>
      <c r="W1745">
        <v>5</v>
      </c>
      <c r="AA1745" t="inlineStr">
        <is>
          <t>Aberta -30 dias</t>
        </is>
      </c>
      <c r="AB1745" t="inlineStr">
        <is>
          <t>EMPA</t>
        </is>
      </c>
      <c r="AC1745" t="inlineStr">
        <is>
          <t>Aline</t>
        </is>
      </c>
      <c r="AD1745" t="inlineStr">
        <is>
          <t>17/08/2026</t>
        </is>
      </c>
      <c r="AE1745" t="inlineStr">
        <is>
          <t>28/08/2026</t>
        </is>
      </c>
      <c r="AF1745" t="inlineStr">
        <is>
          <t>Prazo Premissa VALE</t>
        </is>
      </c>
    </row>
    <row r="1746">
      <c r="A1746">
        <v>1744</v>
      </c>
      <c r="B1746">
        <v>1</v>
      </c>
      <c r="C1746" t="inlineStr">
        <is>
          <t>1.4A</t>
        </is>
      </c>
      <c r="D1746" t="inlineStr">
        <is>
          <t>C07</t>
        </is>
      </c>
      <c r="E1746" t="inlineStr">
        <is>
          <t>LE</t>
        </is>
      </c>
      <c r="F1746" t="inlineStr">
        <is>
          <t>EMPA</t>
        </is>
      </c>
      <c r="G1746" t="inlineStr">
        <is>
          <t>CLP-020</t>
        </is>
      </c>
      <c r="H1746" t="inlineStr">
        <is>
          <t>Protocolo</t>
        </is>
      </c>
      <c r="I1746">
        <v>4</v>
      </c>
      <c r="J1746" t="inlineStr">
        <is>
          <t>Terraplenagem</t>
        </is>
      </c>
      <c r="K1746" t="inlineStr">
        <is>
          <t>4.11</t>
        </is>
      </c>
      <c r="L1746" t="inlineStr">
        <is>
          <t>Talude</t>
        </is>
      </c>
      <c r="M1746" t="inlineStr">
        <is>
          <t>Revegetação/ Hidrossemeadura</t>
        </is>
      </c>
      <c r="N1746" t="inlineStr">
        <is>
          <t>Descida de água com solo exposto; necessária proteção superficial e hidrossemeadura.</t>
        </is>
      </c>
      <c r="O1746" t="inlineStr">
        <is>
          <t>Tipo A</t>
        </is>
      </c>
      <c r="P1746" t="inlineStr">
        <is>
          <t>36+200</t>
        </is>
      </c>
      <c r="Q1746" t="inlineStr">
        <is>
          <t>36+200</t>
        </is>
      </c>
      <c r="R1746" t="inlineStr">
        <is>
          <t>Aberta</t>
        </is>
      </c>
      <c r="T1746" t="inlineStr">
        <is>
          <t>Aline Batista</t>
        </is>
      </c>
      <c r="U1746" t="inlineStr">
        <is>
          <t>29/05/2026</t>
        </is>
      </c>
      <c r="V1746" t="inlineStr">
        <is>
          <t>05/06/2026</t>
        </is>
      </c>
      <c r="W1746">
        <v>5</v>
      </c>
      <c r="AA1746" t="inlineStr">
        <is>
          <t>Aberta -30 dias</t>
        </is>
      </c>
      <c r="AB1746" t="inlineStr">
        <is>
          <t>EMPA</t>
        </is>
      </c>
      <c r="AC1746" t="inlineStr">
        <is>
          <t>Aline</t>
        </is>
      </c>
      <c r="AD1746" t="inlineStr">
        <is>
          <t>31/08/2026</t>
        </is>
      </c>
      <c r="AE1746" t="inlineStr">
        <is>
          <t>10/09/2026</t>
        </is>
      </c>
      <c r="AF1746" t="inlineStr">
        <is>
          <t>Prazo Premissa VALE</t>
        </is>
      </c>
    </row>
    <row r="1747">
      <c r="A1747">
        <v>1745</v>
      </c>
      <c r="B1747">
        <v>1</v>
      </c>
      <c r="C1747" t="inlineStr">
        <is>
          <t>1.4A</t>
        </is>
      </c>
      <c r="D1747" t="inlineStr">
        <is>
          <t>C08</t>
        </is>
      </c>
      <c r="E1747" t="inlineStr">
        <is>
          <t>LD/LE</t>
        </is>
      </c>
      <c r="F1747" t="inlineStr">
        <is>
          <t>EMPA</t>
        </is>
      </c>
      <c r="G1747" t="inlineStr">
        <is>
          <t>CLP-020</t>
        </is>
      </c>
      <c r="H1747" t="inlineStr">
        <is>
          <t>Protocolo</t>
        </is>
      </c>
      <c r="I1747">
        <v>6</v>
      </c>
      <c r="J1747" t="inlineStr">
        <is>
          <t>Drenagem Superficial</t>
        </is>
      </c>
      <c r="K1747" t="inlineStr">
        <is>
          <t>6.2</t>
        </is>
      </c>
      <c r="L1747" t="inlineStr">
        <is>
          <t>VPC</t>
        </is>
      </c>
      <c r="M1747" t="inlineStr">
        <is>
          <t>Obstrução do dispositivo</t>
        </is>
      </c>
      <c r="N1747" t="inlineStr">
        <is>
          <t>Drenagem obstruída</t>
        </is>
      </c>
      <c r="O1747" t="inlineStr">
        <is>
          <t>Tipo A</t>
        </is>
      </c>
      <c r="P1747" t="inlineStr">
        <is>
          <t>36+750</t>
        </is>
      </c>
      <c r="Q1747" t="inlineStr">
        <is>
          <t>36+750</t>
        </is>
      </c>
      <c r="R1747" t="inlineStr">
        <is>
          <t>Aberta</t>
        </is>
      </c>
      <c r="T1747" t="inlineStr">
        <is>
          <t>Aline Batista</t>
        </is>
      </c>
      <c r="U1747" t="inlineStr">
        <is>
          <t>29/05/2026</t>
        </is>
      </c>
      <c r="V1747" t="inlineStr">
        <is>
          <t>05/06/2026</t>
        </is>
      </c>
      <c r="W1747">
        <v>5</v>
      </c>
      <c r="AA1747" t="inlineStr">
        <is>
          <t>Aberta -30 dias</t>
        </is>
      </c>
      <c r="AB1747" t="inlineStr">
        <is>
          <t>EMPA</t>
        </is>
      </c>
      <c r="AC1747" t="inlineStr">
        <is>
          <t>Aline</t>
        </is>
      </c>
      <c r="AD1747" t="inlineStr">
        <is>
          <t>31/08/2026</t>
        </is>
      </c>
      <c r="AE1747" t="inlineStr">
        <is>
          <t>10/09/2026</t>
        </is>
      </c>
      <c r="AF1747" t="inlineStr">
        <is>
          <t>Prazo Premissa VALE</t>
        </is>
      </c>
    </row>
    <row r="1748">
      <c r="A1748">
        <v>1746</v>
      </c>
      <c r="B1748">
        <v>1</v>
      </c>
      <c r="C1748" t="inlineStr">
        <is>
          <t>1.4A</t>
        </is>
      </c>
      <c r="D1748" t="inlineStr">
        <is>
          <t>A10</t>
        </is>
      </c>
      <c r="E1748" t="inlineStr">
        <is>
          <t>LD e LE</t>
        </is>
      </c>
      <c r="F1748" t="inlineStr">
        <is>
          <t>EMPA</t>
        </is>
      </c>
      <c r="G1748" t="inlineStr">
        <is>
          <t>CLP-020</t>
        </is>
      </c>
      <c r="H1748" t="inlineStr">
        <is>
          <t>Protocolo</t>
        </is>
      </c>
      <c r="I1748">
        <v>6</v>
      </c>
      <c r="J1748" t="inlineStr">
        <is>
          <t>Drenagem Superficial</t>
        </is>
      </c>
      <c r="K1748" t="inlineStr">
        <is>
          <t>6.1</t>
        </is>
      </c>
      <c r="L1748" t="inlineStr">
        <is>
          <t>VPC</t>
        </is>
      </c>
      <c r="M1748" t="inlineStr">
        <is>
          <t>Dispositivo não executado</t>
        </is>
      </c>
      <c r="N1748" t="inlineStr">
        <is>
          <t xml:space="preserve"> Canaletas não concluídas</t>
        </is>
      </c>
      <c r="O1748" t="inlineStr">
        <is>
          <t>Tipo A</t>
        </is>
      </c>
      <c r="P1748" t="inlineStr">
        <is>
          <t>38+044</t>
        </is>
      </c>
      <c r="Q1748" t="inlineStr">
        <is>
          <t>38+044</t>
        </is>
      </c>
      <c r="R1748" t="inlineStr">
        <is>
          <t>Aberta</t>
        </is>
      </c>
      <c r="T1748" t="inlineStr">
        <is>
          <t>Aline Batista</t>
        </is>
      </c>
      <c r="U1748" t="inlineStr">
        <is>
          <t>29/05/2026</t>
        </is>
      </c>
      <c r="V1748" t="inlineStr">
        <is>
          <t>05/06/2026</t>
        </is>
      </c>
      <c r="W1748">
        <v>5</v>
      </c>
      <c r="AA1748" t="inlineStr">
        <is>
          <t>Aberta -30 dias</t>
        </is>
      </c>
      <c r="AB1748" t="inlineStr">
        <is>
          <t>EMPA</t>
        </is>
      </c>
      <c r="AC1748" t="inlineStr">
        <is>
          <t>Aline</t>
        </is>
      </c>
      <c r="AD1748" t="inlineStr">
        <is>
          <t>31/08/2026</t>
        </is>
      </c>
      <c r="AE1748" t="inlineStr">
        <is>
          <t>10/09/2026</t>
        </is>
      </c>
      <c r="AF1748" t="inlineStr">
        <is>
          <t>Prazo Premissa VALE</t>
        </is>
      </c>
    </row>
    <row r="1749">
      <c r="A1749">
        <v>1747</v>
      </c>
      <c r="B1749">
        <v>1</v>
      </c>
      <c r="D1749" t="inlineStr">
        <is>
          <t>A11</t>
        </is>
      </c>
      <c r="E1749" t="inlineStr">
        <is>
          <t>LE</t>
        </is>
      </c>
      <c r="F1749" t="inlineStr">
        <is>
          <t>EMPA</t>
        </is>
      </c>
      <c r="G1749" t="inlineStr">
        <is>
          <t>CLP-020</t>
        </is>
      </c>
      <c r="H1749" t="inlineStr">
        <is>
          <t>Protocolo</t>
        </is>
      </c>
      <c r="I1749">
        <v>6</v>
      </c>
      <c r="J1749" t="inlineStr">
        <is>
          <t>Drenagem Superficial</t>
        </is>
      </c>
      <c r="K1749" t="inlineStr">
        <is>
          <t>6.1</t>
        </is>
      </c>
      <c r="L1749" t="inlineStr">
        <is>
          <t>VPC 01</t>
        </is>
      </c>
      <c r="M1749" t="inlineStr">
        <is>
          <t>Acúmulo de água</t>
        </is>
      </c>
      <c r="N1749" t="inlineStr">
        <is>
          <t>Foi identificada a presença de água na escavação, situação que demanda a adoção de medidas de esgotamento para viabilizar a continuação do dispositivo de drenagem.</t>
        </is>
      </c>
      <c r="O1749" t="inlineStr">
        <is>
          <t>Tipo A</t>
        </is>
      </c>
      <c r="P1749" t="inlineStr">
        <is>
          <t>37+800</t>
        </is>
      </c>
      <c r="Q1749">
        <v>37800</v>
      </c>
      <c r="R1749" t="inlineStr">
        <is>
          <t>Aberta</t>
        </is>
      </c>
      <c r="T1749" t="inlineStr">
        <is>
          <t>Aline Batista</t>
        </is>
      </c>
      <c r="U1749" t="inlineStr">
        <is>
          <t>29/05/2026</t>
        </is>
      </c>
      <c r="V1749" t="inlineStr">
        <is>
          <t>05/06/2026</t>
        </is>
      </c>
      <c r="W1749">
        <v>5</v>
      </c>
      <c r="AA1749" t="inlineStr">
        <is>
          <t>Aberta -30 dias</t>
        </is>
      </c>
      <c r="AB1749" t="inlineStr">
        <is>
          <t>EMPA</t>
        </is>
      </c>
      <c r="AC1749" t="inlineStr">
        <is>
          <t>Aline</t>
        </is>
      </c>
      <c r="AD1749" t="inlineStr">
        <is>
          <t>31/08/2026</t>
        </is>
      </c>
      <c r="AE1749" t="inlineStr">
        <is>
          <t>10/09/2026</t>
        </is>
      </c>
      <c r="AF1749" t="inlineStr">
        <is>
          <t>Prazo Premissa VALE</t>
        </is>
      </c>
    </row>
    <row r="1750">
      <c r="A1750">
        <v>1748</v>
      </c>
      <c r="B1750">
        <v>1</v>
      </c>
      <c r="C1750" t="inlineStr">
        <is>
          <t>1.4A</t>
        </is>
      </c>
      <c r="D1750" t="inlineStr">
        <is>
          <t>A10</t>
        </is>
      </c>
      <c r="F1750" t="inlineStr">
        <is>
          <t>EMPA</t>
        </is>
      </c>
      <c r="G1750" t="inlineStr">
        <is>
          <t>CLP-020</t>
        </is>
      </c>
      <c r="H1750" t="inlineStr">
        <is>
          <t>Protocolo</t>
        </is>
      </c>
      <c r="I1750">
        <v>6</v>
      </c>
      <c r="J1750" t="inlineStr">
        <is>
          <t>Drenagem Superficial</t>
        </is>
      </c>
      <c r="K1750" t="inlineStr">
        <is>
          <t>6.8</t>
        </is>
      </c>
      <c r="L1750" t="inlineStr">
        <is>
          <t>DRA</t>
        </is>
      </c>
      <c r="M1750" t="inlineStr">
        <is>
          <t>Patologias no Concreto</t>
        </is>
      </c>
      <c r="N1750" t="inlineStr">
        <is>
          <t>Segregação de concreto na entrada da descida d'água</t>
        </is>
      </c>
      <c r="O1750" t="inlineStr">
        <is>
          <t>Tipo A</t>
        </is>
      </c>
      <c r="P1750" t="inlineStr">
        <is>
          <t>38+040</t>
        </is>
      </c>
      <c r="Q1750">
        <v>38040</v>
      </c>
      <c r="R1750" t="inlineStr">
        <is>
          <t>Aberta</t>
        </is>
      </c>
      <c r="T1750" t="inlineStr">
        <is>
          <t>Aline Batista</t>
        </is>
      </c>
      <c r="U1750" t="inlineStr">
        <is>
          <t>29/05/2026</t>
        </is>
      </c>
      <c r="V1750" t="inlineStr">
        <is>
          <t>05/06/2026</t>
        </is>
      </c>
      <c r="W1750">
        <v>5</v>
      </c>
      <c r="AA1750" t="inlineStr">
        <is>
          <t>Aberta -30 dias</t>
        </is>
      </c>
      <c r="AB1750" t="inlineStr">
        <is>
          <t>EMPA</t>
        </is>
      </c>
      <c r="AC1750" t="inlineStr">
        <is>
          <t>Aline</t>
        </is>
      </c>
      <c r="AD1750" t="inlineStr">
        <is>
          <t>31/08/2026</t>
        </is>
      </c>
      <c r="AE1750" t="inlineStr">
        <is>
          <t>10/09/2026</t>
        </is>
      </c>
      <c r="AF1750" t="inlineStr">
        <is>
          <t>Prazo Premissa VALE</t>
        </is>
      </c>
    </row>
    <row r="1751">
      <c r="A1751">
        <v>1749</v>
      </c>
      <c r="B1751">
        <v>1</v>
      </c>
      <c r="C1751" t="inlineStr">
        <is>
          <t>1.4A</t>
        </is>
      </c>
      <c r="D1751" t="inlineStr">
        <is>
          <t>A09</t>
        </is>
      </c>
      <c r="F1751" t="inlineStr">
        <is>
          <t>EMPA</t>
        </is>
      </c>
      <c r="G1751" t="inlineStr">
        <is>
          <t>CLP-020</t>
        </is>
      </c>
      <c r="H1751" t="inlineStr">
        <is>
          <t>Protocolo</t>
        </is>
      </c>
      <c r="I1751">
        <v>6</v>
      </c>
      <c r="J1751" t="inlineStr">
        <is>
          <t>Drenagem Superficial</t>
        </is>
      </c>
      <c r="K1751" t="inlineStr">
        <is>
          <t>6.10</t>
        </is>
      </c>
      <c r="L1751" t="inlineStr">
        <is>
          <t>VPC</t>
        </is>
      </c>
      <c r="M1751" t="inlineStr">
        <is>
          <t>Drenagem danificadas</t>
        </is>
      </c>
      <c r="N1751" t="inlineStr">
        <is>
          <t>Dispositivo danificado</t>
        </is>
      </c>
      <c r="O1751" t="inlineStr">
        <is>
          <t>Tipo A</t>
        </is>
      </c>
      <c r="P1751" t="inlineStr">
        <is>
          <t>37+280</t>
        </is>
      </c>
      <c r="Q1751">
        <v>37280</v>
      </c>
      <c r="R1751" t="inlineStr">
        <is>
          <t>Aberta</t>
        </is>
      </c>
      <c r="T1751" t="inlineStr">
        <is>
          <t>Aline Batista</t>
        </is>
      </c>
      <c r="U1751" t="inlineStr">
        <is>
          <t>29/05/2026</t>
        </is>
      </c>
      <c r="V1751" t="inlineStr">
        <is>
          <t>05/06/2026</t>
        </is>
      </c>
      <c r="W1751">
        <v>5</v>
      </c>
      <c r="AA1751" t="inlineStr">
        <is>
          <t>Aberta -30 dias</t>
        </is>
      </c>
      <c r="AB1751" t="inlineStr">
        <is>
          <t>EMPA</t>
        </is>
      </c>
      <c r="AC1751" t="inlineStr">
        <is>
          <t>Aline</t>
        </is>
      </c>
      <c r="AD1751" t="inlineStr">
        <is>
          <t>31/08/2026</t>
        </is>
      </c>
      <c r="AE1751" t="inlineStr">
        <is>
          <t>10/09/2026</t>
        </is>
      </c>
      <c r="AF1751" t="inlineStr">
        <is>
          <t>Prazo Premissa VALE</t>
        </is>
      </c>
    </row>
    <row r="1752">
      <c r="A1752">
        <v>1750</v>
      </c>
      <c r="B1752">
        <v>1</v>
      </c>
      <c r="C1752" t="inlineStr">
        <is>
          <t>1.4A</t>
        </is>
      </c>
      <c r="D1752" t="inlineStr">
        <is>
          <t>A08</t>
        </is>
      </c>
      <c r="F1752" t="inlineStr">
        <is>
          <t>EMPA</t>
        </is>
      </c>
      <c r="G1752" t="inlineStr">
        <is>
          <t>CLP-020</t>
        </is>
      </c>
      <c r="H1752" t="inlineStr">
        <is>
          <t>Protocolo</t>
        </is>
      </c>
      <c r="I1752">
        <v>6</v>
      </c>
      <c r="J1752" t="inlineStr">
        <is>
          <t>Drenagem Superficial</t>
        </is>
      </c>
      <c r="K1752" t="inlineStr">
        <is>
          <t>6.10</t>
        </is>
      </c>
      <c r="L1752" t="inlineStr">
        <is>
          <t>VPC</t>
        </is>
      </c>
      <c r="M1752" t="inlineStr">
        <is>
          <t>Obstrução do dispositivo</t>
        </is>
      </c>
      <c r="N1752" t="inlineStr">
        <is>
          <t>Obstrução de drenagem</t>
        </is>
      </c>
      <c r="O1752" t="inlineStr">
        <is>
          <t>Tipo A</t>
        </is>
      </c>
      <c r="P1752" t="inlineStr">
        <is>
          <t>36+980</t>
        </is>
      </c>
      <c r="Q1752">
        <v>36980</v>
      </c>
      <c r="R1752" t="inlineStr">
        <is>
          <t>Aberta</t>
        </is>
      </c>
      <c r="T1752" t="inlineStr">
        <is>
          <t>Aline Batista</t>
        </is>
      </c>
      <c r="U1752" t="inlineStr">
        <is>
          <t>29/05/2026</t>
        </is>
      </c>
      <c r="V1752" t="inlineStr">
        <is>
          <t>05/06/2026</t>
        </is>
      </c>
      <c r="W1752">
        <v>5</v>
      </c>
      <c r="AA1752" t="inlineStr">
        <is>
          <t>Aberta -30 dias</t>
        </is>
      </c>
      <c r="AB1752" t="inlineStr">
        <is>
          <t>EMPA</t>
        </is>
      </c>
      <c r="AC1752" t="inlineStr">
        <is>
          <t>Aline</t>
        </is>
      </c>
      <c r="AD1752" t="inlineStr">
        <is>
          <t>31/08/2026</t>
        </is>
      </c>
      <c r="AE1752" t="inlineStr">
        <is>
          <t>10/09/2026</t>
        </is>
      </c>
      <c r="AF1752" t="inlineStr">
        <is>
          <t>Prazo Premissa VALE</t>
        </is>
      </c>
    </row>
    <row r="1753">
      <c r="A1753">
        <v>1751</v>
      </c>
      <c r="B1753">
        <v>1</v>
      </c>
      <c r="C1753" t="inlineStr">
        <is>
          <t>1.4A</t>
        </is>
      </c>
      <c r="D1753" t="inlineStr">
        <is>
          <t>A07</t>
        </is>
      </c>
      <c r="F1753" t="inlineStr">
        <is>
          <t>EMPA</t>
        </is>
      </c>
      <c r="G1753" t="inlineStr">
        <is>
          <t>CLP-020</t>
        </is>
      </c>
      <c r="H1753" t="inlineStr">
        <is>
          <t>Protocolo</t>
        </is>
      </c>
      <c r="I1753">
        <v>6</v>
      </c>
      <c r="J1753" t="inlineStr">
        <is>
          <t>Drenagem Superficial</t>
        </is>
      </c>
      <c r="K1753" t="inlineStr">
        <is>
          <t>6.10</t>
        </is>
      </c>
      <c r="L1753" t="inlineStr">
        <is>
          <t>DRA</t>
        </is>
      </c>
      <c r="M1753" t="inlineStr">
        <is>
          <t>Obstrução do dispositivo</t>
        </is>
      </c>
      <c r="N1753" t="inlineStr">
        <is>
          <t>Descida d'água obstruída</t>
        </is>
      </c>
      <c r="O1753" t="inlineStr">
        <is>
          <t>Tipo A</t>
        </is>
      </c>
      <c r="P1753" t="inlineStr">
        <is>
          <t>36+380</t>
        </is>
      </c>
      <c r="Q1753">
        <v>36380</v>
      </c>
      <c r="R1753" t="inlineStr">
        <is>
          <t>Aberta</t>
        </is>
      </c>
      <c r="T1753" t="inlineStr">
        <is>
          <t>Aline Batista</t>
        </is>
      </c>
      <c r="U1753" t="inlineStr">
        <is>
          <t>29/05/2026</t>
        </is>
      </c>
      <c r="V1753" t="inlineStr">
        <is>
          <t>05/06/2026</t>
        </is>
      </c>
      <c r="W1753">
        <v>5</v>
      </c>
      <c r="AA1753" t="inlineStr">
        <is>
          <t>Aberta -30 dias</t>
        </is>
      </c>
      <c r="AB1753" t="inlineStr">
        <is>
          <t>EMPA</t>
        </is>
      </c>
      <c r="AC1753" t="inlineStr">
        <is>
          <t>Aline</t>
        </is>
      </c>
      <c r="AD1753" t="inlineStr">
        <is>
          <t>31/08/2026</t>
        </is>
      </c>
      <c r="AE1753" t="inlineStr">
        <is>
          <t>10/09/2026</t>
        </is>
      </c>
      <c r="AF1753" t="inlineStr">
        <is>
          <t>Prazo Premissa VALE</t>
        </is>
      </c>
    </row>
    <row r="1754">
      <c r="A1754">
        <v>1752</v>
      </c>
      <c r="B1754">
        <v>1</v>
      </c>
      <c r="C1754" t="inlineStr">
        <is>
          <t>1.4A</t>
        </is>
      </c>
      <c r="D1754" t="inlineStr">
        <is>
          <t>A06</t>
        </is>
      </c>
      <c r="F1754" t="inlineStr">
        <is>
          <t>EMPA</t>
        </is>
      </c>
      <c r="G1754" t="inlineStr">
        <is>
          <t>CLP-020</t>
        </is>
      </c>
      <c r="H1754" t="inlineStr">
        <is>
          <t>Fiscalização</t>
        </is>
      </c>
      <c r="I1754">
        <v>6</v>
      </c>
      <c r="J1754" t="inlineStr">
        <is>
          <t>Drenagem Superficial</t>
        </is>
      </c>
      <c r="K1754" t="inlineStr">
        <is>
          <t>6.8</t>
        </is>
      </c>
      <c r="L1754" t="inlineStr">
        <is>
          <t>VPC</t>
        </is>
      </c>
      <c r="M1754" t="inlineStr">
        <is>
          <t>Obstrução do dispositivo</t>
        </is>
      </c>
      <c r="N1754" t="inlineStr">
        <is>
          <t>Obstrução de drenagem</t>
        </is>
      </c>
      <c r="O1754" t="inlineStr">
        <is>
          <t>Tipo A</t>
        </is>
      </c>
      <c r="P1754" t="inlineStr">
        <is>
          <t>36+140</t>
        </is>
      </c>
      <c r="Q1754">
        <v>36140</v>
      </c>
      <c r="R1754" t="inlineStr">
        <is>
          <t>Aberta</t>
        </is>
      </c>
      <c r="T1754" t="inlineStr">
        <is>
          <t>Aline Batista</t>
        </is>
      </c>
      <c r="U1754" t="inlineStr">
        <is>
          <t>29/05/2026</t>
        </is>
      </c>
      <c r="V1754" t="inlineStr">
        <is>
          <t>05/06/2026</t>
        </is>
      </c>
      <c r="W1754">
        <v>5</v>
      </c>
      <c r="AA1754" t="inlineStr">
        <is>
          <t>Aberta -30 dias</t>
        </is>
      </c>
      <c r="AB1754" t="inlineStr">
        <is>
          <t>EMPA</t>
        </is>
      </c>
      <c r="AC1754" t="inlineStr">
        <is>
          <t>Aline</t>
        </is>
      </c>
      <c r="AD1754" t="inlineStr">
        <is>
          <t>31/08/2026</t>
        </is>
      </c>
      <c r="AE1754" t="inlineStr">
        <is>
          <t>10/09/2026</t>
        </is>
      </c>
      <c r="AF1754" t="inlineStr">
        <is>
          <t>Prazo Premissa VALE</t>
        </is>
      </c>
    </row>
    <row r="1755">
      <c r="A1755">
        <v>1753</v>
      </c>
      <c r="B1755">
        <v>1</v>
      </c>
      <c r="C1755" t="inlineStr">
        <is>
          <t>1.4A</t>
        </is>
      </c>
      <c r="D1755" t="inlineStr">
        <is>
          <t>A06</t>
        </is>
      </c>
      <c r="F1755" t="inlineStr">
        <is>
          <t>EMPA</t>
        </is>
      </c>
      <c r="G1755" t="inlineStr">
        <is>
          <t>CLP-020</t>
        </is>
      </c>
      <c r="H1755" t="inlineStr">
        <is>
          <t>Protocolo</t>
        </is>
      </c>
      <c r="I1755">
        <v>6</v>
      </c>
      <c r="J1755" t="inlineStr">
        <is>
          <t>Drenagem Superficial</t>
        </is>
      </c>
      <c r="K1755" t="inlineStr">
        <is>
          <t>6.9</t>
        </is>
      </c>
      <c r="L1755" t="inlineStr">
        <is>
          <t>VPC</t>
        </is>
      </c>
      <c r="M1755" t="inlineStr">
        <is>
          <t>Tratamento de junta</t>
        </is>
      </c>
      <c r="N1755" t="inlineStr">
        <is>
          <t>Ausencia de preenchimento das juntas de dilatação.</t>
        </is>
      </c>
      <c r="O1755" t="inlineStr">
        <is>
          <t>Tipo A</t>
        </is>
      </c>
      <c r="P1755" t="inlineStr">
        <is>
          <t>36+100</t>
        </is>
      </c>
      <c r="Q1755">
        <v>36100</v>
      </c>
      <c r="R1755" t="inlineStr">
        <is>
          <t>Aberta</t>
        </is>
      </c>
      <c r="T1755" t="inlineStr">
        <is>
          <t>Aline Batista</t>
        </is>
      </c>
      <c r="U1755" t="inlineStr">
        <is>
          <t>29/05/2026</t>
        </is>
      </c>
      <c r="V1755" t="inlineStr">
        <is>
          <t>05/06/2026</t>
        </is>
      </c>
      <c r="W1755">
        <v>5</v>
      </c>
      <c r="AA1755" t="inlineStr">
        <is>
          <t>Aberta -30 dias</t>
        </is>
      </c>
      <c r="AB1755" t="inlineStr">
        <is>
          <t>EMPA</t>
        </is>
      </c>
      <c r="AC1755" t="inlineStr">
        <is>
          <t>Aline</t>
        </is>
      </c>
      <c r="AD1755" t="inlineStr">
        <is>
          <t>31/08/2026</t>
        </is>
      </c>
      <c r="AE1755" t="inlineStr">
        <is>
          <t>10/09/2026</t>
        </is>
      </c>
      <c r="AF1755" t="inlineStr">
        <is>
          <t>Prazo Premissa VALE</t>
        </is>
      </c>
    </row>
    <row r="1756">
      <c r="A1756">
        <v>1754</v>
      </c>
      <c r="B1756">
        <v>1</v>
      </c>
      <c r="C1756" t="inlineStr">
        <is>
          <t>1.4A</t>
        </is>
      </c>
      <c r="D1756" t="inlineStr">
        <is>
          <t>A05</t>
        </is>
      </c>
      <c r="F1756" t="inlineStr">
        <is>
          <t>EMPA</t>
        </is>
      </c>
      <c r="G1756" t="inlineStr">
        <is>
          <t>CLP-020</t>
        </is>
      </c>
      <c r="H1756" t="inlineStr">
        <is>
          <t>Protocolo</t>
        </is>
      </c>
      <c r="I1756">
        <v>6</v>
      </c>
      <c r="J1756" t="inlineStr">
        <is>
          <t>Drenagem Superficial</t>
        </is>
      </c>
      <c r="K1756" t="inlineStr">
        <is>
          <t>6.9</t>
        </is>
      </c>
      <c r="L1756" t="inlineStr">
        <is>
          <t>DRA</t>
        </is>
      </c>
      <c r="M1756" t="inlineStr">
        <is>
          <t>Patologias no Concreto</t>
        </is>
      </c>
      <c r="N1756" t="inlineStr">
        <is>
          <t>Presença de fissuras no rejunte da descida d'água</t>
        </is>
      </c>
      <c r="O1756" t="inlineStr">
        <is>
          <t>Tipo A</t>
        </is>
      </c>
      <c r="P1756" t="inlineStr">
        <is>
          <t>35+890</t>
        </is>
      </c>
      <c r="Q1756">
        <v>35890</v>
      </c>
      <c r="R1756" t="inlineStr">
        <is>
          <t>Aberta</t>
        </is>
      </c>
      <c r="T1756" t="inlineStr">
        <is>
          <t>Aline Batista</t>
        </is>
      </c>
      <c r="U1756" t="inlineStr">
        <is>
          <t>29/05/2026</t>
        </is>
      </c>
      <c r="V1756" t="inlineStr">
        <is>
          <t>05/06/2026</t>
        </is>
      </c>
      <c r="W1756">
        <v>5</v>
      </c>
      <c r="AA1756" t="inlineStr">
        <is>
          <t>Aberta -30 dias</t>
        </is>
      </c>
      <c r="AB1756" t="inlineStr">
        <is>
          <t>EMPA</t>
        </is>
      </c>
      <c r="AC1756" t="inlineStr">
        <is>
          <t>Aline</t>
        </is>
      </c>
      <c r="AD1756" t="inlineStr">
        <is>
          <t>31/08/2026</t>
        </is>
      </c>
      <c r="AE1756" t="inlineStr">
        <is>
          <t>10/09/2026</t>
        </is>
      </c>
      <c r="AF1756" t="inlineStr">
        <is>
          <t>Prazo Premissa VALE</t>
        </is>
      </c>
    </row>
    <row r="1757">
      <c r="A1757">
        <v>1755</v>
      </c>
      <c r="B1757">
        <v>1</v>
      </c>
      <c r="C1757" t="inlineStr">
        <is>
          <t>1.4A</t>
        </is>
      </c>
      <c r="D1757" t="inlineStr">
        <is>
          <t>A01</t>
        </is>
      </c>
      <c r="F1757" t="inlineStr">
        <is>
          <t>EMPA</t>
        </is>
      </c>
      <c r="G1757" t="inlineStr">
        <is>
          <t>CLP-020</t>
        </is>
      </c>
      <c r="H1757" t="inlineStr">
        <is>
          <t>Protocolo</t>
        </is>
      </c>
      <c r="I1757">
        <v>6</v>
      </c>
      <c r="J1757" t="inlineStr">
        <is>
          <t>Drenagem Superficial</t>
        </is>
      </c>
      <c r="K1757" t="inlineStr">
        <is>
          <t>6.8</t>
        </is>
      </c>
      <c r="L1757" t="inlineStr">
        <is>
          <t>VPC</t>
        </is>
      </c>
      <c r="M1757" t="inlineStr">
        <is>
          <t>Drenagem danificadas</t>
        </is>
      </c>
      <c r="N1757" t="inlineStr">
        <is>
          <t>Dispositivo danificado</t>
        </is>
      </c>
      <c r="O1757" t="inlineStr">
        <is>
          <t>Tipo A</t>
        </is>
      </c>
      <c r="P1757" t="inlineStr">
        <is>
          <t>31+300</t>
        </is>
      </c>
      <c r="Q1757">
        <v>31300</v>
      </c>
      <c r="R1757" t="inlineStr">
        <is>
          <t>Aberta</t>
        </is>
      </c>
      <c r="T1757" t="inlineStr">
        <is>
          <t>Aline Batista</t>
        </is>
      </c>
      <c r="U1757" t="inlineStr">
        <is>
          <t>29/05/2026</t>
        </is>
      </c>
      <c r="V1757" t="inlineStr">
        <is>
          <t>05/06/2026</t>
        </is>
      </c>
      <c r="W1757">
        <v>5</v>
      </c>
      <c r="AA1757" t="inlineStr">
        <is>
          <t>Aberta -30 dias</t>
        </is>
      </c>
      <c r="AB1757" t="inlineStr">
        <is>
          <t>EMPA</t>
        </is>
      </c>
      <c r="AC1757" t="inlineStr">
        <is>
          <t>Aline</t>
        </is>
      </c>
      <c r="AD1757" t="inlineStr">
        <is>
          <t>17/08/2026</t>
        </is>
      </c>
      <c r="AE1757" t="inlineStr">
        <is>
          <t>28/08/2026</t>
        </is>
      </c>
      <c r="AF1757" t="inlineStr">
        <is>
          <t>Prazo Premissa VALE</t>
        </is>
      </c>
    </row>
    <row r="1758">
      <c r="A1758">
        <v>1756</v>
      </c>
      <c r="B1758">
        <v>1</v>
      </c>
      <c r="C1758" t="inlineStr">
        <is>
          <t>1.4A</t>
        </is>
      </c>
      <c r="D1758" t="inlineStr">
        <is>
          <t>A01</t>
        </is>
      </c>
      <c r="F1758" t="inlineStr">
        <is>
          <t>EMPA</t>
        </is>
      </c>
      <c r="G1758" t="inlineStr">
        <is>
          <t>CLP-020</t>
        </is>
      </c>
      <c r="H1758" t="inlineStr">
        <is>
          <t>Protocolo</t>
        </is>
      </c>
      <c r="I1758">
        <v>6</v>
      </c>
      <c r="J1758" t="inlineStr">
        <is>
          <t>Drenagem Superficial</t>
        </is>
      </c>
      <c r="K1758" t="inlineStr">
        <is>
          <t>6.8</t>
        </is>
      </c>
      <c r="L1758" t="inlineStr">
        <is>
          <t>VPC</t>
        </is>
      </c>
      <c r="M1758" t="inlineStr">
        <is>
          <t>Drenagem danificadas</t>
        </is>
      </c>
      <c r="N1758" t="inlineStr">
        <is>
          <t>Dispositivo danificado</t>
        </is>
      </c>
      <c r="O1758" t="inlineStr">
        <is>
          <t>Tipo A</t>
        </is>
      </c>
      <c r="P1758" t="inlineStr">
        <is>
          <t>31+340</t>
        </is>
      </c>
      <c r="Q1758">
        <v>31340</v>
      </c>
      <c r="R1758" t="inlineStr">
        <is>
          <t>Aberta</t>
        </is>
      </c>
      <c r="T1758" t="inlineStr">
        <is>
          <t>Aline Batista</t>
        </is>
      </c>
      <c r="U1758" t="inlineStr">
        <is>
          <t>29/05/2026</t>
        </is>
      </c>
      <c r="V1758" t="inlineStr">
        <is>
          <t>05/06/2026</t>
        </is>
      </c>
      <c r="W1758">
        <v>5</v>
      </c>
      <c r="AA1758" t="inlineStr">
        <is>
          <t>Aberta -30 dias</t>
        </is>
      </c>
      <c r="AB1758" t="inlineStr">
        <is>
          <t>EMPA</t>
        </is>
      </c>
      <c r="AC1758" t="inlineStr">
        <is>
          <t>Aline</t>
        </is>
      </c>
      <c r="AD1758" t="inlineStr">
        <is>
          <t>17/08/2026</t>
        </is>
      </c>
      <c r="AE1758" t="inlineStr">
        <is>
          <t>28/08/2026</t>
        </is>
      </c>
      <c r="AF1758" t="inlineStr">
        <is>
          <t>Prazo Premissa VALE</t>
        </is>
      </c>
    </row>
    <row r="1759">
      <c r="A1759">
        <v>1757</v>
      </c>
      <c r="B1759">
        <v>1</v>
      </c>
      <c r="C1759" t="inlineStr">
        <is>
          <t>1.4A</t>
        </is>
      </c>
      <c r="D1759" t="inlineStr">
        <is>
          <t>A02</t>
        </is>
      </c>
      <c r="F1759" t="inlineStr">
        <is>
          <t>EMPA</t>
        </is>
      </c>
      <c r="G1759" t="inlineStr">
        <is>
          <t>CLP-020</t>
        </is>
      </c>
      <c r="H1759" t="inlineStr">
        <is>
          <t>Protocolo</t>
        </is>
      </c>
      <c r="I1759">
        <v>6</v>
      </c>
      <c r="J1759" t="inlineStr">
        <is>
          <t>Drenagem Superficial</t>
        </is>
      </c>
      <c r="K1759" t="inlineStr">
        <is>
          <t>6.8</t>
        </is>
      </c>
      <c r="L1759" t="inlineStr">
        <is>
          <t>VPC</t>
        </is>
      </c>
      <c r="M1759" t="inlineStr">
        <is>
          <t>Obstrução do dispositivo</t>
        </is>
      </c>
      <c r="N1759" t="inlineStr">
        <is>
          <t>Obstrução de drenagem</t>
        </is>
      </c>
      <c r="O1759" t="inlineStr">
        <is>
          <t>Tipo A</t>
        </is>
      </c>
      <c r="P1759" t="inlineStr">
        <is>
          <t>32+780</t>
        </is>
      </c>
      <c r="Q1759">
        <v>32780</v>
      </c>
      <c r="R1759" t="inlineStr">
        <is>
          <t>Aberta</t>
        </is>
      </c>
      <c r="T1759" t="inlineStr">
        <is>
          <t>Aline Batista</t>
        </is>
      </c>
      <c r="U1759" t="inlineStr">
        <is>
          <t>29/05/2026</t>
        </is>
      </c>
      <c r="V1759" t="inlineStr">
        <is>
          <t>05/06/2026</t>
        </is>
      </c>
      <c r="W1759">
        <v>5</v>
      </c>
      <c r="AA1759" t="inlineStr">
        <is>
          <t>Aberta -30 dias</t>
        </is>
      </c>
      <c r="AB1759" t="inlineStr">
        <is>
          <t>EMPA</t>
        </is>
      </c>
      <c r="AC1759" t="inlineStr">
        <is>
          <t>Aline</t>
        </is>
      </c>
      <c r="AD1759" t="inlineStr">
        <is>
          <t>17/08/2026</t>
        </is>
      </c>
      <c r="AE1759" t="inlineStr">
        <is>
          <t>28/08/2026</t>
        </is>
      </c>
      <c r="AF1759" t="inlineStr">
        <is>
          <t>Prazo Premissa VALE</t>
        </is>
      </c>
    </row>
    <row r="1760">
      <c r="A1760">
        <v>1758</v>
      </c>
      <c r="B1760">
        <v>1</v>
      </c>
      <c r="C1760" t="inlineStr">
        <is>
          <t>1.4A</t>
        </is>
      </c>
      <c r="D1760" t="inlineStr">
        <is>
          <t>A01</t>
        </is>
      </c>
      <c r="F1760" t="inlineStr">
        <is>
          <t>EMPA</t>
        </is>
      </c>
      <c r="G1760" t="inlineStr">
        <is>
          <t>CLP-020</t>
        </is>
      </c>
      <c r="H1760" t="inlineStr">
        <is>
          <t>Fiscalização</t>
        </is>
      </c>
      <c r="I1760">
        <v>6</v>
      </c>
      <c r="J1760" t="inlineStr">
        <is>
          <t>Drenagem Superficial</t>
        </is>
      </c>
      <c r="K1760" t="inlineStr">
        <is>
          <t>6.10</t>
        </is>
      </c>
      <c r="L1760" t="inlineStr">
        <is>
          <t>VPC</t>
        </is>
      </c>
      <c r="M1760" t="inlineStr">
        <is>
          <t>Obstrução do dispositivo</t>
        </is>
      </c>
      <c r="N1760" t="inlineStr">
        <is>
          <t>Obstrução de drenagem no pé do aterro</t>
        </is>
      </c>
      <c r="O1760" t="inlineStr">
        <is>
          <t>Tipo A</t>
        </is>
      </c>
      <c r="P1760" t="inlineStr">
        <is>
          <t>31+620</t>
        </is>
      </c>
      <c r="Q1760">
        <v>31620</v>
      </c>
      <c r="R1760" t="inlineStr">
        <is>
          <t>Aberta</t>
        </is>
      </c>
      <c r="T1760" t="inlineStr">
        <is>
          <t>Aline Batista</t>
        </is>
      </c>
      <c r="U1760" t="inlineStr">
        <is>
          <t>29/05/2026</t>
        </is>
      </c>
      <c r="V1760" t="inlineStr">
        <is>
          <t>05/06/2026</t>
        </is>
      </c>
      <c r="W1760">
        <v>5</v>
      </c>
      <c r="AA1760" t="inlineStr">
        <is>
          <t>Aberta -30 dias</t>
        </is>
      </c>
      <c r="AB1760" t="inlineStr">
        <is>
          <t>EMPA</t>
        </is>
      </c>
      <c r="AC1760" t="inlineStr">
        <is>
          <t>Aline</t>
        </is>
      </c>
      <c r="AD1760" t="inlineStr">
        <is>
          <t>17/08/2026</t>
        </is>
      </c>
      <c r="AE1760" t="inlineStr">
        <is>
          <t>28/08/2026</t>
        </is>
      </c>
      <c r="AF1760" t="inlineStr">
        <is>
          <t>Prazo Premissa VALE</t>
        </is>
      </c>
    </row>
    <row r="1761">
      <c r="A1761">
        <v>1759</v>
      </c>
      <c r="B1761">
        <v>1</v>
      </c>
      <c r="C1761" t="inlineStr">
        <is>
          <t>1.4A</t>
        </is>
      </c>
      <c r="D1761" t="inlineStr">
        <is>
          <t>C02</t>
        </is>
      </c>
      <c r="F1761" t="inlineStr">
        <is>
          <t>EMPA</t>
        </is>
      </c>
      <c r="G1761" t="inlineStr">
        <is>
          <t>CLP-020</t>
        </is>
      </c>
      <c r="H1761" t="inlineStr">
        <is>
          <t>Protocolo</t>
        </is>
      </c>
      <c r="I1761">
        <v>6</v>
      </c>
      <c r="J1761" t="inlineStr">
        <is>
          <t>Drenagem Superficial</t>
        </is>
      </c>
      <c r="K1761" t="inlineStr">
        <is>
          <t>6.10</t>
        </is>
      </c>
      <c r="L1761" t="inlineStr">
        <is>
          <t>VPC</t>
        </is>
      </c>
      <c r="M1761" t="inlineStr">
        <is>
          <t>Dispositivo não executado</t>
        </is>
      </c>
      <c r="N1761" t="inlineStr">
        <is>
          <t>Pendente conclusão do dispositivo</t>
        </is>
      </c>
      <c r="O1761" t="inlineStr">
        <is>
          <t>Tipo A</t>
        </is>
      </c>
      <c r="P1761" t="inlineStr">
        <is>
          <t>32+240</t>
        </is>
      </c>
      <c r="Q1761">
        <v>32240</v>
      </c>
      <c r="R1761" t="inlineStr">
        <is>
          <t>Aberta</t>
        </is>
      </c>
      <c r="T1761" t="inlineStr">
        <is>
          <t>Aline Batista</t>
        </is>
      </c>
      <c r="U1761" t="inlineStr">
        <is>
          <t>29/05/2026</t>
        </is>
      </c>
      <c r="V1761" t="inlineStr">
        <is>
          <t>05/06/2026</t>
        </is>
      </c>
      <c r="W1761">
        <v>5</v>
      </c>
      <c r="AA1761" t="inlineStr">
        <is>
          <t>Aberta -30 dias</t>
        </is>
      </c>
      <c r="AB1761" t="inlineStr">
        <is>
          <t>EMPA</t>
        </is>
      </c>
      <c r="AC1761" t="inlineStr">
        <is>
          <t>Aline</t>
        </is>
      </c>
      <c r="AD1761" t="inlineStr">
        <is>
          <t>17/08/2026</t>
        </is>
      </c>
      <c r="AE1761" t="inlineStr">
        <is>
          <t>28/08/2026</t>
        </is>
      </c>
      <c r="AF1761" t="inlineStr">
        <is>
          <t>Prazo Premissa VALE</t>
        </is>
      </c>
    </row>
    <row r="1762">
      <c r="A1762">
        <v>1760</v>
      </c>
      <c r="B1762">
        <v>1</v>
      </c>
      <c r="C1762" t="inlineStr">
        <is>
          <t>1.4A</t>
        </is>
      </c>
      <c r="D1762" t="inlineStr">
        <is>
          <t>C02</t>
        </is>
      </c>
      <c r="F1762" t="inlineStr">
        <is>
          <t>EMPA</t>
        </is>
      </c>
      <c r="G1762" t="inlineStr">
        <is>
          <t>CLP-020</t>
        </is>
      </c>
      <c r="H1762" t="inlineStr">
        <is>
          <t>Protocolo</t>
        </is>
      </c>
      <c r="I1762">
        <v>6</v>
      </c>
      <c r="J1762" t="inlineStr">
        <is>
          <t>Drenagem Superficial</t>
        </is>
      </c>
      <c r="K1762" t="inlineStr">
        <is>
          <t>6.1</t>
        </is>
      </c>
      <c r="L1762" t="inlineStr">
        <is>
          <t>VPC</t>
        </is>
      </c>
      <c r="M1762" t="inlineStr">
        <is>
          <t>Dispositivo não executado</t>
        </is>
      </c>
      <c r="N1762" t="inlineStr">
        <is>
          <t>Pendente conclusão do dispositivo</t>
        </is>
      </c>
      <c r="O1762" t="inlineStr">
        <is>
          <t>Tipo A</t>
        </is>
      </c>
      <c r="P1762" t="inlineStr">
        <is>
          <t>32+200</t>
        </is>
      </c>
      <c r="Q1762">
        <v>32200</v>
      </c>
      <c r="R1762" t="inlineStr">
        <is>
          <t>Aberta</t>
        </is>
      </c>
      <c r="T1762" t="inlineStr">
        <is>
          <t>Aline Batista</t>
        </is>
      </c>
      <c r="U1762" t="inlineStr">
        <is>
          <t>29/05/2026</t>
        </is>
      </c>
      <c r="V1762" t="inlineStr">
        <is>
          <t>05/06/2026</t>
        </is>
      </c>
      <c r="W1762">
        <v>5</v>
      </c>
      <c r="AA1762" t="inlineStr">
        <is>
          <t>Aberta -30 dias</t>
        </is>
      </c>
      <c r="AB1762" t="inlineStr">
        <is>
          <t>EMPA</t>
        </is>
      </c>
      <c r="AC1762" t="inlineStr">
        <is>
          <t>Aline</t>
        </is>
      </c>
      <c r="AD1762" t="inlineStr">
        <is>
          <t>17/08/2026</t>
        </is>
      </c>
      <c r="AE1762" t="inlineStr">
        <is>
          <t>28/08/2026</t>
        </is>
      </c>
      <c r="AF1762" t="inlineStr">
        <is>
          <t>Prazo Premissa VALE</t>
        </is>
      </c>
    </row>
    <row r="1763">
      <c r="A1763">
        <v>1761</v>
      </c>
      <c r="B1763">
        <v>1</v>
      </c>
      <c r="C1763" t="inlineStr">
        <is>
          <t>1.4A</t>
        </is>
      </c>
      <c r="D1763" t="inlineStr">
        <is>
          <t>A03</t>
        </is>
      </c>
      <c r="F1763" t="inlineStr">
        <is>
          <t>EMPA</t>
        </is>
      </c>
      <c r="G1763" t="inlineStr">
        <is>
          <t>CLP-020</t>
        </is>
      </c>
      <c r="H1763" t="inlineStr">
        <is>
          <t>Protocolo</t>
        </is>
      </c>
      <c r="I1763">
        <v>6</v>
      </c>
      <c r="J1763" t="inlineStr">
        <is>
          <t>Drenagem Superficial</t>
        </is>
      </c>
      <c r="K1763" t="inlineStr">
        <is>
          <t>6.1</t>
        </is>
      </c>
      <c r="L1763" t="inlineStr">
        <is>
          <t>VPC</t>
        </is>
      </c>
      <c r="M1763" t="inlineStr">
        <is>
          <t>Obstrução do dispositivo</t>
        </is>
      </c>
      <c r="N1763" t="inlineStr">
        <is>
          <t>Obstrução de drenagem</t>
        </is>
      </c>
      <c r="O1763" t="inlineStr">
        <is>
          <t>Tipo A</t>
        </is>
      </c>
      <c r="P1763" t="inlineStr">
        <is>
          <t>33+830</t>
        </is>
      </c>
      <c r="Q1763">
        <v>33830</v>
      </c>
      <c r="R1763" t="inlineStr">
        <is>
          <t>Aberta</t>
        </is>
      </c>
      <c r="T1763" t="inlineStr">
        <is>
          <t>Aline Batista</t>
        </is>
      </c>
      <c r="U1763" t="inlineStr">
        <is>
          <t>29/05/2026</t>
        </is>
      </c>
      <c r="V1763" t="inlineStr">
        <is>
          <t>05/06/2026</t>
        </is>
      </c>
      <c r="W1763">
        <v>5</v>
      </c>
      <c r="AA1763" t="inlineStr">
        <is>
          <t>Aberta -30 dias</t>
        </is>
      </c>
      <c r="AB1763" t="inlineStr">
        <is>
          <t>EMPA</t>
        </is>
      </c>
      <c r="AC1763" t="inlineStr">
        <is>
          <t>Aline</t>
        </is>
      </c>
      <c r="AD1763" t="inlineStr">
        <is>
          <t>31/08/2026</t>
        </is>
      </c>
      <c r="AE1763" t="inlineStr">
        <is>
          <t>10/09/2026</t>
        </is>
      </c>
      <c r="AF1763" t="inlineStr">
        <is>
          <t>Prazo Premissa VALE</t>
        </is>
      </c>
    </row>
    <row r="1764">
      <c r="A1764">
        <v>1762</v>
      </c>
      <c r="B1764">
        <v>1</v>
      </c>
      <c r="C1764" t="inlineStr">
        <is>
          <t>1.4A</t>
        </is>
      </c>
      <c r="D1764" t="inlineStr">
        <is>
          <t>A02</t>
        </is>
      </c>
      <c r="F1764" t="inlineStr">
        <is>
          <t>EMPA</t>
        </is>
      </c>
      <c r="G1764" t="inlineStr">
        <is>
          <t>CLP-020</t>
        </is>
      </c>
      <c r="H1764" t="inlineStr">
        <is>
          <t>Protocolo</t>
        </is>
      </c>
      <c r="I1764">
        <v>6</v>
      </c>
      <c r="J1764" t="inlineStr">
        <is>
          <t>Drenagem Superficial</t>
        </is>
      </c>
      <c r="K1764" t="inlineStr">
        <is>
          <t>6.10</t>
        </is>
      </c>
      <c r="L1764" t="inlineStr">
        <is>
          <t>VPC</t>
        </is>
      </c>
      <c r="M1764" t="inlineStr">
        <is>
          <t>Obstrução do dispositivo</t>
        </is>
      </c>
      <c r="N1764" t="inlineStr">
        <is>
          <t>Obstrução de drenagem</t>
        </is>
      </c>
      <c r="O1764" t="inlineStr">
        <is>
          <t>Tipo A</t>
        </is>
      </c>
      <c r="P1764" t="inlineStr">
        <is>
          <t>32+900</t>
        </is>
      </c>
      <c r="Q1764">
        <v>32900</v>
      </c>
      <c r="R1764" t="inlineStr">
        <is>
          <t>Aberta</t>
        </is>
      </c>
      <c r="T1764" t="inlineStr">
        <is>
          <t>Aline Batista</t>
        </is>
      </c>
      <c r="U1764" t="inlineStr">
        <is>
          <t>29/05/2026</t>
        </is>
      </c>
      <c r="V1764" t="inlineStr">
        <is>
          <t>05/06/2026</t>
        </is>
      </c>
      <c r="W1764">
        <v>5</v>
      </c>
      <c r="AA1764" t="inlineStr">
        <is>
          <t>Aberta -30 dias</t>
        </is>
      </c>
      <c r="AB1764" t="inlineStr">
        <is>
          <t>EMPA</t>
        </is>
      </c>
      <c r="AC1764" t="inlineStr">
        <is>
          <t>Aline</t>
        </is>
      </c>
      <c r="AD1764" t="inlineStr">
        <is>
          <t>17/08/2026</t>
        </is>
      </c>
      <c r="AE1764" t="inlineStr">
        <is>
          <t>28/08/2026</t>
        </is>
      </c>
      <c r="AF1764" t="inlineStr">
        <is>
          <t>Prazo Premissa VALE</t>
        </is>
      </c>
    </row>
    <row r="1765">
      <c r="A1765">
        <v>1763</v>
      </c>
      <c r="B1765">
        <v>1</v>
      </c>
      <c r="C1765" t="inlineStr">
        <is>
          <t>1.4A</t>
        </is>
      </c>
      <c r="D1765" t="inlineStr">
        <is>
          <t>A03</t>
        </is>
      </c>
      <c r="F1765" t="inlineStr">
        <is>
          <t>EMPA</t>
        </is>
      </c>
      <c r="G1765" t="inlineStr">
        <is>
          <t>CLP-020</t>
        </is>
      </c>
      <c r="H1765" t="inlineStr">
        <is>
          <t>Protocolo</t>
        </is>
      </c>
      <c r="I1765">
        <v>6</v>
      </c>
      <c r="J1765" t="inlineStr">
        <is>
          <t>Drenagem Superficial</t>
        </is>
      </c>
      <c r="K1765" t="inlineStr">
        <is>
          <t>6.8</t>
        </is>
      </c>
      <c r="L1765" t="inlineStr">
        <is>
          <t>VPC</t>
        </is>
      </c>
      <c r="M1765" t="inlineStr">
        <is>
          <t>Patologias no Concreto</t>
        </is>
      </c>
      <c r="N1765" t="inlineStr">
        <is>
          <t>Presença de fissuras no dispositivo</t>
        </is>
      </c>
      <c r="O1765" t="inlineStr">
        <is>
          <t>Tipo A</t>
        </is>
      </c>
      <c r="P1765" t="inlineStr">
        <is>
          <t>33+460</t>
        </is>
      </c>
      <c r="Q1765">
        <v>33460</v>
      </c>
      <c r="R1765" t="inlineStr">
        <is>
          <t>Aberta</t>
        </is>
      </c>
      <c r="T1765" t="inlineStr">
        <is>
          <t>Aline Batista</t>
        </is>
      </c>
      <c r="U1765" t="inlineStr">
        <is>
          <t>29/05/2026</t>
        </is>
      </c>
      <c r="V1765" t="inlineStr">
        <is>
          <t>05/06/2026</t>
        </is>
      </c>
      <c r="W1765">
        <v>5</v>
      </c>
      <c r="AA1765" t="inlineStr">
        <is>
          <t>Aberta -30 dias</t>
        </is>
      </c>
      <c r="AB1765" t="inlineStr">
        <is>
          <t>EMPA</t>
        </is>
      </c>
      <c r="AC1765" t="inlineStr">
        <is>
          <t>Aline</t>
        </is>
      </c>
      <c r="AD1765" t="inlineStr">
        <is>
          <t>31/08/2026</t>
        </is>
      </c>
      <c r="AE1765" t="inlineStr">
        <is>
          <t>10/09/2026</t>
        </is>
      </c>
      <c r="AF1765" t="inlineStr">
        <is>
          <t>Prazo Premissa VALE</t>
        </is>
      </c>
    </row>
    <row r="1766">
      <c r="A1766">
        <v>1764</v>
      </c>
      <c r="B1766">
        <v>1</v>
      </c>
      <c r="C1766" t="inlineStr">
        <is>
          <t>1.4A</t>
        </is>
      </c>
      <c r="D1766" t="inlineStr">
        <is>
          <t>A10</t>
        </is>
      </c>
      <c r="F1766" t="inlineStr">
        <is>
          <t>EMPA</t>
        </is>
      </c>
      <c r="G1766" t="inlineStr">
        <is>
          <t>CLP-020</t>
        </is>
      </c>
      <c r="H1766" t="inlineStr">
        <is>
          <t>Protocolo</t>
        </is>
      </c>
      <c r="I1766">
        <v>6</v>
      </c>
      <c r="J1766" t="inlineStr">
        <is>
          <t>Drenagem Superficial</t>
        </is>
      </c>
      <c r="K1766" t="inlineStr">
        <is>
          <t>6.8</t>
        </is>
      </c>
      <c r="L1766" t="inlineStr">
        <is>
          <t>VPC</t>
        </is>
      </c>
      <c r="M1766" t="inlineStr">
        <is>
          <t>Patologias no Concreto</t>
        </is>
      </c>
      <c r="N1766" t="inlineStr">
        <is>
          <t>Presença de fissuras no dispositivo</t>
        </is>
      </c>
      <c r="O1766" t="inlineStr">
        <is>
          <t>Tipo A</t>
        </is>
      </c>
      <c r="P1766" t="inlineStr">
        <is>
          <t>38+099</t>
        </is>
      </c>
      <c r="Q1766">
        <v>38099</v>
      </c>
      <c r="R1766" t="inlineStr">
        <is>
          <t>Aberta</t>
        </is>
      </c>
      <c r="T1766" t="inlineStr">
        <is>
          <t>Aline Batista</t>
        </is>
      </c>
      <c r="U1766" t="inlineStr">
        <is>
          <t>29/05/2026</t>
        </is>
      </c>
      <c r="V1766" t="inlineStr">
        <is>
          <t>05/06/2026</t>
        </is>
      </c>
      <c r="W1766">
        <v>5</v>
      </c>
      <c r="AA1766" t="inlineStr">
        <is>
          <t>Aberta -30 dias</t>
        </is>
      </c>
      <c r="AB1766" t="inlineStr">
        <is>
          <t>EMPA</t>
        </is>
      </c>
      <c r="AC1766" t="inlineStr">
        <is>
          <t>Aline</t>
        </is>
      </c>
      <c r="AD1766" t="inlineStr">
        <is>
          <t>31/08/2026</t>
        </is>
      </c>
      <c r="AE1766" t="inlineStr">
        <is>
          <t>10/09/2026</t>
        </is>
      </c>
      <c r="AF1766" t="inlineStr">
        <is>
          <t>Prazo Premissa VALE</t>
        </is>
      </c>
    </row>
    <row r="1767">
      <c r="A1767">
        <v>1765</v>
      </c>
      <c r="B1767">
        <v>1</v>
      </c>
      <c r="C1767" t="inlineStr">
        <is>
          <t>1.4A</t>
        </is>
      </c>
      <c r="D1767" t="inlineStr">
        <is>
          <t>A10</t>
        </is>
      </c>
      <c r="F1767" t="inlineStr">
        <is>
          <t>EMPA</t>
        </is>
      </c>
      <c r="G1767" t="inlineStr">
        <is>
          <t>CLP-020</t>
        </is>
      </c>
      <c r="H1767" t="inlineStr">
        <is>
          <t>Protocolo</t>
        </is>
      </c>
      <c r="I1767">
        <v>6</v>
      </c>
      <c r="J1767" t="inlineStr">
        <is>
          <t>Drenagem Superficial</t>
        </is>
      </c>
      <c r="K1767" t="inlineStr">
        <is>
          <t>6.8</t>
        </is>
      </c>
      <c r="L1767" t="inlineStr">
        <is>
          <t>VPC</t>
        </is>
      </c>
      <c r="M1767" t="inlineStr">
        <is>
          <t>Drenagem danificadas</t>
        </is>
      </c>
      <c r="N1767" t="inlineStr">
        <is>
          <t>Dispositivo danificado</t>
        </is>
      </c>
      <c r="O1767" t="inlineStr">
        <is>
          <t>Tipo A</t>
        </is>
      </c>
      <c r="P1767" t="inlineStr">
        <is>
          <t>38+099</t>
        </is>
      </c>
      <c r="Q1767">
        <v>38099</v>
      </c>
      <c r="R1767" t="inlineStr">
        <is>
          <t>Aberta</t>
        </is>
      </c>
      <c r="T1767" t="inlineStr">
        <is>
          <t>Aline Batista</t>
        </is>
      </c>
      <c r="U1767" t="inlineStr">
        <is>
          <t>29/05/2026</t>
        </is>
      </c>
      <c r="V1767" t="inlineStr">
        <is>
          <t>05/06/2026</t>
        </is>
      </c>
      <c r="W1767">
        <v>5</v>
      </c>
      <c r="AA1767" t="inlineStr">
        <is>
          <t>Aberta -30 dias</t>
        </is>
      </c>
      <c r="AB1767" t="inlineStr">
        <is>
          <t>EMPA</t>
        </is>
      </c>
      <c r="AC1767" t="inlineStr">
        <is>
          <t>Aline</t>
        </is>
      </c>
      <c r="AD1767" t="inlineStr">
        <is>
          <t>31/08/2026</t>
        </is>
      </c>
      <c r="AE1767" t="inlineStr">
        <is>
          <t>10/09/2026</t>
        </is>
      </c>
      <c r="AF1767" t="inlineStr">
        <is>
          <t>Prazo Premissa VALE</t>
        </is>
      </c>
    </row>
    <row r="1768">
      <c r="A1768">
        <v>1766</v>
      </c>
      <c r="B1768">
        <v>1</v>
      </c>
      <c r="C1768" t="inlineStr">
        <is>
          <t>1.4A</t>
        </is>
      </c>
      <c r="D1768" t="inlineStr">
        <is>
          <t>A10</t>
        </is>
      </c>
      <c r="E1768" t="inlineStr">
        <is>
          <t>LE/LD</t>
        </is>
      </c>
      <c r="F1768" t="inlineStr">
        <is>
          <t>EMPA</t>
        </is>
      </c>
      <c r="G1768" t="inlineStr">
        <is>
          <t>CLP-020</t>
        </is>
      </c>
      <c r="H1768" t="inlineStr">
        <is>
          <t>Protocolo</t>
        </is>
      </c>
      <c r="I1768">
        <v>6</v>
      </c>
      <c r="J1768" t="inlineStr">
        <is>
          <t>Drenagem Superficial</t>
        </is>
      </c>
      <c r="K1768" t="inlineStr">
        <is>
          <t>6.10</t>
        </is>
      </c>
      <c r="L1768" t="inlineStr">
        <is>
          <t xml:space="preserve">Aterro </t>
        </is>
      </c>
      <c r="M1768" t="inlineStr">
        <is>
          <t>Patologias no Concreto</t>
        </is>
      </c>
      <c r="N1768" t="inlineStr">
        <is>
          <t>Desagregação de concreto na borda do dispositivo de drenagem entre canaleta e plataforma.</t>
        </is>
      </c>
      <c r="O1768" t="inlineStr">
        <is>
          <t>Tipo A</t>
        </is>
      </c>
      <c r="P1768" t="inlineStr">
        <is>
          <t>37+660</t>
        </is>
      </c>
      <c r="Q1768" t="inlineStr">
        <is>
          <t>38+000</t>
        </is>
      </c>
      <c r="R1768" t="inlineStr">
        <is>
          <t>Aberta</t>
        </is>
      </c>
      <c r="T1768" t="inlineStr">
        <is>
          <t>Aline Batista</t>
        </is>
      </c>
      <c r="U1768" t="inlineStr">
        <is>
          <t>29/05/2026</t>
        </is>
      </c>
      <c r="V1768" t="inlineStr">
        <is>
          <t>05/06/2026</t>
        </is>
      </c>
      <c r="W1768">
        <v>5</v>
      </c>
      <c r="AA1768" t="inlineStr">
        <is>
          <t>Aberta -30 dias</t>
        </is>
      </c>
      <c r="AB1768" t="inlineStr">
        <is>
          <t>EMPA</t>
        </is>
      </c>
      <c r="AC1768" t="inlineStr">
        <is>
          <t>Aline</t>
        </is>
      </c>
      <c r="AD1768" t="inlineStr">
        <is>
          <t>31/08/2026</t>
        </is>
      </c>
      <c r="AE1768" t="inlineStr">
        <is>
          <t>10/09/2026</t>
        </is>
      </c>
      <c r="AF1768" t="inlineStr">
        <is>
          <t>Prazo Premissa VALE</t>
        </is>
      </c>
    </row>
    <row r="1769">
      <c r="A1769">
        <v>1767</v>
      </c>
      <c r="B1769">
        <v>1</v>
      </c>
      <c r="C1769" t="inlineStr">
        <is>
          <t>1.4A</t>
        </is>
      </c>
      <c r="D1769" t="inlineStr">
        <is>
          <t>A08</t>
        </is>
      </c>
      <c r="E1769" t="inlineStr">
        <is>
          <t>LD</t>
        </is>
      </c>
      <c r="F1769" t="inlineStr">
        <is>
          <t>EMPA</t>
        </is>
      </c>
      <c r="G1769" t="inlineStr">
        <is>
          <t>CLP-020</t>
        </is>
      </c>
      <c r="H1769" t="inlineStr">
        <is>
          <t>Protocolo</t>
        </is>
      </c>
      <c r="I1769">
        <v>6</v>
      </c>
      <c r="J1769" t="inlineStr">
        <is>
          <t>Drenagem Superficial</t>
        </is>
      </c>
      <c r="K1769" t="inlineStr">
        <is>
          <t>6.8</t>
        </is>
      </c>
      <c r="L1769" t="inlineStr">
        <is>
          <t>VPC</t>
        </is>
      </c>
      <c r="M1769" t="inlineStr">
        <is>
          <t>Drenagem danificadas</t>
        </is>
      </c>
      <c r="N1769" t="inlineStr">
        <is>
          <t>Drenagem danificada</t>
        </is>
      </c>
      <c r="O1769" t="inlineStr">
        <is>
          <t>Tipo A</t>
        </is>
      </c>
      <c r="P1769" t="inlineStr">
        <is>
          <t>36+800</t>
        </is>
      </c>
      <c r="Q1769">
        <v>36800</v>
      </c>
      <c r="R1769" t="inlineStr">
        <is>
          <t>Aberta</t>
        </is>
      </c>
      <c r="T1769" t="inlineStr">
        <is>
          <t>Aline Batista</t>
        </is>
      </c>
      <c r="U1769" t="inlineStr">
        <is>
          <t>29/05/2026</t>
        </is>
      </c>
      <c r="V1769" t="inlineStr">
        <is>
          <t>05/06/2026</t>
        </is>
      </c>
      <c r="W1769">
        <v>5</v>
      </c>
      <c r="AA1769" t="inlineStr">
        <is>
          <t>Aberta -30 dias</t>
        </is>
      </c>
      <c r="AB1769" t="inlineStr">
        <is>
          <t>EMPA</t>
        </is>
      </c>
      <c r="AC1769" t="inlineStr">
        <is>
          <t>Aline</t>
        </is>
      </c>
      <c r="AD1769" t="inlineStr">
        <is>
          <t>31/08/2026</t>
        </is>
      </c>
      <c r="AE1769" t="inlineStr">
        <is>
          <t>10/09/2026</t>
        </is>
      </c>
      <c r="AF1769" t="inlineStr">
        <is>
          <t>Prazo Premissa VALE</t>
        </is>
      </c>
    </row>
    <row r="1770">
      <c r="A1770">
        <v>1768</v>
      </c>
      <c r="B1770">
        <v>1</v>
      </c>
      <c r="C1770" t="inlineStr">
        <is>
          <t>1.4A</t>
        </is>
      </c>
      <c r="D1770" t="inlineStr">
        <is>
          <t>C09</t>
        </is>
      </c>
      <c r="E1770" t="inlineStr">
        <is>
          <t>LE</t>
        </is>
      </c>
      <c r="F1770" t="inlineStr">
        <is>
          <t>EMPA</t>
        </is>
      </c>
      <c r="G1770" t="inlineStr">
        <is>
          <t>CLP-020</t>
        </is>
      </c>
      <c r="H1770" t="inlineStr">
        <is>
          <t>Protocolo</t>
        </is>
      </c>
      <c r="I1770">
        <v>6</v>
      </c>
      <c r="J1770" t="inlineStr">
        <is>
          <t>Drenagem Superficial</t>
        </is>
      </c>
      <c r="K1770" t="inlineStr">
        <is>
          <t>6.1</t>
        </is>
      </c>
      <c r="L1770" t="inlineStr">
        <is>
          <t>VPC</t>
        </is>
      </c>
      <c r="M1770" t="inlineStr">
        <is>
          <t>Execuçao divergente do projeto</t>
        </is>
      </c>
      <c r="N1770" t="inlineStr">
        <is>
          <t>Dispositivo de drenagem bem abaixo do bordo da plataforma.</t>
        </is>
      </c>
      <c r="O1770" t="inlineStr">
        <is>
          <t>Tipo A</t>
        </is>
      </c>
      <c r="P1770" t="inlineStr">
        <is>
          <t>37+020</t>
        </is>
      </c>
      <c r="Q1770">
        <v>37200</v>
      </c>
      <c r="R1770" t="inlineStr">
        <is>
          <t>Aberta</t>
        </is>
      </c>
      <c r="T1770" t="inlineStr">
        <is>
          <t>Aline Batista</t>
        </is>
      </c>
      <c r="U1770" t="inlineStr">
        <is>
          <t>29/05/2026</t>
        </is>
      </c>
      <c r="V1770" t="inlineStr">
        <is>
          <t>05/06/2026</t>
        </is>
      </c>
      <c r="W1770">
        <v>5</v>
      </c>
      <c r="AA1770" t="inlineStr">
        <is>
          <t>Aberta -30 dias</t>
        </is>
      </c>
      <c r="AB1770" t="inlineStr">
        <is>
          <t>EMPA</t>
        </is>
      </c>
      <c r="AC1770" t="inlineStr">
        <is>
          <t>Aline</t>
        </is>
      </c>
      <c r="AD1770" t="inlineStr">
        <is>
          <t>31/08/2026</t>
        </is>
      </c>
      <c r="AE1770" t="inlineStr">
        <is>
          <t>10/09/2026</t>
        </is>
      </c>
      <c r="AF1770" t="inlineStr">
        <is>
          <t>Prazo Premissa VALE</t>
        </is>
      </c>
    </row>
    <row r="1771">
      <c r="A1771">
        <v>1769</v>
      </c>
      <c r="B1771">
        <v>1</v>
      </c>
      <c r="C1771" t="inlineStr">
        <is>
          <t>1.4A</t>
        </is>
      </c>
      <c r="D1771" t="inlineStr">
        <is>
          <t>C10</t>
        </is>
      </c>
      <c r="E1771" t="inlineStr">
        <is>
          <t>LE</t>
        </is>
      </c>
      <c r="F1771" t="inlineStr">
        <is>
          <t>EMPA</t>
        </is>
      </c>
      <c r="G1771" t="inlineStr">
        <is>
          <t>CLP-020</t>
        </is>
      </c>
      <c r="H1771" t="inlineStr">
        <is>
          <t>Protocolo</t>
        </is>
      </c>
      <c r="I1771">
        <v>6</v>
      </c>
      <c r="J1771" t="inlineStr">
        <is>
          <t>Drenagem Superficial</t>
        </is>
      </c>
      <c r="K1771" t="inlineStr">
        <is>
          <t>6.8</t>
        </is>
      </c>
      <c r="L1771" t="inlineStr">
        <is>
          <t>VPC</t>
        </is>
      </c>
      <c r="M1771" t="inlineStr">
        <is>
          <t>Drenagem danificadas</t>
        </is>
      </c>
      <c r="N1771" t="inlineStr">
        <is>
          <t>Drenagem danificada</t>
        </is>
      </c>
      <c r="O1771" t="inlineStr">
        <is>
          <t>Tipo A</t>
        </is>
      </c>
      <c r="P1771" t="inlineStr">
        <is>
          <t>37+500</t>
        </is>
      </c>
      <c r="Q1771">
        <v>37500</v>
      </c>
      <c r="R1771" t="inlineStr">
        <is>
          <t>Aberta</t>
        </is>
      </c>
      <c r="T1771" t="inlineStr">
        <is>
          <t>Aline Batista</t>
        </is>
      </c>
      <c r="U1771" t="inlineStr">
        <is>
          <t>29/05/2026</t>
        </is>
      </c>
      <c r="V1771" t="inlineStr">
        <is>
          <t>05/06/2026</t>
        </is>
      </c>
      <c r="W1771">
        <v>5</v>
      </c>
      <c r="AA1771" t="inlineStr">
        <is>
          <t>Aberta -30 dias</t>
        </is>
      </c>
      <c r="AB1771" t="inlineStr">
        <is>
          <t>EMPA</t>
        </is>
      </c>
      <c r="AC1771" t="inlineStr">
        <is>
          <t>Aline</t>
        </is>
      </c>
      <c r="AD1771" t="inlineStr">
        <is>
          <t>31/08/2026</t>
        </is>
      </c>
      <c r="AE1771" t="inlineStr">
        <is>
          <t>10/09/2026</t>
        </is>
      </c>
      <c r="AF1771" t="inlineStr">
        <is>
          <t>Prazo Premissa VALE</t>
        </is>
      </c>
    </row>
    <row r="1772">
      <c r="A1772">
        <v>1770</v>
      </c>
      <c r="B1772">
        <v>1</v>
      </c>
      <c r="C1772" t="inlineStr">
        <is>
          <t>1.4A</t>
        </is>
      </c>
      <c r="D1772" t="inlineStr">
        <is>
          <t>C10</t>
        </is>
      </c>
      <c r="E1772" t="inlineStr">
        <is>
          <t>LE</t>
        </is>
      </c>
      <c r="F1772" t="inlineStr">
        <is>
          <t>EMPA</t>
        </is>
      </c>
      <c r="G1772" t="inlineStr">
        <is>
          <t>CLP-020</t>
        </is>
      </c>
      <c r="H1772" t="inlineStr">
        <is>
          <t>Protocolo</t>
        </is>
      </c>
      <c r="I1772">
        <v>6</v>
      </c>
      <c r="J1772" t="inlineStr">
        <is>
          <t>Drenagem Superficial</t>
        </is>
      </c>
      <c r="K1772" t="inlineStr">
        <is>
          <t>6.8</t>
        </is>
      </c>
      <c r="L1772" t="inlineStr">
        <is>
          <t>VPC</t>
        </is>
      </c>
      <c r="M1772" t="inlineStr">
        <is>
          <t>Patologias no Concreto</t>
        </is>
      </c>
      <c r="N1772" t="inlineStr">
        <is>
          <t>Fissuras no dispositivo de drenagem.</t>
        </is>
      </c>
      <c r="O1772" t="inlineStr">
        <is>
          <t>Tipo A</t>
        </is>
      </c>
      <c r="P1772" t="inlineStr">
        <is>
          <t>37+500</t>
        </is>
      </c>
      <c r="Q1772">
        <v>37500</v>
      </c>
      <c r="R1772" t="inlineStr">
        <is>
          <t>Aberta</t>
        </is>
      </c>
      <c r="T1772" t="inlineStr">
        <is>
          <t>Aline Batista</t>
        </is>
      </c>
      <c r="U1772" t="inlineStr">
        <is>
          <t>29/05/2026</t>
        </is>
      </c>
      <c r="V1772" t="inlineStr">
        <is>
          <t>05/06/2026</t>
        </is>
      </c>
      <c r="W1772">
        <v>5</v>
      </c>
      <c r="AA1772" t="inlineStr">
        <is>
          <t>Aberta -30 dias</t>
        </is>
      </c>
      <c r="AB1772" t="inlineStr">
        <is>
          <t>EMPA</t>
        </is>
      </c>
      <c r="AC1772" t="inlineStr">
        <is>
          <t>Aline</t>
        </is>
      </c>
      <c r="AD1772" t="inlineStr">
        <is>
          <t>31/08/2026</t>
        </is>
      </c>
      <c r="AE1772" t="inlineStr">
        <is>
          <t>10/09/2026</t>
        </is>
      </c>
      <c r="AF1772" t="inlineStr">
        <is>
          <t>Prazo Premissa VALE</t>
        </is>
      </c>
    </row>
    <row r="1773">
      <c r="A1773">
        <v>1771</v>
      </c>
      <c r="B1773">
        <v>1</v>
      </c>
      <c r="C1773" t="inlineStr">
        <is>
          <t>1.4A</t>
        </is>
      </c>
      <c r="D1773" t="inlineStr">
        <is>
          <t>A10</t>
        </is>
      </c>
      <c r="E1773" t="inlineStr">
        <is>
          <t>LE</t>
        </is>
      </c>
      <c r="F1773" t="inlineStr">
        <is>
          <t>EMPA</t>
        </is>
      </c>
      <c r="G1773" t="inlineStr">
        <is>
          <t>CLP-020</t>
        </is>
      </c>
      <c r="H1773" t="inlineStr">
        <is>
          <t>Protocolo</t>
        </is>
      </c>
      <c r="I1773">
        <v>6</v>
      </c>
      <c r="J1773" t="inlineStr">
        <is>
          <t>Drenagem Superficial</t>
        </is>
      </c>
      <c r="K1773" t="inlineStr">
        <is>
          <t>6.9</t>
        </is>
      </c>
      <c r="L1773" t="inlineStr">
        <is>
          <t>DRA</t>
        </is>
      </c>
      <c r="M1773" t="inlineStr">
        <is>
          <t>Drenagem danificadas</t>
        </is>
      </c>
      <c r="N1773" t="inlineStr">
        <is>
          <t>Concreto da drenagem da plataforma danificado.</t>
        </is>
      </c>
      <c r="O1773" t="inlineStr">
        <is>
          <t>Tipo A</t>
        </is>
      </c>
      <c r="P1773" t="inlineStr">
        <is>
          <t>37+740</t>
        </is>
      </c>
      <c r="Q1773">
        <v>37740</v>
      </c>
      <c r="R1773" t="inlineStr">
        <is>
          <t>Aberta</t>
        </is>
      </c>
      <c r="T1773" t="inlineStr">
        <is>
          <t>Aline Batista</t>
        </is>
      </c>
      <c r="U1773" t="inlineStr">
        <is>
          <t>29/05/2026</t>
        </is>
      </c>
      <c r="V1773" t="inlineStr">
        <is>
          <t>05/06/2026</t>
        </is>
      </c>
      <c r="W1773">
        <v>5</v>
      </c>
      <c r="AA1773" t="inlineStr">
        <is>
          <t>Aberta -30 dias</t>
        </is>
      </c>
      <c r="AB1773" t="inlineStr">
        <is>
          <t>EMPA</t>
        </is>
      </c>
      <c r="AC1773" t="inlineStr">
        <is>
          <t>Aline</t>
        </is>
      </c>
      <c r="AD1773" t="inlineStr">
        <is>
          <t>31/08/2026</t>
        </is>
      </c>
      <c r="AE1773" t="inlineStr">
        <is>
          <t>10/09/2026</t>
        </is>
      </c>
      <c r="AF1773" t="inlineStr">
        <is>
          <t>Prazo Premissa VALE</t>
        </is>
      </c>
    </row>
    <row r="1774">
      <c r="A1774">
        <v>1772</v>
      </c>
      <c r="B1774">
        <v>1</v>
      </c>
      <c r="C1774" t="inlineStr">
        <is>
          <t>1.4A</t>
        </is>
      </c>
      <c r="D1774" t="inlineStr">
        <is>
          <t>A10</t>
        </is>
      </c>
      <c r="E1774" t="inlineStr">
        <is>
          <t>LE</t>
        </is>
      </c>
      <c r="F1774" t="inlineStr">
        <is>
          <t>EMPA</t>
        </is>
      </c>
      <c r="G1774" t="inlineStr">
        <is>
          <t>CLP-020</t>
        </is>
      </c>
      <c r="H1774" t="inlineStr">
        <is>
          <t>Protocolo</t>
        </is>
      </c>
      <c r="I1774">
        <v>6</v>
      </c>
      <c r="J1774" t="inlineStr">
        <is>
          <t>Drenagem Superficial</t>
        </is>
      </c>
      <c r="K1774" t="inlineStr">
        <is>
          <t>6.9</t>
        </is>
      </c>
      <c r="L1774" t="inlineStr">
        <is>
          <t>DRA</t>
        </is>
      </c>
      <c r="M1774" t="inlineStr">
        <is>
          <t>Acabamento do concreto</t>
        </is>
      </c>
      <c r="N1774" t="inlineStr">
        <is>
          <t>Paredes de descida d'água com irregularidades.</t>
        </is>
      </c>
      <c r="O1774" t="inlineStr">
        <is>
          <t>Tipo A</t>
        </is>
      </c>
      <c r="P1774" t="inlineStr">
        <is>
          <t>37+740</t>
        </is>
      </c>
      <c r="Q1774">
        <v>37740</v>
      </c>
      <c r="R1774" t="inlineStr">
        <is>
          <t>Aberta</t>
        </is>
      </c>
      <c r="T1774" t="inlineStr">
        <is>
          <t>Aline Batista</t>
        </is>
      </c>
      <c r="U1774" t="inlineStr">
        <is>
          <t>29/05/2026</t>
        </is>
      </c>
      <c r="V1774" t="inlineStr">
        <is>
          <t>05/06/2026</t>
        </is>
      </c>
      <c r="W1774">
        <v>5</v>
      </c>
      <c r="AA1774" t="inlineStr">
        <is>
          <t>Aberta -30 dias</t>
        </is>
      </c>
      <c r="AB1774" t="inlineStr">
        <is>
          <t>EMPA</t>
        </is>
      </c>
      <c r="AC1774" t="inlineStr">
        <is>
          <t>Aline</t>
        </is>
      </c>
      <c r="AD1774" t="inlineStr">
        <is>
          <t>31/08/2026</t>
        </is>
      </c>
      <c r="AE1774" t="inlineStr">
        <is>
          <t>10/09/2026</t>
        </is>
      </c>
      <c r="AF1774" t="inlineStr">
        <is>
          <t>Prazo Premissa VALE</t>
        </is>
      </c>
    </row>
    <row r="1775">
      <c r="A1775">
        <v>1773</v>
      </c>
      <c r="B1775">
        <v>1</v>
      </c>
      <c r="C1775" t="inlineStr">
        <is>
          <t>1.4A</t>
        </is>
      </c>
      <c r="D1775" t="inlineStr">
        <is>
          <t>A10</t>
        </is>
      </c>
      <c r="E1775" t="inlineStr">
        <is>
          <t>LD</t>
        </is>
      </c>
      <c r="F1775" t="inlineStr">
        <is>
          <t>EMPA</t>
        </is>
      </c>
      <c r="G1775" t="inlineStr">
        <is>
          <t>CLP-020</t>
        </is>
      </c>
      <c r="H1775" t="inlineStr">
        <is>
          <t>Protocolo</t>
        </is>
      </c>
      <c r="I1775">
        <v>6</v>
      </c>
      <c r="J1775" t="inlineStr">
        <is>
          <t>Drenagem Superficial</t>
        </is>
      </c>
      <c r="K1775" t="inlineStr">
        <is>
          <t>6.10</t>
        </is>
      </c>
      <c r="L1775" t="inlineStr">
        <is>
          <t>VPC</t>
        </is>
      </c>
      <c r="M1775" t="inlineStr">
        <is>
          <t>Obstrução do dispositivo</t>
        </is>
      </c>
      <c r="N1775" t="inlineStr">
        <is>
          <t>Obstrução do dispositivo de drenagem.</t>
        </is>
      </c>
      <c r="O1775" t="inlineStr">
        <is>
          <t>Tipo A</t>
        </is>
      </c>
      <c r="P1775" t="inlineStr">
        <is>
          <t>38+050</t>
        </is>
      </c>
      <c r="Q1775">
        <v>38000</v>
      </c>
      <c r="R1775" t="inlineStr">
        <is>
          <t>Aberta</t>
        </is>
      </c>
      <c r="T1775" t="inlineStr">
        <is>
          <t>Aline Batista</t>
        </is>
      </c>
      <c r="U1775" t="inlineStr">
        <is>
          <t>29/05/2026</t>
        </is>
      </c>
      <c r="V1775" t="inlineStr">
        <is>
          <t>05/06/2026</t>
        </is>
      </c>
      <c r="W1775">
        <v>5</v>
      </c>
      <c r="AA1775" t="inlineStr">
        <is>
          <t>Aberta -30 dias</t>
        </is>
      </c>
      <c r="AB1775" t="inlineStr">
        <is>
          <t>EMPA</t>
        </is>
      </c>
      <c r="AC1775" t="inlineStr">
        <is>
          <t>Aline</t>
        </is>
      </c>
      <c r="AD1775" t="inlineStr">
        <is>
          <t>31/08/2026</t>
        </is>
      </c>
      <c r="AE1775" t="inlineStr">
        <is>
          <t>10/09/2026</t>
        </is>
      </c>
      <c r="AF1775" t="inlineStr">
        <is>
          <t>Prazo Premissa VALE</t>
        </is>
      </c>
    </row>
    <row r="1776">
      <c r="A1776">
        <v>1774</v>
      </c>
      <c r="B1776">
        <v>1</v>
      </c>
      <c r="C1776" t="inlineStr">
        <is>
          <t>1.4A</t>
        </is>
      </c>
      <c r="D1776" t="inlineStr">
        <is>
          <t>A48</t>
        </is>
      </c>
      <c r="F1776" t="inlineStr">
        <is>
          <t>EMPA</t>
        </is>
      </c>
      <c r="G1776" t="inlineStr">
        <is>
          <t>CLP-020</t>
        </is>
      </c>
      <c r="H1776" t="inlineStr">
        <is>
          <t>Protocolo</t>
        </is>
      </c>
      <c r="I1776">
        <v>6</v>
      </c>
      <c r="J1776" t="inlineStr">
        <is>
          <t>Drenagem Superficial</t>
        </is>
      </c>
      <c r="K1776" t="inlineStr">
        <is>
          <t>6.16</t>
        </is>
      </c>
      <c r="L1776" t="inlineStr">
        <is>
          <t xml:space="preserve">RNC </t>
        </is>
      </c>
      <c r="M1776" t="inlineStr">
        <is>
          <t>Documental</t>
        </is>
      </c>
      <c r="N1776" t="inlineStr">
        <is>
          <t xml:space="preserve">Consta em aberto o seguinte registro:
RNC-06851/25</t>
        </is>
      </c>
      <c r="O1776" t="inlineStr">
        <is>
          <t>Tipo B</t>
        </is>
      </c>
      <c r="P1776" t="inlineStr">
        <is>
          <t>31+037</t>
        </is>
      </c>
      <c r="Q1776">
        <v>38136.544</v>
      </c>
      <c r="R1776" t="inlineStr">
        <is>
          <t>Aberta</t>
        </is>
      </c>
      <c r="T1776" t="inlineStr">
        <is>
          <t>Aline Batista</t>
        </is>
      </c>
      <c r="U1776" t="inlineStr">
        <is>
          <t>29/05/2026</t>
        </is>
      </c>
      <c r="V1776" t="inlineStr">
        <is>
          <t>13/06/2026</t>
        </is>
      </c>
      <c r="W1776">
        <v>-3</v>
      </c>
      <c r="AA1776" t="inlineStr">
        <is>
          <t>Aberta -30 dias</t>
        </is>
      </c>
      <c r="AB1776" t="inlineStr">
        <is>
          <t>EMPA</t>
        </is>
      </c>
      <c r="AC1776" t="inlineStr">
        <is>
          <t>Aline</t>
        </is>
      </c>
      <c r="AE1776" t="inlineStr">
        <is>
          <t>19/06/2026</t>
        </is>
      </c>
      <c r="AF1776" t="inlineStr">
        <is>
          <t>Ata de reunião de RM p/ BK</t>
        </is>
      </c>
    </row>
    <row r="1777">
      <c r="A1777">
        <v>1775</v>
      </c>
      <c r="B1777">
        <v>1</v>
      </c>
      <c r="C1777" t="inlineStr">
        <is>
          <t>1.4A</t>
        </is>
      </c>
      <c r="D1777" t="inlineStr">
        <is>
          <t>A48</t>
        </is>
      </c>
      <c r="F1777" t="inlineStr">
        <is>
          <t>EMPA</t>
        </is>
      </c>
      <c r="G1777" t="inlineStr">
        <is>
          <t>CLP-020</t>
        </is>
      </c>
      <c r="H1777" t="inlineStr">
        <is>
          <t>Protocolo</t>
        </is>
      </c>
      <c r="I1777">
        <v>6</v>
      </c>
      <c r="J1777" t="inlineStr">
        <is>
          <t>Drenagem Superficial</t>
        </is>
      </c>
      <c r="K1777" t="inlineStr">
        <is>
          <t>6.14</t>
        </is>
      </c>
      <c r="L1777" t="inlineStr">
        <is>
          <t>As Built</t>
        </is>
      </c>
      <c r="M1777" t="inlineStr">
        <is>
          <t>Documental</t>
        </is>
      </c>
      <c r="N1777" t="inlineStr">
        <is>
          <t>As Built pendente de aprovação.</t>
        </is>
      </c>
      <c r="O1777" t="inlineStr">
        <is>
          <t>Tipo B</t>
        </is>
      </c>
      <c r="P1777" t="inlineStr">
        <is>
          <t>31+037</t>
        </is>
      </c>
      <c r="Q1777">
        <v>38136.544</v>
      </c>
      <c r="R1777" t="inlineStr">
        <is>
          <t>Aberta</t>
        </is>
      </c>
      <c r="T1777" t="inlineStr">
        <is>
          <t>Aline Batista</t>
        </is>
      </c>
      <c r="U1777" t="inlineStr">
        <is>
          <t>29/05/2026</t>
        </is>
      </c>
      <c r="V1777" t="inlineStr">
        <is>
          <t>13/06/2026</t>
        </is>
      </c>
      <c r="W1777">
        <v>-3</v>
      </c>
      <c r="AA1777" t="inlineStr">
        <is>
          <t>Aberta -30 dias</t>
        </is>
      </c>
      <c r="AB1777" t="inlineStr">
        <is>
          <t>EMPA</t>
        </is>
      </c>
      <c r="AC1777" t="inlineStr">
        <is>
          <t>Aline</t>
        </is>
      </c>
      <c r="AE1777" t="inlineStr">
        <is>
          <t>19/06/2026</t>
        </is>
      </c>
      <c r="AF1777" t="inlineStr">
        <is>
          <t>Ata de reunião de RM p/ BK</t>
        </is>
      </c>
    </row>
    <row r="1778">
      <c r="A1778">
        <v>1776</v>
      </c>
      <c r="B1778">
        <v>1</v>
      </c>
      <c r="C1778" t="inlineStr">
        <is>
          <t>1.4A</t>
        </is>
      </c>
      <c r="D1778" t="inlineStr">
        <is>
          <t>C05</t>
        </is>
      </c>
      <c r="E1778" t="inlineStr">
        <is>
          <t>LD</t>
        </is>
      </c>
      <c r="F1778" t="inlineStr">
        <is>
          <t>EMPA</t>
        </is>
      </c>
      <c r="G1778" t="inlineStr">
        <is>
          <t>CLP-020</t>
        </is>
      </c>
      <c r="H1778" t="inlineStr">
        <is>
          <t>Protocolo</t>
        </is>
      </c>
      <c r="I1778">
        <v>4</v>
      </c>
      <c r="J1778" t="inlineStr">
        <is>
          <t>Terraplenagem</t>
        </is>
      </c>
      <c r="K1778" t="inlineStr">
        <is>
          <t>4.22</t>
        </is>
      </c>
      <c r="L1778" t="inlineStr">
        <is>
          <t>Talude</t>
        </is>
      </c>
      <c r="M1778" t="inlineStr">
        <is>
          <t>Execuçao divergente do projeto</t>
        </is>
      </c>
      <c r="N1778" t="inlineStr">
        <is>
          <t>Verifica-se que o pé do talude apresenta divergência em relação à geometria prevista em projeto, sendo necessária a execução de ajustes para adequação às condições projetadas.</t>
        </is>
      </c>
      <c r="O1778" t="inlineStr">
        <is>
          <t>Tipo A</t>
        </is>
      </c>
      <c r="P1778" t="inlineStr">
        <is>
          <t>34+860</t>
        </is>
      </c>
      <c r="Q1778">
        <v>34860</v>
      </c>
      <c r="R1778" t="inlineStr">
        <is>
          <t>Aberta</t>
        </is>
      </c>
      <c r="T1778" t="inlineStr">
        <is>
          <t>Aline Batista</t>
        </is>
      </c>
      <c r="U1778" t="inlineStr">
        <is>
          <t>29/05/2026</t>
        </is>
      </c>
      <c r="V1778" t="inlineStr">
        <is>
          <t>05/06/2026</t>
        </is>
      </c>
      <c r="W1778">
        <v>5</v>
      </c>
      <c r="AA1778" t="inlineStr">
        <is>
          <t>Aberta -30 dias</t>
        </is>
      </c>
      <c r="AB1778" t="inlineStr">
        <is>
          <t>EMPA</t>
        </is>
      </c>
      <c r="AC1778" t="inlineStr">
        <is>
          <t>Aline</t>
        </is>
      </c>
      <c r="AD1778" t="inlineStr">
        <is>
          <t>31/08/2026</t>
        </is>
      </c>
      <c r="AE1778" t="inlineStr">
        <is>
          <t>10/09/2026</t>
        </is>
      </c>
      <c r="AF1778" t="inlineStr">
        <is>
          <t>Prazo Premissa VALE</t>
        </is>
      </c>
    </row>
    <row r="1779">
      <c r="A1779">
        <v>1777</v>
      </c>
      <c r="B1779">
        <v>1</v>
      </c>
      <c r="C1779" t="inlineStr">
        <is>
          <t>1.4A</t>
        </is>
      </c>
      <c r="D1779" t="inlineStr">
        <is>
          <t>C05</t>
        </is>
      </c>
      <c r="E1779" t="inlineStr">
        <is>
          <t>LD</t>
        </is>
      </c>
      <c r="F1779" t="inlineStr">
        <is>
          <t>EMPA</t>
        </is>
      </c>
      <c r="G1779" t="inlineStr">
        <is>
          <t>CLP-020</t>
        </is>
      </c>
      <c r="H1779" t="inlineStr">
        <is>
          <t>Protocolo</t>
        </is>
      </c>
      <c r="I1779">
        <v>4</v>
      </c>
      <c r="J1779" t="inlineStr">
        <is>
          <t>Terraplenagem</t>
        </is>
      </c>
      <c r="K1779" t="inlineStr">
        <is>
          <t>4.4</t>
        </is>
      </c>
      <c r="L1779" t="inlineStr">
        <is>
          <t>Plataforma</t>
        </is>
      </c>
      <c r="M1779" t="inlineStr">
        <is>
          <t>Material Solto</t>
        </is>
      </c>
      <c r="N1779" t="inlineStr">
        <is>
          <t>Foi observada a presença de material solto adjacente aos dispositivos de drenagem, localizado no pé do talude, proveniente das atividades de limpeza dos dispositivos. Recomenda-se a remoção e destinação adequada desse material.</t>
        </is>
      </c>
      <c r="O1779" t="inlineStr">
        <is>
          <t>Tipo A</t>
        </is>
      </c>
      <c r="P1779" t="inlineStr">
        <is>
          <t>34+700</t>
        </is>
      </c>
      <c r="Q1779">
        <v>35160</v>
      </c>
      <c r="R1779" t="inlineStr">
        <is>
          <t>Aberta</t>
        </is>
      </c>
      <c r="T1779" t="inlineStr">
        <is>
          <t>Aline Batista</t>
        </is>
      </c>
      <c r="U1779" t="inlineStr">
        <is>
          <t>29/05/2026</t>
        </is>
      </c>
      <c r="V1779" t="inlineStr">
        <is>
          <t>05/06/2026</t>
        </is>
      </c>
      <c r="W1779">
        <v>5</v>
      </c>
      <c r="AA1779" t="inlineStr">
        <is>
          <t>Aberta -30 dias</t>
        </is>
      </c>
      <c r="AB1779" t="inlineStr">
        <is>
          <t>EMPA</t>
        </is>
      </c>
      <c r="AC1779" t="inlineStr">
        <is>
          <t>Aline</t>
        </is>
      </c>
      <c r="AD1779" t="inlineStr">
        <is>
          <t>31/08/2026</t>
        </is>
      </c>
      <c r="AE1779" t="inlineStr">
        <is>
          <t>10/09/2026</t>
        </is>
      </c>
      <c r="AF1779" t="inlineStr">
        <is>
          <t>Prazo Premissa VALE</t>
        </is>
      </c>
    </row>
    <row r="1780">
      <c r="A1780">
        <v>1778</v>
      </c>
      <c r="B1780">
        <v>1</v>
      </c>
      <c r="C1780" t="inlineStr">
        <is>
          <t>1.4A</t>
        </is>
      </c>
      <c r="D1780" t="inlineStr">
        <is>
          <t>C05</t>
        </is>
      </c>
      <c r="E1780" t="inlineStr">
        <is>
          <t>LD</t>
        </is>
      </c>
      <c r="F1780" t="inlineStr">
        <is>
          <t>EMPA</t>
        </is>
      </c>
      <c r="G1780" t="inlineStr">
        <is>
          <t>CLP-020</t>
        </is>
      </c>
      <c r="H1780" t="inlineStr">
        <is>
          <t>Protocolo</t>
        </is>
      </c>
      <c r="I1780">
        <v>4</v>
      </c>
      <c r="J1780" t="inlineStr">
        <is>
          <t>Terraplenagem</t>
        </is>
      </c>
      <c r="K1780" t="inlineStr">
        <is>
          <t>4.4</t>
        </is>
      </c>
      <c r="L1780" t="inlineStr">
        <is>
          <t>Plataforma</t>
        </is>
      </c>
      <c r="M1780" t="inlineStr">
        <is>
          <t>Material Solto</t>
        </is>
      </c>
      <c r="N1780" t="inlineStr">
        <is>
          <t xml:space="preserve">Material depositado entre o talude e a sarjeta, de forma a assorear os dispositivos com as chuvas </t>
        </is>
      </c>
      <c r="O1780" t="inlineStr">
        <is>
          <t>Tipo A</t>
        </is>
      </c>
      <c r="P1780" t="inlineStr">
        <is>
          <t>34+680</t>
        </is>
      </c>
      <c r="Q1780">
        <v>35180</v>
      </c>
      <c r="R1780" t="inlineStr">
        <is>
          <t>Aberta</t>
        </is>
      </c>
      <c r="T1780" t="inlineStr">
        <is>
          <t>Aline Batista</t>
        </is>
      </c>
      <c r="U1780" t="inlineStr">
        <is>
          <t>29/05/2026</t>
        </is>
      </c>
      <c r="V1780" t="inlineStr">
        <is>
          <t>05/06/2026</t>
        </is>
      </c>
      <c r="W1780">
        <v>5</v>
      </c>
      <c r="AA1780" t="inlineStr">
        <is>
          <t>Aberta -30 dias</t>
        </is>
      </c>
      <c r="AB1780" t="inlineStr">
        <is>
          <t>EMPA</t>
        </is>
      </c>
      <c r="AC1780" t="inlineStr">
        <is>
          <t>Aline</t>
        </is>
      </c>
      <c r="AD1780" t="inlineStr">
        <is>
          <t>31/08/2026</t>
        </is>
      </c>
      <c r="AE1780" t="inlineStr">
        <is>
          <t>10/09/2026</t>
        </is>
      </c>
      <c r="AF1780" t="inlineStr">
        <is>
          <t>Prazo Premissa VALE</t>
        </is>
      </c>
    </row>
    <row r="1781">
      <c r="A1781">
        <v>1779</v>
      </c>
      <c r="B1781">
        <v>1</v>
      </c>
      <c r="C1781" t="inlineStr">
        <is>
          <t>1.4A</t>
        </is>
      </c>
      <c r="D1781" t="inlineStr">
        <is>
          <t>C05</t>
        </is>
      </c>
      <c r="E1781" t="inlineStr">
        <is>
          <t>LD</t>
        </is>
      </c>
      <c r="F1781" t="inlineStr">
        <is>
          <t>EMPA</t>
        </is>
      </c>
      <c r="G1781" t="inlineStr">
        <is>
          <t>CLP-020</t>
        </is>
      </c>
      <c r="H1781" t="inlineStr">
        <is>
          <t>Protocolo</t>
        </is>
      </c>
      <c r="I1781">
        <v>4</v>
      </c>
      <c r="J1781" t="inlineStr">
        <is>
          <t>Terraplenagem</t>
        </is>
      </c>
      <c r="K1781" t="inlineStr">
        <is>
          <t>4.11</t>
        </is>
      </c>
      <c r="L1781" t="inlineStr">
        <is>
          <t>Caminho de serviço</t>
        </is>
      </c>
      <c r="M1781" t="inlineStr">
        <is>
          <t>Regularização e recuperação de área</t>
        </is>
      </c>
      <c r="N1781" t="inlineStr">
        <is>
          <t>Caminhos de serviço não recuperado; necessário recuperar com conformação, estabilização e hidrossemeadura; no LD, realizar retirada de resíduos.</t>
        </is>
      </c>
      <c r="O1781" t="inlineStr">
        <is>
          <t>Tipo A</t>
        </is>
      </c>
      <c r="P1781" t="inlineStr">
        <is>
          <t>34+700</t>
        </is>
      </c>
      <c r="Q1781" t="inlineStr">
        <is>
          <t>34+700</t>
        </is>
      </c>
      <c r="R1781" t="inlineStr">
        <is>
          <t>Aberta</t>
        </is>
      </c>
      <c r="T1781" t="inlineStr">
        <is>
          <t>Aline Batista</t>
        </is>
      </c>
      <c r="U1781" t="inlineStr">
        <is>
          <t>29/05/2026</t>
        </is>
      </c>
      <c r="V1781" t="inlineStr">
        <is>
          <t>05/06/2026</t>
        </is>
      </c>
      <c r="W1781">
        <v>5</v>
      </c>
      <c r="AA1781" t="inlineStr">
        <is>
          <t>Aberta -30 dias</t>
        </is>
      </c>
      <c r="AB1781" t="inlineStr">
        <is>
          <t>EMPA</t>
        </is>
      </c>
      <c r="AC1781" t="inlineStr">
        <is>
          <t>Aline</t>
        </is>
      </c>
      <c r="AD1781" t="inlineStr">
        <is>
          <t>31/08/2026</t>
        </is>
      </c>
      <c r="AE1781" t="inlineStr">
        <is>
          <t>10/09/2026</t>
        </is>
      </c>
      <c r="AF1781" t="inlineStr">
        <is>
          <t>Prazo Premissa VALE</t>
        </is>
      </c>
    </row>
    <row r="1782">
      <c r="A1782">
        <v>1782</v>
      </c>
      <c r="B1782">
        <v>1</v>
      </c>
      <c r="C1782" t="inlineStr">
        <is>
          <t>1.4A</t>
        </is>
      </c>
      <c r="D1782" t="inlineStr">
        <is>
          <t>A04</t>
        </is>
      </c>
      <c r="E1782" t="inlineStr">
        <is>
          <t>-</t>
        </is>
      </c>
      <c r="F1782" t="inlineStr">
        <is>
          <t>EMPA</t>
        </is>
      </c>
      <c r="G1782" t="inlineStr">
        <is>
          <t>CLP-020</t>
        </is>
      </c>
      <c r="H1782" t="inlineStr">
        <is>
          <t>Protocolo</t>
        </is>
      </c>
      <c r="I1782">
        <v>4</v>
      </c>
      <c r="J1782" t="inlineStr">
        <is>
          <t>Terraplenagem</t>
        </is>
      </c>
      <c r="K1782" t="inlineStr">
        <is>
          <t>4.24</t>
        </is>
      </c>
      <c r="L1782" t="inlineStr">
        <is>
          <t>(PG) Passagem de gado</t>
        </is>
      </c>
      <c r="M1782" t="inlineStr">
        <is>
          <t>Dispositivo não executado</t>
        </is>
      </c>
      <c r="N1782" t="inlineStr">
        <is>
          <t xml:space="preserve">Falta terraplenagem e drenagem
PG de 2,5x2,5 no km 36+400.</t>
        </is>
      </c>
      <c r="O1782" t="inlineStr">
        <is>
          <t>Tipo A</t>
        </is>
      </c>
      <c r="P1782" t="inlineStr">
        <is>
          <t>36+400</t>
        </is>
      </c>
      <c r="Q1782" t="inlineStr">
        <is>
          <t>36+400</t>
        </is>
      </c>
      <c r="R1782" t="inlineStr">
        <is>
          <t>Aberta</t>
        </is>
      </c>
      <c r="T1782" t="inlineStr">
        <is>
          <t>Aline Batista</t>
        </is>
      </c>
      <c r="U1782" t="inlineStr">
        <is>
          <t>29/05/2026</t>
        </is>
      </c>
      <c r="V1782" t="inlineStr">
        <is>
          <t>05/06/2026</t>
        </is>
      </c>
      <c r="W1782">
        <v>5</v>
      </c>
      <c r="AA1782" t="inlineStr">
        <is>
          <t>Aberta -30 dias</t>
        </is>
      </c>
      <c r="AB1782" t="inlineStr">
        <is>
          <t>EMPA</t>
        </is>
      </c>
      <c r="AC1782" t="inlineStr">
        <is>
          <t>Aline</t>
        </is>
      </c>
      <c r="AD1782" t="inlineStr">
        <is>
          <t>31/08/2026</t>
        </is>
      </c>
      <c r="AE1782" t="inlineStr">
        <is>
          <t>10/09/2026</t>
        </is>
      </c>
      <c r="AF1782" t="inlineStr">
        <is>
          <t>Prazo Premissa VALE</t>
        </is>
      </c>
    </row>
    <row r="1783">
      <c r="A1783">
        <v>1783</v>
      </c>
      <c r="B1783">
        <v>1</v>
      </c>
      <c r="C1783" t="inlineStr">
        <is>
          <t>1.4A</t>
        </is>
      </c>
      <c r="D1783" t="inlineStr">
        <is>
          <t>A01</t>
        </is>
      </c>
      <c r="E1783" t="inlineStr">
        <is>
          <t>-</t>
        </is>
      </c>
      <c r="F1783" t="inlineStr">
        <is>
          <t>EMPA</t>
        </is>
      </c>
      <c r="G1783" t="inlineStr">
        <is>
          <t>CLP-020</t>
        </is>
      </c>
      <c r="H1783" t="inlineStr">
        <is>
          <t>Protocolo</t>
        </is>
      </c>
      <c r="I1783">
        <v>4</v>
      </c>
      <c r="J1783" t="inlineStr">
        <is>
          <t>Terraplenagem</t>
        </is>
      </c>
      <c r="K1783" t="inlineStr">
        <is>
          <t>4.24</t>
        </is>
      </c>
      <c r="L1783" t="inlineStr">
        <is>
          <t>(PG) Passagem de gado</t>
        </is>
      </c>
      <c r="M1783" t="inlineStr">
        <is>
          <t>Dispositivo não executado</t>
        </is>
      </c>
      <c r="N1783" t="inlineStr">
        <is>
          <t xml:space="preserve">Falta terraplenagem e drenagem
PGV de 3,0x3,0 no km 31+530.</t>
        </is>
      </c>
      <c r="O1783" t="inlineStr">
        <is>
          <t>Tipo A</t>
        </is>
      </c>
      <c r="P1783" t="inlineStr">
        <is>
          <t>31+330</t>
        </is>
      </c>
      <c r="Q1783" t="inlineStr">
        <is>
          <t>31+330</t>
        </is>
      </c>
      <c r="R1783" t="inlineStr">
        <is>
          <t>Aberta</t>
        </is>
      </c>
      <c r="T1783" t="inlineStr">
        <is>
          <t>Aline Batista</t>
        </is>
      </c>
      <c r="U1783" t="inlineStr">
        <is>
          <t>29/05/2026</t>
        </is>
      </c>
      <c r="V1783" t="inlineStr">
        <is>
          <t>05/06/2026</t>
        </is>
      </c>
      <c r="W1783">
        <v>5</v>
      </c>
      <c r="AA1783" t="inlineStr">
        <is>
          <t>Aberta -30 dias</t>
        </is>
      </c>
      <c r="AB1783" t="inlineStr">
        <is>
          <t>EMPA</t>
        </is>
      </c>
      <c r="AC1783" t="inlineStr">
        <is>
          <t>Aline</t>
        </is>
      </c>
      <c r="AD1783" t="inlineStr">
        <is>
          <t>17/08/2026</t>
        </is>
      </c>
      <c r="AE1783" t="inlineStr">
        <is>
          <t>28/08/2026</t>
        </is>
      </c>
      <c r="AF1783" t="inlineStr">
        <is>
          <t>Prazo Premissa VALE</t>
        </is>
      </c>
    </row>
    <row r="1784">
      <c r="A1784">
        <v>1784</v>
      </c>
      <c r="B1784">
        <v>1</v>
      </c>
      <c r="C1784" t="inlineStr">
        <is>
          <t>1.4A</t>
        </is>
      </c>
      <c r="D1784" t="inlineStr">
        <is>
          <t>A03</t>
        </is>
      </c>
      <c r="E1784" t="inlineStr">
        <is>
          <t>-</t>
        </is>
      </c>
      <c r="F1784" t="inlineStr">
        <is>
          <t>EMPA</t>
        </is>
      </c>
      <c r="G1784" t="inlineStr">
        <is>
          <t>CLP-020</t>
        </is>
      </c>
      <c r="H1784" t="inlineStr">
        <is>
          <t>Implantação/Manifestação</t>
        </is>
      </c>
      <c r="I1784">
        <v>4</v>
      </c>
      <c r="J1784" t="inlineStr">
        <is>
          <t>Terraplenagem</t>
        </is>
      </c>
      <c r="K1784" t="inlineStr">
        <is>
          <t>4.24</t>
        </is>
      </c>
      <c r="L1784" t="inlineStr">
        <is>
          <t>PIV</t>
        </is>
      </c>
      <c r="M1784" t="inlineStr">
        <is>
          <t>Dispositivo não executado</t>
        </is>
      </c>
      <c r="N1784" t="inlineStr">
        <is>
          <t xml:space="preserve">Falta terraplenagem do acesso 
PIV de 5,0x4,55 no km 33+392;</t>
        </is>
      </c>
      <c r="O1784" t="inlineStr">
        <is>
          <t>Tipo A</t>
        </is>
      </c>
      <c r="P1784" t="inlineStr">
        <is>
          <t>33+392</t>
        </is>
      </c>
      <c r="Q1784" t="inlineStr">
        <is>
          <t>33+392</t>
        </is>
      </c>
      <c r="R1784" t="inlineStr">
        <is>
          <t>Aberta</t>
        </is>
      </c>
      <c r="T1784" t="inlineStr">
        <is>
          <t>Aline Batista</t>
        </is>
      </c>
      <c r="U1784" t="inlineStr">
        <is>
          <t>29/05/2026</t>
        </is>
      </c>
      <c r="V1784" t="inlineStr">
        <is>
          <t>05/06/2026</t>
        </is>
      </c>
      <c r="W1784">
        <v>5</v>
      </c>
      <c r="AA1784" t="inlineStr">
        <is>
          <t>Aberta -30 dias</t>
        </is>
      </c>
      <c r="AB1784" t="inlineStr">
        <is>
          <t>EMPA</t>
        </is>
      </c>
      <c r="AC1784" t="inlineStr">
        <is>
          <t>Aline</t>
        </is>
      </c>
      <c r="AD1784" t="inlineStr">
        <is>
          <t>31/08/2026</t>
        </is>
      </c>
      <c r="AE1784" t="inlineStr">
        <is>
          <t>10/09/2026</t>
        </is>
      </c>
      <c r="AF1784" t="inlineStr">
        <is>
          <t>Prazo Premissa VALE</t>
        </is>
      </c>
    </row>
    <row r="1785">
      <c r="A1785">
        <v>1785</v>
      </c>
      <c r="B1785">
        <v>1</v>
      </c>
      <c r="C1785" t="inlineStr">
        <is>
          <t>1.4A</t>
        </is>
      </c>
      <c r="D1785" t="inlineStr">
        <is>
          <t>A02</t>
        </is>
      </c>
      <c r="E1785" t="inlineStr">
        <is>
          <t>LD</t>
        </is>
      </c>
      <c r="F1785" t="inlineStr">
        <is>
          <t>EMPA</t>
        </is>
      </c>
      <c r="G1785" t="inlineStr">
        <is>
          <t>CLP-020</t>
        </is>
      </c>
      <c r="H1785" t="inlineStr">
        <is>
          <t>Protocolo</t>
        </is>
      </c>
      <c r="I1785">
        <v>4</v>
      </c>
      <c r="J1785" t="inlineStr">
        <is>
          <t>Terraplenagem</t>
        </is>
      </c>
      <c r="K1785" t="inlineStr">
        <is>
          <t>4.11</t>
        </is>
      </c>
      <c r="L1785" t="inlineStr">
        <is>
          <t>Enrrocamento</t>
        </is>
      </c>
      <c r="M1785" t="inlineStr">
        <is>
          <t>Dispositivo não executado</t>
        </is>
      </c>
      <c r="N1785" t="inlineStr">
        <is>
          <t xml:space="preserve">Pendente ernrocamento com pedra argamassada no talude do aterro, conforme projeto e reforçado em SIT_2024_2456. </t>
        </is>
      </c>
      <c r="O1785" t="inlineStr">
        <is>
          <t>Tipo A</t>
        </is>
      </c>
      <c r="P1785" t="inlineStr">
        <is>
          <t>32+620</t>
        </is>
      </c>
      <c r="Q1785" t="inlineStr">
        <is>
          <t>32+620</t>
        </is>
      </c>
      <c r="R1785" t="inlineStr">
        <is>
          <t>Aberta</t>
        </is>
      </c>
      <c r="T1785" t="inlineStr">
        <is>
          <t>Aline Batista</t>
        </is>
      </c>
      <c r="U1785" t="inlineStr">
        <is>
          <t>29/05/2026</t>
        </is>
      </c>
      <c r="V1785" t="inlineStr">
        <is>
          <t>05/06/2026</t>
        </is>
      </c>
      <c r="W1785">
        <v>5</v>
      </c>
      <c r="AA1785" t="inlineStr">
        <is>
          <t>Aberta -30 dias</t>
        </is>
      </c>
      <c r="AB1785" t="inlineStr">
        <is>
          <t>EMPA</t>
        </is>
      </c>
      <c r="AC1785" t="inlineStr">
        <is>
          <t>Aline</t>
        </is>
      </c>
      <c r="AD1785" t="inlineStr">
        <is>
          <t>17/08/2026</t>
        </is>
      </c>
      <c r="AE1785" t="inlineStr">
        <is>
          <t>28/08/2026</t>
        </is>
      </c>
      <c r="AF1785" t="inlineStr">
        <is>
          <t>Prazo Premissa VALE</t>
        </is>
      </c>
    </row>
    <row r="1786">
      <c r="A1786">
        <v>1786</v>
      </c>
      <c r="B1786">
        <v>1</v>
      </c>
      <c r="C1786" t="inlineStr">
        <is>
          <t>1.4A</t>
        </is>
      </c>
      <c r="D1786" t="inlineStr">
        <is>
          <t>C05</t>
        </is>
      </c>
      <c r="E1786" t="inlineStr">
        <is>
          <t>LD</t>
        </is>
      </c>
      <c r="F1786" t="inlineStr">
        <is>
          <t>EMPA</t>
        </is>
      </c>
      <c r="G1786" t="inlineStr">
        <is>
          <t>CLP-020</t>
        </is>
      </c>
      <c r="H1786" t="inlineStr">
        <is>
          <t>Protocolo</t>
        </is>
      </c>
      <c r="I1786">
        <v>5</v>
      </c>
      <c r="J1786" t="inlineStr">
        <is>
          <t>Drenagem Profunda</t>
        </is>
      </c>
      <c r="K1786" t="inlineStr">
        <is>
          <t>5.5</t>
        </is>
      </c>
      <c r="L1786" t="inlineStr">
        <is>
          <t>BSD</t>
        </is>
      </c>
      <c r="M1786" t="inlineStr">
        <is>
          <t>Dispositivo não executado</t>
        </is>
      </c>
      <c r="N1786" t="inlineStr">
        <is>
          <t>Drenos Sub-horizontais executados sem BSD</t>
        </is>
      </c>
      <c r="O1786" t="inlineStr">
        <is>
          <t>Tipo A</t>
        </is>
      </c>
      <c r="P1786" t="inlineStr">
        <is>
          <t>34+680</t>
        </is>
      </c>
      <c r="Q1786" t="inlineStr">
        <is>
          <t>35+180</t>
        </is>
      </c>
      <c r="R1786" t="inlineStr">
        <is>
          <t>Aberta</t>
        </is>
      </c>
      <c r="T1786" t="inlineStr">
        <is>
          <t>Aline Batista</t>
        </is>
      </c>
      <c r="U1786" t="inlineStr">
        <is>
          <t>29/05/2026</t>
        </is>
      </c>
      <c r="V1786" t="inlineStr">
        <is>
          <t>05/06/2026</t>
        </is>
      </c>
      <c r="W1786">
        <v>5</v>
      </c>
      <c r="AA1786" t="inlineStr">
        <is>
          <t>Aberta -30 dias</t>
        </is>
      </c>
      <c r="AB1786" t="inlineStr">
        <is>
          <t>EMPA</t>
        </is>
      </c>
      <c r="AC1786" t="inlineStr">
        <is>
          <t>Aline</t>
        </is>
      </c>
      <c r="AD1786" t="inlineStr">
        <is>
          <t>31/08/2026</t>
        </is>
      </c>
      <c r="AE1786" t="inlineStr">
        <is>
          <t>10/09/2026</t>
        </is>
      </c>
      <c r="AF1786" t="inlineStr">
        <is>
          <t>Prazo Premissa VALE</t>
        </is>
      </c>
    </row>
    <row r="1787">
      <c r="A1787">
        <v>1791</v>
      </c>
      <c r="B1787">
        <v>1</v>
      </c>
      <c r="C1787" t="inlineStr">
        <is>
          <t>1.1</t>
        </is>
      </c>
      <c r="D1787" t="inlineStr">
        <is>
          <t>C06</t>
        </is>
      </c>
      <c r="E1787" t="inlineStr">
        <is>
          <t xml:space="preserve">LE/LD </t>
        </is>
      </c>
      <c r="F1787" t="inlineStr">
        <is>
          <t>VALE</t>
        </is>
      </c>
      <c r="G1787" t="inlineStr">
        <is>
          <t>CLP-015</t>
        </is>
      </c>
      <c r="H1787" t="inlineStr">
        <is>
          <t>Protocolo</t>
        </is>
      </c>
      <c r="I1787">
        <v>6</v>
      </c>
      <c r="J1787" t="inlineStr">
        <is>
          <t>Drenagem Superficial</t>
        </is>
      </c>
      <c r="K1787" t="inlineStr">
        <is>
          <t>6.1</t>
        </is>
      </c>
      <c r="L1787" t="inlineStr">
        <is>
          <t>SZA</t>
        </is>
      </c>
      <c r="M1787" t="inlineStr">
        <is>
          <t>Drenagem danificadas</t>
        </is>
      </c>
      <c r="N1787" t="inlineStr">
        <is>
          <t>Sarjeta danificada nos lados direito e esquerdo da Alça Sul.</t>
        </is>
      </c>
      <c r="O1787" t="inlineStr">
        <is>
          <t>Tipo A</t>
        </is>
      </c>
      <c r="P1787" t="inlineStr">
        <is>
          <t>0+100</t>
        </is>
      </c>
      <c r="Q1787" t="inlineStr">
        <is>
          <t>0+300</t>
        </is>
      </c>
      <c r="R1787" t="inlineStr">
        <is>
          <t>Aberta</t>
        </is>
      </c>
      <c r="T1787" t="inlineStr">
        <is>
          <t>Aline Batista</t>
        </is>
      </c>
      <c r="U1787" t="inlineStr">
        <is>
          <t>25/05/2026</t>
        </is>
      </c>
      <c r="V1787" t="inlineStr">
        <is>
          <t>01/06/2026</t>
        </is>
      </c>
      <c r="W1787">
        <v>9</v>
      </c>
      <c r="AA1787" t="inlineStr">
        <is>
          <t>Aberta -30 dias</t>
        </is>
      </c>
      <c r="AB1787" t="inlineStr">
        <is>
          <t>GSA</t>
        </is>
      </c>
      <c r="AC1787" t="inlineStr">
        <is>
          <t>Aline</t>
        </is>
      </c>
      <c r="AD1787" t="inlineStr">
        <is>
          <t>15/06/2026</t>
        </is>
      </c>
      <c r="AE1787" t="inlineStr">
        <is>
          <t>30/06/2026</t>
        </is>
      </c>
      <c r="AF1787" t="inlineStr">
        <is>
          <t>Prazo Premissa VALE</t>
        </is>
      </c>
    </row>
    <row r="1788">
      <c r="A1788">
        <v>1792</v>
      </c>
      <c r="B1788">
        <v>1</v>
      </c>
      <c r="C1788" t="inlineStr">
        <is>
          <t>1.1</t>
        </is>
      </c>
      <c r="D1788" t="inlineStr">
        <is>
          <t>C07</t>
        </is>
      </c>
      <c r="E1788" t="inlineStr">
        <is>
          <t>LE/LD Alça Norte</t>
        </is>
      </c>
      <c r="F1788" t="inlineStr">
        <is>
          <t>VALE</t>
        </is>
      </c>
      <c r="G1788" t="inlineStr">
        <is>
          <t>CLP-015</t>
        </is>
      </c>
      <c r="H1788" t="inlineStr">
        <is>
          <t>Protocolo</t>
        </is>
      </c>
      <c r="I1788">
        <v>6</v>
      </c>
      <c r="J1788" t="inlineStr">
        <is>
          <t>Drenagem Superficial</t>
        </is>
      </c>
      <c r="K1788" t="inlineStr">
        <is>
          <t>6.1</t>
        </is>
      </c>
      <c r="L1788" t="inlineStr">
        <is>
          <t xml:space="preserve"> SZA</t>
        </is>
      </c>
      <c r="M1788" t="inlineStr">
        <is>
          <t>Acúmulo de água</t>
        </is>
      </c>
      <c r="N1788" t="inlineStr">
        <is>
          <t>Água parada acumulada no dispositivo de drenagem.</t>
        </is>
      </c>
      <c r="O1788" t="inlineStr">
        <is>
          <t>Tipo A</t>
        </is>
      </c>
      <c r="P1788" t="inlineStr">
        <is>
          <t>0+600</t>
        </is>
      </c>
      <c r="Q1788" t="inlineStr">
        <is>
          <t>0+600</t>
        </is>
      </c>
      <c r="R1788" t="inlineStr">
        <is>
          <t>Aberta</t>
        </is>
      </c>
      <c r="T1788" t="inlineStr">
        <is>
          <t>Aline Batista</t>
        </is>
      </c>
      <c r="U1788" t="inlineStr">
        <is>
          <t>25/05/2026</t>
        </is>
      </c>
      <c r="V1788" t="inlineStr">
        <is>
          <t>01/06/2026</t>
        </is>
      </c>
      <c r="W1788">
        <v>9</v>
      </c>
      <c r="AA1788" t="inlineStr">
        <is>
          <t>Aberta -30 dias</t>
        </is>
      </c>
      <c r="AB1788" t="inlineStr">
        <is>
          <t>GSA</t>
        </is>
      </c>
      <c r="AC1788" t="inlineStr">
        <is>
          <t>Aline</t>
        </is>
      </c>
      <c r="AD1788" t="inlineStr">
        <is>
          <t>15/06/2026</t>
        </is>
      </c>
      <c r="AE1788" t="inlineStr">
        <is>
          <t>30/06/2026</t>
        </is>
      </c>
      <c r="AF1788" t="inlineStr">
        <is>
          <t>Prazo Premissa VALE</t>
        </is>
      </c>
    </row>
    <row r="1789">
      <c r="A1789">
        <v>1793</v>
      </c>
      <c r="B1789">
        <v>1</v>
      </c>
      <c r="C1789" t="inlineStr">
        <is>
          <t>1.1</t>
        </is>
      </c>
      <c r="D1789" t="inlineStr">
        <is>
          <t>C09</t>
        </is>
      </c>
      <c r="E1789" t="inlineStr">
        <is>
          <t>LD  Alça Norte</t>
        </is>
      </c>
      <c r="F1789" t="inlineStr">
        <is>
          <t>VALE</t>
        </is>
      </c>
      <c r="G1789" t="inlineStr">
        <is>
          <t>CLP-015</t>
        </is>
      </c>
      <c r="H1789" t="inlineStr">
        <is>
          <t>Protocolo</t>
        </is>
      </c>
      <c r="I1789">
        <v>6</v>
      </c>
      <c r="J1789" t="inlineStr">
        <is>
          <t>Drenagem Superficial</t>
        </is>
      </c>
      <c r="K1789" t="inlineStr">
        <is>
          <t>6.1</t>
        </is>
      </c>
      <c r="L1789" t="inlineStr">
        <is>
          <t>Drenagem superficial</t>
        </is>
      </c>
      <c r="M1789" t="inlineStr">
        <is>
          <t>Dispositivo não executado</t>
        </is>
      </c>
      <c r="N1789" t="inlineStr">
        <is>
          <t>Pendente conclusão do dispositivo de drenagem</t>
        </is>
      </c>
      <c r="O1789" t="inlineStr">
        <is>
          <t>Tipo A</t>
        </is>
      </c>
      <c r="P1789" t="inlineStr">
        <is>
          <t>1+820</t>
        </is>
      </c>
      <c r="Q1789" t="inlineStr">
        <is>
          <t>1+820</t>
        </is>
      </c>
      <c r="R1789" t="inlineStr">
        <is>
          <t>Aberta</t>
        </is>
      </c>
      <c r="T1789" t="inlineStr">
        <is>
          <t>Aline Batista</t>
        </is>
      </c>
      <c r="U1789" t="inlineStr">
        <is>
          <t>25/05/2026</t>
        </is>
      </c>
      <c r="V1789" t="inlineStr">
        <is>
          <t>01/06/2026</t>
        </is>
      </c>
      <c r="W1789">
        <v>9</v>
      </c>
      <c r="AA1789" t="inlineStr">
        <is>
          <t>Aberta -30 dias</t>
        </is>
      </c>
      <c r="AB1789" t="inlineStr">
        <is>
          <t>GSA</t>
        </is>
      </c>
      <c r="AC1789" t="inlineStr">
        <is>
          <t>Aline</t>
        </is>
      </c>
      <c r="AD1789" t="inlineStr">
        <is>
          <t>15/06/2026</t>
        </is>
      </c>
      <c r="AE1789" t="inlineStr">
        <is>
          <t>30/06/2026</t>
        </is>
      </c>
      <c r="AF1789" t="inlineStr">
        <is>
          <t>Prazo Premissa VALE</t>
        </is>
      </c>
    </row>
    <row r="1790">
      <c r="A1790">
        <v>1794</v>
      </c>
      <c r="B1790">
        <v>1</v>
      </c>
      <c r="C1790" t="inlineStr">
        <is>
          <t>1.1</t>
        </is>
      </c>
      <c r="D1790" t="inlineStr">
        <is>
          <t>A08</t>
        </is>
      </c>
      <c r="E1790" t="inlineStr">
        <is>
          <t>LD</t>
        </is>
      </c>
      <c r="F1790" t="inlineStr">
        <is>
          <t>VALE</t>
        </is>
      </c>
      <c r="G1790" t="inlineStr">
        <is>
          <t>CLP-015</t>
        </is>
      </c>
      <c r="H1790" t="inlineStr">
        <is>
          <t>Protocolo</t>
        </is>
      </c>
      <c r="I1790">
        <v>6</v>
      </c>
      <c r="J1790" t="inlineStr">
        <is>
          <t>Drenagem Superficial</t>
        </is>
      </c>
      <c r="K1790" t="inlineStr">
        <is>
          <t>6.2</t>
        </is>
      </c>
      <c r="L1790" t="inlineStr">
        <is>
          <t>Drenagem superficial</t>
        </is>
      </c>
      <c r="M1790" t="inlineStr">
        <is>
          <t>Obstrução do dispositivo</t>
        </is>
      </c>
      <c r="N1790" t="inlineStr">
        <is>
          <t>Acesso aberto necessitando de recuperação e canaletas obstruídas.</t>
        </is>
      </c>
      <c r="O1790" t="inlineStr">
        <is>
          <t>Tipo A</t>
        </is>
      </c>
      <c r="P1790" t="inlineStr">
        <is>
          <t>1+500</t>
        </is>
      </c>
      <c r="Q1790" t="inlineStr">
        <is>
          <t>1+500</t>
        </is>
      </c>
      <c r="R1790" t="inlineStr">
        <is>
          <t>Aberta</t>
        </is>
      </c>
      <c r="T1790" t="inlineStr">
        <is>
          <t>Aline Batista</t>
        </is>
      </c>
      <c r="U1790" t="inlineStr">
        <is>
          <t>25/05/2026</t>
        </is>
      </c>
      <c r="V1790" t="inlineStr">
        <is>
          <t>01/06/2026</t>
        </is>
      </c>
      <c r="W1790">
        <v>9</v>
      </c>
      <c r="AA1790" t="inlineStr">
        <is>
          <t>Aberta -30 dias</t>
        </is>
      </c>
      <c r="AB1790" t="inlineStr">
        <is>
          <t>GSA</t>
        </is>
      </c>
      <c r="AC1790" t="inlineStr">
        <is>
          <t>Aline</t>
        </is>
      </c>
      <c r="AD1790" t="inlineStr">
        <is>
          <t>15/06/2026</t>
        </is>
      </c>
      <c r="AE1790" t="inlineStr">
        <is>
          <t>30/06/2026</t>
        </is>
      </c>
      <c r="AF1790" t="inlineStr">
        <is>
          <t>Prazo Premissa VALE</t>
        </is>
      </c>
    </row>
    <row r="1791">
      <c r="A1791">
        <v>1795</v>
      </c>
      <c r="B1791">
        <v>1</v>
      </c>
      <c r="C1791" t="inlineStr">
        <is>
          <t>1.1</t>
        </is>
      </c>
      <c r="D1791" t="inlineStr">
        <is>
          <t>A06</t>
        </is>
      </c>
      <c r="E1791" t="inlineStr">
        <is>
          <t>LE    Alça Sul</t>
        </is>
      </c>
      <c r="F1791" t="inlineStr">
        <is>
          <t>VALE</t>
        </is>
      </c>
      <c r="G1791" t="inlineStr">
        <is>
          <t>CLP-015</t>
        </is>
      </c>
      <c r="H1791" t="inlineStr">
        <is>
          <t>Protocolo</t>
        </is>
      </c>
      <c r="I1791">
        <v>6</v>
      </c>
      <c r="J1791" t="inlineStr">
        <is>
          <t>Drenagem Superficial</t>
        </is>
      </c>
      <c r="K1791" t="inlineStr">
        <is>
          <t>6.7</t>
        </is>
      </c>
      <c r="L1791" t="inlineStr">
        <is>
          <t>Drenagem superficial</t>
        </is>
      </c>
      <c r="M1791" t="inlineStr">
        <is>
          <t>Drenagem danificadas</t>
        </is>
      </c>
      <c r="N1791" t="inlineStr">
        <is>
          <t>Dispositivo danificado, processo erosivo</t>
        </is>
      </c>
      <c r="O1791" t="inlineStr">
        <is>
          <t>Tipo A</t>
        </is>
      </c>
      <c r="P1791" t="inlineStr">
        <is>
          <t>0+330</t>
        </is>
      </c>
      <c r="Q1791" t="inlineStr">
        <is>
          <t>0+330</t>
        </is>
      </c>
      <c r="R1791" t="inlineStr">
        <is>
          <t>Aberta</t>
        </is>
      </c>
      <c r="T1791" t="inlineStr">
        <is>
          <t>Aline Batista</t>
        </is>
      </c>
      <c r="U1791" t="inlineStr">
        <is>
          <t>25/05/2026</t>
        </is>
      </c>
      <c r="V1791" t="inlineStr">
        <is>
          <t>01/06/2026</t>
        </is>
      </c>
      <c r="W1791">
        <v>9</v>
      </c>
      <c r="AA1791" t="inlineStr">
        <is>
          <t>Aberta -30 dias</t>
        </is>
      </c>
      <c r="AB1791" t="inlineStr">
        <is>
          <t>GSA</t>
        </is>
      </c>
      <c r="AC1791" t="inlineStr">
        <is>
          <t>Aline</t>
        </is>
      </c>
      <c r="AD1791" t="inlineStr">
        <is>
          <t>15/06/2026</t>
        </is>
      </c>
      <c r="AE1791" t="inlineStr">
        <is>
          <t>30/06/2026</t>
        </is>
      </c>
      <c r="AF1791" t="inlineStr">
        <is>
          <t>Prazo Premissa VALE</t>
        </is>
      </c>
    </row>
    <row r="1792">
      <c r="A1792">
        <v>1796</v>
      </c>
      <c r="B1792">
        <v>1</v>
      </c>
      <c r="C1792" t="inlineStr">
        <is>
          <t>1.1</t>
        </is>
      </c>
      <c r="D1792" t="inlineStr">
        <is>
          <t>A08</t>
        </is>
      </c>
      <c r="E1792" t="inlineStr">
        <is>
          <t>LD    Alça Sul</t>
        </is>
      </c>
      <c r="F1792" t="inlineStr">
        <is>
          <t>VALE</t>
        </is>
      </c>
      <c r="G1792" t="inlineStr">
        <is>
          <t>CLP-015</t>
        </is>
      </c>
      <c r="H1792" t="inlineStr">
        <is>
          <t>Protocolo</t>
        </is>
      </c>
      <c r="I1792">
        <v>6</v>
      </c>
      <c r="J1792" t="inlineStr">
        <is>
          <t>Drenagem Superficial</t>
        </is>
      </c>
      <c r="K1792" t="inlineStr">
        <is>
          <t>6.7</t>
        </is>
      </c>
      <c r="L1792" t="inlineStr">
        <is>
          <t>Drenagem superficial</t>
        </is>
      </c>
      <c r="M1792" t="inlineStr">
        <is>
          <t>Drenagem danificadas</t>
        </is>
      </c>
      <c r="N1792" t="inlineStr">
        <is>
          <t>Dispositivo danificado</t>
        </is>
      </c>
      <c r="O1792" t="inlineStr">
        <is>
          <t>Tipo A</t>
        </is>
      </c>
      <c r="P1792" t="inlineStr">
        <is>
          <t>1+270</t>
        </is>
      </c>
      <c r="Q1792" t="inlineStr">
        <is>
          <t>1+270</t>
        </is>
      </c>
      <c r="R1792" t="inlineStr">
        <is>
          <t>Aberta</t>
        </is>
      </c>
      <c r="T1792" t="inlineStr">
        <is>
          <t>Aline Batista</t>
        </is>
      </c>
      <c r="U1792" t="inlineStr">
        <is>
          <t>25/05/2026</t>
        </is>
      </c>
      <c r="V1792" t="inlineStr">
        <is>
          <t>01/06/2026</t>
        </is>
      </c>
      <c r="W1792">
        <v>9</v>
      </c>
      <c r="AA1792" t="inlineStr">
        <is>
          <t>Aberta -30 dias</t>
        </is>
      </c>
      <c r="AB1792" t="inlineStr">
        <is>
          <t>GSA</t>
        </is>
      </c>
      <c r="AC1792" t="inlineStr">
        <is>
          <t>Aline</t>
        </is>
      </c>
      <c r="AD1792" t="inlineStr">
        <is>
          <t>15/06/2026</t>
        </is>
      </c>
      <c r="AE1792" t="inlineStr">
        <is>
          <t>30/06/2026</t>
        </is>
      </c>
      <c r="AF1792" t="inlineStr">
        <is>
          <t>Prazo Premissa VALE</t>
        </is>
      </c>
    </row>
    <row r="1793">
      <c r="A1793">
        <v>1797</v>
      </c>
      <c r="B1793">
        <v>1</v>
      </c>
      <c r="C1793" t="inlineStr">
        <is>
          <t>1.1</t>
        </is>
      </c>
      <c r="D1793" t="inlineStr">
        <is>
          <t>A07</t>
        </is>
      </c>
      <c r="E1793" t="inlineStr">
        <is>
          <t>LE    Alça Norte</t>
        </is>
      </c>
      <c r="F1793" t="inlineStr">
        <is>
          <t>VALE</t>
        </is>
      </c>
      <c r="G1793" t="inlineStr">
        <is>
          <t>CLP-015</t>
        </is>
      </c>
      <c r="H1793" t="inlineStr">
        <is>
          <t>Protocolo</t>
        </is>
      </c>
      <c r="I1793">
        <v>6</v>
      </c>
      <c r="J1793" t="inlineStr">
        <is>
          <t>Drenagem Superficial</t>
        </is>
      </c>
      <c r="K1793" t="inlineStr">
        <is>
          <t>6.7</t>
        </is>
      </c>
      <c r="L1793" t="inlineStr">
        <is>
          <t>Drenagem superficial</t>
        </is>
      </c>
      <c r="M1793" t="inlineStr">
        <is>
          <t>Drenagem danificadas</t>
        </is>
      </c>
      <c r="N1793" t="inlineStr">
        <is>
          <t>Dispositivo danificado</t>
        </is>
      </c>
      <c r="O1793" t="inlineStr">
        <is>
          <t>Tipo A</t>
        </is>
      </c>
      <c r="P1793" t="inlineStr">
        <is>
          <t>1+020</t>
        </is>
      </c>
      <c r="Q1793" t="inlineStr">
        <is>
          <t>1+020</t>
        </is>
      </c>
      <c r="R1793" t="inlineStr">
        <is>
          <t>Aberta</t>
        </is>
      </c>
      <c r="T1793" t="inlineStr">
        <is>
          <t>Aline Batista</t>
        </is>
      </c>
      <c r="U1793" t="inlineStr">
        <is>
          <t>25/05/2026</t>
        </is>
      </c>
      <c r="V1793" t="inlineStr">
        <is>
          <t>01/06/2026</t>
        </is>
      </c>
      <c r="W1793">
        <v>9</v>
      </c>
      <c r="AA1793" t="inlineStr">
        <is>
          <t>Aberta -30 dias</t>
        </is>
      </c>
      <c r="AB1793" t="inlineStr">
        <is>
          <t>GSA</t>
        </is>
      </c>
      <c r="AC1793" t="inlineStr">
        <is>
          <t>Aline</t>
        </is>
      </c>
      <c r="AD1793" t="inlineStr">
        <is>
          <t>15/06/2026</t>
        </is>
      </c>
      <c r="AE1793" t="inlineStr">
        <is>
          <t>30/06/2026</t>
        </is>
      </c>
      <c r="AF1793" t="inlineStr">
        <is>
          <t>Prazo Premissa VALE</t>
        </is>
      </c>
    </row>
    <row r="1794">
      <c r="A1794">
        <v>1798</v>
      </c>
      <c r="B1794">
        <v>1</v>
      </c>
      <c r="C1794" t="inlineStr">
        <is>
          <t>1.2</t>
        </is>
      </c>
      <c r="D1794" t="inlineStr">
        <is>
          <t>A08</t>
        </is>
      </c>
      <c r="E1794" t="inlineStr">
        <is>
          <t>LE    Alça Norte</t>
        </is>
      </c>
      <c r="F1794" t="inlineStr">
        <is>
          <t>VALE</t>
        </is>
      </c>
      <c r="G1794" t="inlineStr">
        <is>
          <t>CLP-015</t>
        </is>
      </c>
      <c r="H1794" t="inlineStr">
        <is>
          <t>Protocolo</t>
        </is>
      </c>
      <c r="I1794">
        <v>6</v>
      </c>
      <c r="J1794" t="inlineStr">
        <is>
          <t>Drenagem Superficial</t>
        </is>
      </c>
      <c r="K1794" t="inlineStr">
        <is>
          <t>6.7</t>
        </is>
      </c>
      <c r="L1794" t="inlineStr">
        <is>
          <t>Drenagem superficial</t>
        </is>
      </c>
      <c r="M1794" t="inlineStr">
        <is>
          <t>Obstrução do dispositivo</t>
        </is>
      </c>
      <c r="N1794" t="inlineStr">
        <is>
          <t>Drenagem obstruída por acúmulo de material, lado esquerdo</t>
        </is>
      </c>
      <c r="O1794" t="inlineStr">
        <is>
          <t>Tipo A</t>
        </is>
      </c>
      <c r="P1794" t="inlineStr">
        <is>
          <t>1+260</t>
        </is>
      </c>
      <c r="Q1794" t="inlineStr">
        <is>
          <t>1+260</t>
        </is>
      </c>
      <c r="R1794" t="inlineStr">
        <is>
          <t>Aberta</t>
        </is>
      </c>
      <c r="T1794" t="inlineStr">
        <is>
          <t>Aline Batista</t>
        </is>
      </c>
      <c r="U1794" t="inlineStr">
        <is>
          <t>25/05/2026</t>
        </is>
      </c>
      <c r="V1794" t="inlineStr">
        <is>
          <t>01/06/2026</t>
        </is>
      </c>
      <c r="W1794">
        <v>9</v>
      </c>
      <c r="AA1794" t="inlineStr">
        <is>
          <t>Aberta -30 dias</t>
        </is>
      </c>
      <c r="AB1794" t="inlineStr">
        <is>
          <t>GSA</t>
        </is>
      </c>
      <c r="AC1794" t="inlineStr">
        <is>
          <t>Aline</t>
        </is>
      </c>
      <c r="AD1794" t="inlineStr">
        <is>
          <t>15/06/2026</t>
        </is>
      </c>
      <c r="AE1794" t="inlineStr">
        <is>
          <t>30/06/2026</t>
        </is>
      </c>
      <c r="AF1794" t="inlineStr">
        <is>
          <t>Prazo Premissa VALE</t>
        </is>
      </c>
    </row>
    <row r="1795">
      <c r="A1795">
        <v>1799</v>
      </c>
      <c r="B1795">
        <v>1</v>
      </c>
      <c r="C1795" t="inlineStr">
        <is>
          <t>1.1</t>
        </is>
      </c>
      <c r="D1795" t="inlineStr">
        <is>
          <t>C09</t>
        </is>
      </c>
      <c r="E1795" t="inlineStr">
        <is>
          <t>LE/LD Alça Norte</t>
        </is>
      </c>
      <c r="F1795" t="inlineStr">
        <is>
          <t>VALE</t>
        </is>
      </c>
      <c r="G1795" t="inlineStr">
        <is>
          <t>CLP-015</t>
        </is>
      </c>
      <c r="H1795" t="inlineStr">
        <is>
          <t>Protocolo</t>
        </is>
      </c>
      <c r="I1795">
        <v>6</v>
      </c>
      <c r="J1795" t="inlineStr">
        <is>
          <t>Drenagem Superficial</t>
        </is>
      </c>
      <c r="K1795" t="inlineStr">
        <is>
          <t>6.7</t>
        </is>
      </c>
      <c r="L1795" t="inlineStr">
        <is>
          <t>SZA</t>
        </is>
      </c>
      <c r="M1795" t="inlineStr">
        <is>
          <t>Drenagem danificadas</t>
        </is>
      </c>
      <c r="N1795" t="inlineStr">
        <is>
          <t>Dispositivo danificado</t>
        </is>
      </c>
      <c r="O1795" t="inlineStr">
        <is>
          <t>Tipo A</t>
        </is>
      </c>
      <c r="P1795" t="inlineStr">
        <is>
          <t>1+540</t>
        </is>
      </c>
      <c r="Q1795" t="inlineStr">
        <is>
          <t xml:space="preserve"> 1+680</t>
        </is>
      </c>
      <c r="R1795" t="inlineStr">
        <is>
          <t>Aberta</t>
        </is>
      </c>
      <c r="T1795" t="inlineStr">
        <is>
          <t>Aline Batista</t>
        </is>
      </c>
      <c r="U1795" t="inlineStr">
        <is>
          <t>25/05/2026</t>
        </is>
      </c>
      <c r="V1795" t="inlineStr">
        <is>
          <t>01/06/2026</t>
        </is>
      </c>
      <c r="W1795">
        <v>9</v>
      </c>
      <c r="AA1795" t="inlineStr">
        <is>
          <t>Aberta -30 dias</t>
        </is>
      </c>
      <c r="AB1795" t="inlineStr">
        <is>
          <t>GSA</t>
        </is>
      </c>
      <c r="AC1795" t="inlineStr">
        <is>
          <t>Aline</t>
        </is>
      </c>
      <c r="AD1795" t="inlineStr">
        <is>
          <t>15/06/2026</t>
        </is>
      </c>
      <c r="AE1795" t="inlineStr">
        <is>
          <t>30/06/2026</t>
        </is>
      </c>
      <c r="AF1795" t="inlineStr">
        <is>
          <t>Prazo Premissa VALE</t>
        </is>
      </c>
    </row>
    <row r="1796">
      <c r="A1796">
        <v>1800</v>
      </c>
      <c r="B1796">
        <v>1</v>
      </c>
      <c r="C1796" t="inlineStr">
        <is>
          <t>1.1</t>
        </is>
      </c>
      <c r="D1796" t="inlineStr">
        <is>
          <t>C09</t>
        </is>
      </c>
      <c r="E1796" t="inlineStr">
        <is>
          <t>LE    Alça Norte</t>
        </is>
      </c>
      <c r="F1796" t="inlineStr">
        <is>
          <t>VALE</t>
        </is>
      </c>
      <c r="G1796" t="inlineStr">
        <is>
          <t>CLP-015</t>
        </is>
      </c>
      <c r="H1796" t="inlineStr">
        <is>
          <t>Protocolo</t>
        </is>
      </c>
      <c r="I1796">
        <v>6</v>
      </c>
      <c r="J1796" t="inlineStr">
        <is>
          <t>Drenagem Superficial</t>
        </is>
      </c>
      <c r="K1796" t="inlineStr">
        <is>
          <t>6.7</t>
        </is>
      </c>
      <c r="L1796" t="inlineStr">
        <is>
          <t>SZA</t>
        </is>
      </c>
      <c r="M1796" t="inlineStr">
        <is>
          <t>Drenagem danificadas</t>
        </is>
      </c>
      <c r="N1796" t="inlineStr">
        <is>
          <t>Dispositivo danificado</t>
        </is>
      </c>
      <c r="O1796" t="inlineStr">
        <is>
          <t>Tipo A</t>
        </is>
      </c>
      <c r="P1796" t="inlineStr">
        <is>
          <t>1+740</t>
        </is>
      </c>
      <c r="Q1796" t="inlineStr">
        <is>
          <t>1+740</t>
        </is>
      </c>
      <c r="R1796" t="inlineStr">
        <is>
          <t>Aberta</t>
        </is>
      </c>
      <c r="T1796" t="inlineStr">
        <is>
          <t>Aline Batista</t>
        </is>
      </c>
      <c r="U1796" t="inlineStr">
        <is>
          <t>25/05/2026</t>
        </is>
      </c>
      <c r="V1796" t="inlineStr">
        <is>
          <t>01/06/2026</t>
        </is>
      </c>
      <c r="W1796">
        <v>9</v>
      </c>
      <c r="AA1796" t="inlineStr">
        <is>
          <t>Aberta -30 dias</t>
        </is>
      </c>
      <c r="AB1796" t="inlineStr">
        <is>
          <t>GSA</t>
        </is>
      </c>
      <c r="AC1796" t="inlineStr">
        <is>
          <t>Aline</t>
        </is>
      </c>
      <c r="AD1796" t="inlineStr">
        <is>
          <t>15/06/2026</t>
        </is>
      </c>
      <c r="AE1796" t="inlineStr">
        <is>
          <t>30/06/2026</t>
        </is>
      </c>
      <c r="AF1796" t="inlineStr">
        <is>
          <t>Prazo Premissa VALE</t>
        </is>
      </c>
    </row>
    <row r="1797">
      <c r="A1797">
        <v>1801</v>
      </c>
      <c r="B1797">
        <v>1</v>
      </c>
      <c r="C1797" t="inlineStr">
        <is>
          <t>1.1</t>
        </is>
      </c>
      <c r="D1797" t="inlineStr">
        <is>
          <t>C09</t>
        </is>
      </c>
      <c r="E1797" t="inlineStr">
        <is>
          <t>LE Alça Norte</t>
        </is>
      </c>
      <c r="F1797" t="inlineStr">
        <is>
          <t>VALE</t>
        </is>
      </c>
      <c r="G1797" t="inlineStr">
        <is>
          <t>CLP-015</t>
        </is>
      </c>
      <c r="H1797" t="inlineStr">
        <is>
          <t>Protocolo</t>
        </is>
      </c>
      <c r="I1797">
        <v>6</v>
      </c>
      <c r="J1797" t="inlineStr">
        <is>
          <t>Drenagem Superficial</t>
        </is>
      </c>
      <c r="K1797" t="inlineStr">
        <is>
          <t>6.7</t>
        </is>
      </c>
      <c r="L1797" t="inlineStr">
        <is>
          <t>Caixa de passagem</t>
        </is>
      </c>
      <c r="M1797" t="inlineStr">
        <is>
          <t>Drenagem danificadas</t>
        </is>
      </c>
      <c r="N1797" t="inlineStr">
        <is>
          <t>Dispositivo danificado</t>
        </is>
      </c>
      <c r="O1797" t="inlineStr">
        <is>
          <t>Tipo A</t>
        </is>
      </c>
      <c r="P1797" t="inlineStr">
        <is>
          <t>1+720</t>
        </is>
      </c>
      <c r="Q1797" t="inlineStr">
        <is>
          <t>1+720</t>
        </is>
      </c>
      <c r="R1797" t="inlineStr">
        <is>
          <t>Aberta</t>
        </is>
      </c>
      <c r="T1797" t="inlineStr">
        <is>
          <t>Aline Batista</t>
        </is>
      </c>
      <c r="U1797" t="inlineStr">
        <is>
          <t>25/05/2026</t>
        </is>
      </c>
      <c r="V1797" t="inlineStr">
        <is>
          <t>01/06/2026</t>
        </is>
      </c>
      <c r="W1797">
        <v>9</v>
      </c>
      <c r="AA1797" t="inlineStr">
        <is>
          <t>Aberta -30 dias</t>
        </is>
      </c>
      <c r="AB1797" t="inlineStr">
        <is>
          <t>GSA</t>
        </is>
      </c>
      <c r="AC1797" t="inlineStr">
        <is>
          <t>Aline</t>
        </is>
      </c>
      <c r="AD1797" t="inlineStr">
        <is>
          <t>15/06/2026</t>
        </is>
      </c>
      <c r="AE1797" t="inlineStr">
        <is>
          <t>30/06/2026</t>
        </is>
      </c>
      <c r="AF1797" t="inlineStr">
        <is>
          <t>Prazo Premissa VALE</t>
        </is>
      </c>
    </row>
    <row r="1798">
      <c r="A1798">
        <v>1802</v>
      </c>
      <c r="B1798">
        <v>1</v>
      </c>
      <c r="C1798" t="inlineStr">
        <is>
          <t>1.1</t>
        </is>
      </c>
      <c r="D1798" t="inlineStr">
        <is>
          <t>GERAL</t>
        </is>
      </c>
      <c r="E1798" t="inlineStr">
        <is>
          <t>LD/LE Aça Norte</t>
        </is>
      </c>
      <c r="F1798" t="inlineStr">
        <is>
          <t>VALE</t>
        </is>
      </c>
      <c r="G1798" t="inlineStr">
        <is>
          <t>CLP-015</t>
        </is>
      </c>
      <c r="H1798" t="inlineStr">
        <is>
          <t>Protocolo</t>
        </is>
      </c>
      <c r="I1798">
        <v>6</v>
      </c>
      <c r="J1798" t="inlineStr">
        <is>
          <t>Drenagem Superficial</t>
        </is>
      </c>
      <c r="K1798" t="inlineStr">
        <is>
          <t>6.10</t>
        </is>
      </c>
      <c r="L1798" t="inlineStr">
        <is>
          <t>SZA</t>
        </is>
      </c>
      <c r="M1798" t="inlineStr">
        <is>
          <t>Obstrução do dispositivo</t>
        </is>
      </c>
      <c r="N1798" t="inlineStr">
        <is>
          <t>Drenagem obstruída por acúmulo de material</t>
        </is>
      </c>
      <c r="O1798" t="inlineStr">
        <is>
          <t>Tipo A</t>
        </is>
      </c>
      <c r="P1798" t="inlineStr">
        <is>
          <t>0+000</t>
        </is>
      </c>
      <c r="Q1798" t="inlineStr">
        <is>
          <t>2+000</t>
        </is>
      </c>
      <c r="R1798" t="inlineStr">
        <is>
          <t>Aberta</t>
        </is>
      </c>
      <c r="T1798" t="inlineStr">
        <is>
          <t>Aline Batista</t>
        </is>
      </c>
      <c r="U1798" t="inlineStr">
        <is>
          <t>25/05/2026</t>
        </is>
      </c>
      <c r="V1798" t="inlineStr">
        <is>
          <t>01/06/2026</t>
        </is>
      </c>
      <c r="W1798">
        <v>9</v>
      </c>
      <c r="AA1798" t="inlineStr">
        <is>
          <t>Aberta -30 dias</t>
        </is>
      </c>
      <c r="AB1798" t="inlineStr">
        <is>
          <t>GSA</t>
        </is>
      </c>
      <c r="AC1798" t="inlineStr">
        <is>
          <t>Aline</t>
        </is>
      </c>
      <c r="AD1798" t="inlineStr">
        <is>
          <t>15/06/2026</t>
        </is>
      </c>
      <c r="AE1798" t="inlineStr">
        <is>
          <t>30/06/2026</t>
        </is>
      </c>
      <c r="AF1798" t="inlineStr">
        <is>
          <t>Prazo Premissa VALE</t>
        </is>
      </c>
    </row>
    <row r="1799">
      <c r="A1799">
        <v>1803</v>
      </c>
      <c r="B1799">
        <v>1</v>
      </c>
      <c r="C1799" t="inlineStr">
        <is>
          <t>1.3</t>
        </is>
      </c>
      <c r="D1799" t="inlineStr">
        <is>
          <t>C43</t>
        </is>
      </c>
      <c r="E1799" t="inlineStr">
        <is>
          <t>-</t>
        </is>
      </c>
      <c r="F1799" t="inlineStr">
        <is>
          <t>EMPA</t>
        </is>
      </c>
      <c r="G1799" t="inlineStr">
        <is>
          <t>CLP-017</t>
        </is>
      </c>
      <c r="H1799" t="inlineStr">
        <is>
          <t>Fiscalização</t>
        </is>
      </c>
      <c r="I1799">
        <v>6</v>
      </c>
      <c r="J1799" t="inlineStr">
        <is>
          <t>Drenagem Superficial</t>
        </is>
      </c>
      <c r="K1799" t="inlineStr">
        <is>
          <t>6.7</t>
        </is>
      </c>
      <c r="L1799" t="inlineStr">
        <is>
          <t xml:space="preserve">VBC </t>
        </is>
      </c>
      <c r="M1799" t="inlineStr">
        <is>
          <t>Drenagem danificadas</t>
        </is>
      </c>
      <c r="N1799" t="inlineStr">
        <is>
          <t>Drenagem de banqueta danificada e formação de erosão.</t>
        </is>
      </c>
      <c r="O1799" t="inlineStr">
        <is>
          <t>Tipo A</t>
        </is>
      </c>
      <c r="P1799" t="inlineStr">
        <is>
          <t>25+830</t>
        </is>
      </c>
      <c r="Q1799" t="inlineStr">
        <is>
          <t>25+830</t>
        </is>
      </c>
      <c r="R1799" t="inlineStr">
        <is>
          <t>Aberta</t>
        </is>
      </c>
      <c r="T1799" t="inlineStr">
        <is>
          <t>Aline Batista</t>
        </is>
      </c>
      <c r="U1799" t="inlineStr">
        <is>
          <t>15/05/2026</t>
        </is>
      </c>
      <c r="V1799" t="inlineStr">
        <is>
          <t>22/05/2026</t>
        </is>
      </c>
      <c r="W1799">
        <v>19</v>
      </c>
      <c r="AA1799" t="inlineStr">
        <is>
          <t>Aberta -30 dias</t>
        </is>
      </c>
      <c r="AB1799" t="inlineStr">
        <is>
          <t>CT-REMANESCENTE</t>
        </is>
      </c>
      <c r="AC1799" t="inlineStr">
        <is>
          <t>Aline</t>
        </is>
      </c>
      <c r="AD1799" t="inlineStr">
        <is>
          <t>17/07/2026</t>
        </is>
      </c>
      <c r="AE1799" t="inlineStr">
        <is>
          <t>29/07/2026</t>
        </is>
      </c>
      <c r="AF1799" t="inlineStr">
        <is>
          <t>Prazo Premissa VALE</t>
        </is>
      </c>
    </row>
    <row r="1800">
      <c r="A1800">
        <v>1804</v>
      </c>
      <c r="B1800">
        <v>2</v>
      </c>
      <c r="C1800" t="inlineStr">
        <is>
          <t>1.5</t>
        </is>
      </c>
      <c r="D1800" t="inlineStr">
        <is>
          <t>A01</t>
        </is>
      </c>
      <c r="E1800" t="inlineStr">
        <is>
          <t>LE</t>
        </is>
      </c>
      <c r="F1800" t="inlineStr">
        <is>
          <t>ATERPA</t>
        </is>
      </c>
      <c r="G1800" t="inlineStr">
        <is>
          <t>CLP-011</t>
        </is>
      </c>
      <c r="H1800" t="inlineStr">
        <is>
          <t>Fiscalização</t>
        </is>
      </c>
      <c r="I1800">
        <v>1</v>
      </c>
      <c r="J1800" t="inlineStr">
        <is>
          <t>Obras Complementares</t>
        </is>
      </c>
      <c r="K1800" t="inlineStr">
        <is>
          <t>1.3</t>
        </is>
      </c>
      <c r="L1800" t="inlineStr">
        <is>
          <t>Cerca</t>
        </is>
      </c>
      <c r="M1800" t="inlineStr">
        <is>
          <t>Aterramento</t>
        </is>
      </c>
      <c r="N1800" t="inlineStr">
        <is>
          <t>Cerca soterrada do lado esquerdo.</t>
        </is>
      </c>
      <c r="O1800" t="inlineStr">
        <is>
          <t>Tipo C</t>
        </is>
      </c>
      <c r="P1800" t="inlineStr">
        <is>
          <t>46+300</t>
        </is>
      </c>
      <c r="Q1800" t="inlineStr">
        <is>
          <t>46+300</t>
        </is>
      </c>
      <c r="R1800" t="inlineStr">
        <is>
          <t>Aberta</t>
        </is>
      </c>
      <c r="T1800" t="inlineStr">
        <is>
          <t>Aline Batista</t>
        </is>
      </c>
      <c r="U1800" t="inlineStr">
        <is>
          <t>24/04/2026</t>
        </is>
      </c>
      <c r="V1800" t="inlineStr">
        <is>
          <t>24/05/2026</t>
        </is>
      </c>
      <c r="W1800">
        <v>17</v>
      </c>
      <c r="AA1800" t="inlineStr">
        <is>
          <t>Aberta 30-60 dias</t>
        </is>
      </c>
      <c r="AB1800" t="inlineStr">
        <is>
          <t>GSA</t>
        </is>
      </c>
    </row>
    <row r="1801">
      <c r="A1801">
        <v>1805</v>
      </c>
      <c r="B1801">
        <v>2</v>
      </c>
      <c r="C1801" t="inlineStr">
        <is>
          <t>1.5</t>
        </is>
      </c>
      <c r="D1801" t="inlineStr">
        <is>
          <t>A04</t>
        </is>
      </c>
      <c r="E1801" t="inlineStr">
        <is>
          <t>LD</t>
        </is>
      </c>
      <c r="F1801" t="inlineStr">
        <is>
          <t>ATERPA</t>
        </is>
      </c>
      <c r="G1801" t="inlineStr">
        <is>
          <t>CLP-011</t>
        </is>
      </c>
      <c r="H1801" t="inlineStr">
        <is>
          <t>Fiscalização</t>
        </is>
      </c>
      <c r="I1801">
        <v>4</v>
      </c>
      <c r="J1801" t="inlineStr">
        <is>
          <t>Terraplenagem</t>
        </is>
      </c>
      <c r="K1801" t="inlineStr">
        <is>
          <t>4.11</t>
        </is>
      </c>
      <c r="L1801" t="inlineStr">
        <is>
          <t>Talude</t>
        </is>
      </c>
      <c r="M1801" t="inlineStr">
        <is>
          <t>Erosões</t>
        </is>
      </c>
      <c r="N1801" t="inlineStr">
        <is>
          <t>Erosões no talude.</t>
        </is>
      </c>
      <c r="O1801" t="inlineStr">
        <is>
          <t>Tipo A</t>
        </is>
      </c>
      <c r="P1801" t="inlineStr">
        <is>
          <t>49+085</t>
        </is>
      </c>
      <c r="Q1801" t="inlineStr">
        <is>
          <t>49+085</t>
        </is>
      </c>
      <c r="R1801" t="inlineStr">
        <is>
          <t>Aberta</t>
        </is>
      </c>
      <c r="T1801" t="inlineStr">
        <is>
          <t>Aline Batista</t>
        </is>
      </c>
      <c r="U1801" t="inlineStr">
        <is>
          <t>24/04/2026</t>
        </is>
      </c>
      <c r="V1801" t="inlineStr">
        <is>
          <t>01/05/2026</t>
        </is>
      </c>
      <c r="W1801">
        <v>40</v>
      </c>
      <c r="AA1801" t="inlineStr">
        <is>
          <t>Aberta 30-60 dias</t>
        </is>
      </c>
    </row>
    <row r="1802">
      <c r="A1802">
        <v>1806</v>
      </c>
      <c r="B1802">
        <v>2</v>
      </c>
      <c r="C1802" t="inlineStr">
        <is>
          <t>1.5</t>
        </is>
      </c>
      <c r="D1802" t="inlineStr">
        <is>
          <t>C06</t>
        </is>
      </c>
      <c r="E1802" t="inlineStr">
        <is>
          <t>LE</t>
        </is>
      </c>
      <c r="F1802" t="inlineStr">
        <is>
          <t>ATERPA</t>
        </is>
      </c>
      <c r="G1802" t="inlineStr">
        <is>
          <t>CLP-011</t>
        </is>
      </c>
      <c r="H1802" t="inlineStr">
        <is>
          <t>Protocolo</t>
        </is>
      </c>
      <c r="I1802">
        <v>6</v>
      </c>
      <c r="J1802" t="inlineStr">
        <is>
          <t>Drenagem Superficial</t>
        </is>
      </c>
      <c r="K1802" t="inlineStr">
        <is>
          <t>6.3</t>
        </is>
      </c>
      <c r="L1802" t="inlineStr">
        <is>
          <t>DDC 01</t>
        </is>
      </c>
      <c r="M1802" t="inlineStr">
        <is>
          <t>Execuçao divergente do projeto</t>
        </is>
      </c>
      <c r="N1802" t="inlineStr">
        <is>
          <t>Descida d'água executada em desconformidade com projeto, foram executadas valetas em degraus no talude.</t>
        </is>
      </c>
      <c r="O1802" t="inlineStr">
        <is>
          <t>Tipo A</t>
        </is>
      </c>
      <c r="P1802" t="inlineStr">
        <is>
          <t>50+410</t>
        </is>
      </c>
      <c r="Q1802" t="inlineStr">
        <is>
          <t>50+410</t>
        </is>
      </c>
      <c r="R1802" t="inlineStr">
        <is>
          <t>Aberta</t>
        </is>
      </c>
      <c r="T1802" t="inlineStr">
        <is>
          <t>Aline Batista</t>
        </is>
      </c>
      <c r="U1802" t="inlineStr">
        <is>
          <t>24/04/2026</t>
        </is>
      </c>
      <c r="V1802" t="inlineStr">
        <is>
          <t>01/05/2026</t>
        </is>
      </c>
      <c r="W1802">
        <v>40</v>
      </c>
      <c r="AA1802" t="inlineStr">
        <is>
          <t>Aberta 30-60 dias</t>
        </is>
      </c>
    </row>
    <row r="1803">
      <c r="A1803">
        <v>1807</v>
      </c>
      <c r="B1803">
        <v>2</v>
      </c>
      <c r="C1803" t="inlineStr">
        <is>
          <t>1.5</t>
        </is>
      </c>
      <c r="D1803" t="inlineStr">
        <is>
          <t>C06</t>
        </is>
      </c>
      <c r="E1803" t="inlineStr">
        <is>
          <t>LE</t>
        </is>
      </c>
      <c r="F1803" t="inlineStr">
        <is>
          <t>ATERPA</t>
        </is>
      </c>
      <c r="G1803" t="inlineStr">
        <is>
          <t>CLP-011</t>
        </is>
      </c>
      <c r="H1803" t="inlineStr">
        <is>
          <t>Protocolo</t>
        </is>
      </c>
      <c r="I1803">
        <v>6</v>
      </c>
      <c r="J1803" t="inlineStr">
        <is>
          <t>Drenagem Superficial</t>
        </is>
      </c>
      <c r="K1803" t="inlineStr">
        <is>
          <t>6.3</t>
        </is>
      </c>
      <c r="L1803" t="inlineStr">
        <is>
          <t>DDC 01</t>
        </is>
      </c>
      <c r="M1803" t="inlineStr">
        <is>
          <t>Execuçao divergente do projeto</t>
        </is>
      </c>
      <c r="N1803" t="inlineStr">
        <is>
          <t>Descida d'água executada em desconformidade com projeto, foram executadas valetas em degraus no talude.</t>
        </is>
      </c>
      <c r="O1803" t="inlineStr">
        <is>
          <t>Tipo A</t>
        </is>
      </c>
      <c r="P1803" t="inlineStr">
        <is>
          <t>50+450</t>
        </is>
      </c>
      <c r="Q1803" t="inlineStr">
        <is>
          <t>50+450</t>
        </is>
      </c>
      <c r="R1803" t="inlineStr">
        <is>
          <t>Aberta</t>
        </is>
      </c>
      <c r="T1803" t="inlineStr">
        <is>
          <t>Aline Batista</t>
        </is>
      </c>
      <c r="U1803" t="inlineStr">
        <is>
          <t>24/04/2026</t>
        </is>
      </c>
      <c r="V1803" t="inlineStr">
        <is>
          <t>01/05/2026</t>
        </is>
      </c>
      <c r="W1803">
        <v>40</v>
      </c>
      <c r="AA1803" t="inlineStr">
        <is>
          <t>Aberta 30-60 dias</t>
        </is>
      </c>
    </row>
    <row r="1804">
      <c r="A1804">
        <v>1808</v>
      </c>
      <c r="B1804">
        <v>2</v>
      </c>
      <c r="C1804" t="inlineStr">
        <is>
          <t>1.5</t>
        </is>
      </c>
      <c r="D1804" t="inlineStr">
        <is>
          <t>A20</t>
        </is>
      </c>
      <c r="E1804" t="inlineStr">
        <is>
          <t>LE</t>
        </is>
      </c>
      <c r="F1804" t="inlineStr">
        <is>
          <t>ATERPA</t>
        </is>
      </c>
      <c r="G1804" t="inlineStr">
        <is>
          <t>CLP-011</t>
        </is>
      </c>
      <c r="H1804" t="inlineStr">
        <is>
          <t>Fiscalização</t>
        </is>
      </c>
      <c r="I1804">
        <v>6</v>
      </c>
      <c r="J1804" t="inlineStr">
        <is>
          <t>Drenagem Superficial</t>
        </is>
      </c>
      <c r="K1804" t="inlineStr">
        <is>
          <t>6.10</t>
        </is>
      </c>
      <c r="L1804" t="inlineStr">
        <is>
          <t>VPC</t>
        </is>
      </c>
      <c r="M1804" t="inlineStr">
        <is>
          <t>Dispositivo descalçado</t>
        </is>
      </c>
      <c r="N1804" t="inlineStr">
        <is>
          <t>Canaleta de proteção da saia do aterro solapada.</t>
        </is>
      </c>
      <c r="O1804" t="inlineStr">
        <is>
          <t>Tipo A</t>
        </is>
      </c>
      <c r="P1804" t="inlineStr">
        <is>
          <t>44+606</t>
        </is>
      </c>
      <c r="Q1804" t="inlineStr">
        <is>
          <t>44+606</t>
        </is>
      </c>
      <c r="R1804" t="inlineStr">
        <is>
          <t>Aberta</t>
        </is>
      </c>
      <c r="T1804" t="inlineStr">
        <is>
          <t>Aline Batista</t>
        </is>
      </c>
      <c r="U1804" t="inlineStr">
        <is>
          <t>24/04/2026</t>
        </is>
      </c>
      <c r="V1804" t="inlineStr">
        <is>
          <t>01/05/2026</t>
        </is>
      </c>
      <c r="W1804">
        <v>40</v>
      </c>
      <c r="AA1804" t="inlineStr">
        <is>
          <t>Aberta 30-60 dias</t>
        </is>
      </c>
      <c r="AB1804" t="inlineStr">
        <is>
          <t>GSA</t>
        </is>
      </c>
    </row>
    <row r="1805">
      <c r="A1805">
        <v>1809</v>
      </c>
      <c r="B1805">
        <v>2</v>
      </c>
      <c r="C1805" t="inlineStr">
        <is>
          <t>1.4B</t>
        </is>
      </c>
      <c r="D1805" t="inlineStr">
        <is>
          <t>A13</t>
        </is>
      </c>
      <c r="E1805" t="inlineStr">
        <is>
          <t>LE</t>
        </is>
      </c>
      <c r="F1805" t="inlineStr">
        <is>
          <t>ATERPA</t>
        </is>
      </c>
      <c r="G1805" t="inlineStr">
        <is>
          <t>CLP-007</t>
        </is>
      </c>
      <c r="H1805" t="inlineStr">
        <is>
          <t>Fiscalização</t>
        </is>
      </c>
      <c r="I1805">
        <v>1</v>
      </c>
      <c r="J1805" t="inlineStr">
        <is>
          <t>Obras Complementares</t>
        </is>
      </c>
      <c r="K1805" t="inlineStr">
        <is>
          <t>1.3</t>
        </is>
      </c>
      <c r="L1805" t="inlineStr">
        <is>
          <t>Cerca</t>
        </is>
      </c>
      <c r="M1805" t="inlineStr">
        <is>
          <t>Cercamento pendente</t>
        </is>
      </c>
      <c r="N1805" t="inlineStr">
        <is>
          <t>Implantação de cancela, mata-burro ou cercamento.</t>
        </is>
      </c>
      <c r="O1805" t="inlineStr">
        <is>
          <t>Tipo A</t>
        </is>
      </c>
      <c r="P1805" t="inlineStr">
        <is>
          <t>40+280</t>
        </is>
      </c>
      <c r="Q1805" t="inlineStr">
        <is>
          <t>40+280</t>
        </is>
      </c>
      <c r="R1805" t="inlineStr">
        <is>
          <t>Aberta</t>
        </is>
      </c>
      <c r="T1805" t="inlineStr">
        <is>
          <t>Jeam Moreira</t>
        </is>
      </c>
      <c r="U1805" t="inlineStr">
        <is>
          <t>12/02/2026</t>
        </is>
      </c>
      <c r="V1805" t="inlineStr">
        <is>
          <t>19/02/2026</t>
        </is>
      </c>
      <c r="W1805">
        <v>111</v>
      </c>
      <c r="AA1805" t="inlineStr">
        <is>
          <t>Aberta 90-120 dias</t>
        </is>
      </c>
      <c r="AB1805" t="inlineStr">
        <is>
          <t>GSA</t>
        </is>
      </c>
    </row>
    <row r="1806">
      <c r="A1806">
        <v>1810</v>
      </c>
      <c r="B1806">
        <v>2</v>
      </c>
      <c r="C1806" t="inlineStr">
        <is>
          <t>1.4B</t>
        </is>
      </c>
      <c r="D1806" t="inlineStr">
        <is>
          <t>A14</t>
        </is>
      </c>
      <c r="E1806" t="inlineStr">
        <is>
          <t>-</t>
        </is>
      </c>
      <c r="F1806" t="inlineStr">
        <is>
          <t>ATERPA</t>
        </is>
      </c>
      <c r="G1806" t="inlineStr">
        <is>
          <t>CLP-007</t>
        </is>
      </c>
      <c r="H1806" t="inlineStr">
        <is>
          <t>Fiscalização</t>
        </is>
      </c>
      <c r="I1806">
        <v>1</v>
      </c>
      <c r="J1806" t="inlineStr">
        <is>
          <t>Obras Complementares</t>
        </is>
      </c>
      <c r="K1806" t="inlineStr">
        <is>
          <t>1.3</t>
        </is>
      </c>
      <c r="L1806" t="inlineStr">
        <is>
          <t>Cerca</t>
        </is>
      </c>
      <c r="M1806" t="inlineStr">
        <is>
          <t>Cercamento pendente</t>
        </is>
      </c>
      <c r="N1806" t="inlineStr">
        <is>
          <t>Cerca guia até a PG.</t>
        </is>
      </c>
      <c r="O1806" t="inlineStr">
        <is>
          <t>Tipo A</t>
        </is>
      </c>
      <c r="P1806" t="inlineStr">
        <is>
          <t>40+805</t>
        </is>
      </c>
      <c r="Q1806" t="inlineStr">
        <is>
          <t>40+805</t>
        </is>
      </c>
      <c r="R1806" t="inlineStr">
        <is>
          <t>Aberta</t>
        </is>
      </c>
      <c r="T1806" t="inlineStr">
        <is>
          <t>Jeam Moreira</t>
        </is>
      </c>
      <c r="U1806" t="inlineStr">
        <is>
          <t>12/02/2026</t>
        </is>
      </c>
      <c r="V1806" t="inlineStr">
        <is>
          <t>19/02/2026</t>
        </is>
      </c>
      <c r="W1806">
        <v>111</v>
      </c>
      <c r="AA1806" t="inlineStr">
        <is>
          <t>Aberta 90-120 dias</t>
        </is>
      </c>
      <c r="AB1806" t="inlineStr">
        <is>
          <t>GSA</t>
        </is>
      </c>
    </row>
    <row r="1807">
      <c r="A1807">
        <v>1811</v>
      </c>
      <c r="B1807">
        <v>2</v>
      </c>
      <c r="C1807" t="inlineStr">
        <is>
          <t>1.4B</t>
        </is>
      </c>
      <c r="D1807" t="inlineStr">
        <is>
          <t>A16</t>
        </is>
      </c>
      <c r="E1807" t="inlineStr">
        <is>
          <t>LE</t>
        </is>
      </c>
      <c r="F1807" t="inlineStr">
        <is>
          <t>ATERPA</t>
        </is>
      </c>
      <c r="G1807" t="inlineStr">
        <is>
          <t>CLP-007</t>
        </is>
      </c>
      <c r="H1807" t="inlineStr">
        <is>
          <t>Fiscalização</t>
        </is>
      </c>
      <c r="I1807">
        <v>1</v>
      </c>
      <c r="J1807" t="inlineStr">
        <is>
          <t>Obras Complementares</t>
        </is>
      </c>
      <c r="K1807" t="inlineStr">
        <is>
          <t>1.3</t>
        </is>
      </c>
      <c r="L1807" t="inlineStr">
        <is>
          <t>Cerca</t>
        </is>
      </c>
      <c r="M1807" t="inlineStr">
        <is>
          <t>Cercamento danificado</t>
        </is>
      </c>
      <c r="N1807" t="inlineStr">
        <is>
          <t>Cerca danificada.</t>
        </is>
      </c>
      <c r="O1807" t="inlineStr">
        <is>
          <t>Tipo A</t>
        </is>
      </c>
      <c r="P1807" t="inlineStr">
        <is>
          <t>41+408</t>
        </is>
      </c>
      <c r="Q1807" t="inlineStr">
        <is>
          <t>41+408</t>
        </is>
      </c>
      <c r="R1807" t="inlineStr">
        <is>
          <t>Aberta</t>
        </is>
      </c>
      <c r="T1807" t="inlineStr">
        <is>
          <t>Jeam Moreira</t>
        </is>
      </c>
      <c r="U1807" t="inlineStr">
        <is>
          <t>12/02/2026</t>
        </is>
      </c>
      <c r="V1807" t="inlineStr">
        <is>
          <t>19/02/2026</t>
        </is>
      </c>
      <c r="W1807">
        <v>111</v>
      </c>
      <c r="AA1807" t="inlineStr">
        <is>
          <t>Aberta 90-120 dias</t>
        </is>
      </c>
      <c r="AB1807" t="inlineStr">
        <is>
          <t>GSA</t>
        </is>
      </c>
    </row>
    <row r="1808">
      <c r="A1808">
        <v>1812</v>
      </c>
      <c r="B1808">
        <v>2</v>
      </c>
      <c r="C1808" t="inlineStr">
        <is>
          <t>1.4B</t>
        </is>
      </c>
      <c r="D1808" t="inlineStr">
        <is>
          <t>C19</t>
        </is>
      </c>
      <c r="E1808" t="inlineStr">
        <is>
          <t>LD</t>
        </is>
      </c>
      <c r="F1808" t="inlineStr">
        <is>
          <t>ATERPA</t>
        </is>
      </c>
      <c r="G1808" t="inlineStr">
        <is>
          <t>CLP-007</t>
        </is>
      </c>
      <c r="H1808" t="inlineStr">
        <is>
          <t>Fiscalização</t>
        </is>
      </c>
      <c r="I1808">
        <v>4</v>
      </c>
      <c r="J1808" t="inlineStr">
        <is>
          <t>Terraplenagem</t>
        </is>
      </c>
      <c r="K1808" t="inlineStr">
        <is>
          <t>4.20</t>
        </is>
      </c>
      <c r="L1808" t="inlineStr">
        <is>
          <t>Talude</t>
        </is>
      </c>
      <c r="M1808" t="inlineStr">
        <is>
          <t>Erosões</t>
        </is>
      </c>
      <c r="N1808" t="inlineStr">
        <is>
          <t>Erosões, hidrossemeadura não germinada e bueiro assoreado.</t>
        </is>
      </c>
      <c r="O1808" t="inlineStr">
        <is>
          <t>Tipo A</t>
        </is>
      </c>
      <c r="P1808" t="inlineStr">
        <is>
          <t>45+080</t>
        </is>
      </c>
      <c r="Q1808" t="inlineStr">
        <is>
          <t>45+080</t>
        </is>
      </c>
      <c r="R1808" t="inlineStr">
        <is>
          <t>Aberta</t>
        </is>
      </c>
      <c r="T1808" t="inlineStr">
        <is>
          <t>Jeam Moreira</t>
        </is>
      </c>
      <c r="U1808" t="inlineStr">
        <is>
          <t>12/02/2026</t>
        </is>
      </c>
      <c r="V1808" t="inlineStr">
        <is>
          <t>19/02/2026</t>
        </is>
      </c>
      <c r="W1808">
        <v>111</v>
      </c>
      <c r="AA1808" t="inlineStr">
        <is>
          <t>Aberta 90-120 dias</t>
        </is>
      </c>
      <c r="AB1808" t="inlineStr">
        <is>
          <t>GSA</t>
        </is>
      </c>
    </row>
    <row r="1809">
      <c r="A1809">
        <v>1813</v>
      </c>
      <c r="B1809">
        <v>2</v>
      </c>
      <c r="C1809" t="inlineStr">
        <is>
          <t>1.4B</t>
        </is>
      </c>
      <c r="D1809" t="inlineStr">
        <is>
          <t>C18</t>
        </is>
      </c>
      <c r="F1809" t="inlineStr">
        <is>
          <t>ATERPA</t>
        </is>
      </c>
      <c r="G1809" t="inlineStr">
        <is>
          <t>CLP-007</t>
        </is>
      </c>
      <c r="H1809" t="inlineStr">
        <is>
          <t>Fiscalização</t>
        </is>
      </c>
      <c r="I1809">
        <v>4</v>
      </c>
      <c r="J1809" t="inlineStr">
        <is>
          <t>Terraplenagem</t>
        </is>
      </c>
      <c r="K1809" t="inlineStr">
        <is>
          <t>4.20</t>
        </is>
      </c>
      <c r="L1809" t="inlineStr">
        <is>
          <t>Talude</t>
        </is>
      </c>
      <c r="M1809" t="inlineStr">
        <is>
          <t>Erosões</t>
        </is>
      </c>
      <c r="N1809" t="inlineStr">
        <is>
          <t>Formação de processos erosivos nos taludes.</t>
        </is>
      </c>
      <c r="O1809" t="inlineStr">
        <is>
          <t>Tipo A</t>
        </is>
      </c>
      <c r="P1809" t="inlineStr">
        <is>
          <t xml:space="preserve">44+760 </t>
        </is>
      </c>
      <c r="Q1809" t="inlineStr">
        <is>
          <t>44+990,</t>
        </is>
      </c>
      <c r="R1809" t="inlineStr">
        <is>
          <t>Aberta</t>
        </is>
      </c>
      <c r="T1809" t="inlineStr">
        <is>
          <t>Jeam Moreira</t>
        </is>
      </c>
      <c r="U1809" t="inlineStr">
        <is>
          <t>12/02/2026</t>
        </is>
      </c>
      <c r="V1809" t="inlineStr">
        <is>
          <t>19/02/2026</t>
        </is>
      </c>
      <c r="W1809">
        <v>111</v>
      </c>
      <c r="AA1809" t="inlineStr">
        <is>
          <t>Aberta 90-120 dias</t>
        </is>
      </c>
      <c r="AB1809" t="inlineStr">
        <is>
          <t>GSA</t>
        </is>
      </c>
    </row>
    <row r="1810">
      <c r="A1810">
        <v>1814</v>
      </c>
      <c r="B1810">
        <v>2</v>
      </c>
      <c r="C1810" t="inlineStr">
        <is>
          <t>1.4B</t>
        </is>
      </c>
      <c r="D1810" t="inlineStr">
        <is>
          <t>A01</t>
        </is>
      </c>
      <c r="F1810" t="inlineStr">
        <is>
          <t>ATERPA</t>
        </is>
      </c>
      <c r="G1810" t="inlineStr">
        <is>
          <t>CLP-007</t>
        </is>
      </c>
      <c r="H1810" t="inlineStr">
        <is>
          <t>Fiscalização</t>
        </is>
      </c>
      <c r="I1810">
        <v>4</v>
      </c>
      <c r="J1810" t="inlineStr">
        <is>
          <t>Terraplenagem</t>
        </is>
      </c>
      <c r="K1810" t="inlineStr">
        <is>
          <t>4.20</t>
        </is>
      </c>
      <c r="L1810" t="inlineStr">
        <is>
          <t>Talude</t>
        </is>
      </c>
      <c r="M1810" t="inlineStr">
        <is>
          <t>Erosões</t>
        </is>
      </c>
      <c r="N1810" t="inlineStr">
        <is>
          <t>Erosões lado direito.</t>
        </is>
      </c>
      <c r="O1810" t="inlineStr">
        <is>
          <t>Tipo A</t>
        </is>
      </c>
      <c r="P1810" t="inlineStr">
        <is>
          <t>46+570</t>
        </is>
      </c>
      <c r="Q1810" t="inlineStr">
        <is>
          <t>46+570</t>
        </is>
      </c>
      <c r="R1810" t="inlineStr">
        <is>
          <t>Aberta</t>
        </is>
      </c>
      <c r="T1810" t="inlineStr">
        <is>
          <t>Jeam Moreira</t>
        </is>
      </c>
      <c r="U1810" t="inlineStr">
        <is>
          <t>12/02/2026</t>
        </is>
      </c>
      <c r="V1810" t="inlineStr">
        <is>
          <t>19/02/2026</t>
        </is>
      </c>
      <c r="W1810">
        <v>111</v>
      </c>
      <c r="AA1810" t="inlineStr">
        <is>
          <t>Aberta 90-120 dias</t>
        </is>
      </c>
      <c r="AB1810" t="inlineStr">
        <is>
          <t>GSA</t>
        </is>
      </c>
    </row>
    <row r="1811">
      <c r="A1811">
        <v>1815</v>
      </c>
      <c r="B1811">
        <v>2</v>
      </c>
      <c r="C1811" t="inlineStr">
        <is>
          <t>1.4B</t>
        </is>
      </c>
      <c r="F1811" t="inlineStr">
        <is>
          <t>ATERPA</t>
        </is>
      </c>
      <c r="G1811" t="inlineStr">
        <is>
          <t>CLP-007</t>
        </is>
      </c>
      <c r="H1811" t="inlineStr">
        <is>
          <t>Fiscalização</t>
        </is>
      </c>
      <c r="I1811">
        <v>4</v>
      </c>
      <c r="J1811" t="inlineStr">
        <is>
          <t>Terraplenagem</t>
        </is>
      </c>
      <c r="K1811" t="inlineStr">
        <is>
          <t>4.20</t>
        </is>
      </c>
      <c r="L1811" t="inlineStr">
        <is>
          <t>Talude</t>
        </is>
      </c>
      <c r="M1811" t="inlineStr">
        <is>
          <t>Erosões</t>
        </is>
      </c>
      <c r="N1811" t="inlineStr">
        <is>
          <t>Deslizamento de talude.</t>
        </is>
      </c>
      <c r="O1811" t="inlineStr">
        <is>
          <t>Tipo A</t>
        </is>
      </c>
      <c r="P1811" t="inlineStr">
        <is>
          <t>40+110</t>
        </is>
      </c>
      <c r="Q1811" t="inlineStr">
        <is>
          <t>40+110</t>
        </is>
      </c>
      <c r="R1811" t="inlineStr">
        <is>
          <t>Aberta</t>
        </is>
      </c>
      <c r="T1811" t="inlineStr">
        <is>
          <t>Jeam Moreira</t>
        </is>
      </c>
      <c r="U1811" t="inlineStr">
        <is>
          <t>12/02/2026</t>
        </is>
      </c>
      <c r="V1811" t="inlineStr">
        <is>
          <t>19/02/2026</t>
        </is>
      </c>
      <c r="W1811">
        <v>111</v>
      </c>
      <c r="AA1811" t="inlineStr">
        <is>
          <t>Aberta 90-120 dias</t>
        </is>
      </c>
    </row>
    <row r="1812">
      <c r="A1812">
        <v>1816</v>
      </c>
      <c r="B1812">
        <v>2</v>
      </c>
      <c r="C1812" t="inlineStr">
        <is>
          <t>1.4B</t>
        </is>
      </c>
      <c r="D1812" t="inlineStr">
        <is>
          <t>A11</t>
        </is>
      </c>
      <c r="F1812" t="inlineStr">
        <is>
          <t>ATERPA</t>
        </is>
      </c>
      <c r="G1812" t="inlineStr">
        <is>
          <t>CLP-007</t>
        </is>
      </c>
      <c r="H1812" t="inlineStr">
        <is>
          <t>Fiscalização</t>
        </is>
      </c>
      <c r="I1812">
        <v>1</v>
      </c>
      <c r="J1812" t="inlineStr">
        <is>
          <t>Obras Complementares</t>
        </is>
      </c>
      <c r="K1812" t="inlineStr">
        <is>
          <t>1.8</t>
        </is>
      </c>
      <c r="L1812" t="inlineStr">
        <is>
          <t>Cerca</t>
        </is>
      </c>
      <c r="M1812" t="inlineStr">
        <is>
          <t>Cercamento pendente</t>
        </is>
      </c>
      <c r="N1812" t="inlineStr">
        <is>
          <t>Falta cerramento até as alas da PIV.</t>
        </is>
      </c>
      <c r="O1812" t="inlineStr">
        <is>
          <t>Tipo A</t>
        </is>
      </c>
      <c r="P1812" t="inlineStr">
        <is>
          <t>39+220</t>
        </is>
      </c>
      <c r="Q1812" t="inlineStr">
        <is>
          <t>39+220</t>
        </is>
      </c>
      <c r="R1812" t="inlineStr">
        <is>
          <t>Aberta</t>
        </is>
      </c>
      <c r="T1812" t="inlineStr">
        <is>
          <t>Jeam Moreira</t>
        </is>
      </c>
      <c r="U1812" t="inlineStr">
        <is>
          <t>12/02/2026</t>
        </is>
      </c>
      <c r="V1812" t="inlineStr">
        <is>
          <t>19/02/2026</t>
        </is>
      </c>
      <c r="W1812">
        <v>111</v>
      </c>
      <c r="AA1812" t="inlineStr">
        <is>
          <t>Aberta 90-120 dias</t>
        </is>
      </c>
      <c r="AB1812" t="inlineStr">
        <is>
          <t>GSA</t>
        </is>
      </c>
    </row>
    <row r="1813">
      <c r="A1813">
        <v>1817</v>
      </c>
      <c r="B1813">
        <v>2</v>
      </c>
      <c r="C1813" t="inlineStr">
        <is>
          <t>1.4B</t>
        </is>
      </c>
      <c r="D1813" t="inlineStr">
        <is>
          <t>A17</t>
        </is>
      </c>
      <c r="E1813" t="inlineStr">
        <is>
          <t>LD</t>
        </is>
      </c>
      <c r="F1813" t="inlineStr">
        <is>
          <t>ATERPA</t>
        </is>
      </c>
      <c r="G1813" t="inlineStr">
        <is>
          <t>CLP-007</t>
        </is>
      </c>
      <c r="H1813" t="inlineStr">
        <is>
          <t>Fiscalização</t>
        </is>
      </c>
      <c r="I1813">
        <v>1</v>
      </c>
      <c r="J1813" t="inlineStr">
        <is>
          <t>Obras Complementares</t>
        </is>
      </c>
      <c r="K1813" t="inlineStr">
        <is>
          <t>1.4</t>
        </is>
      </c>
      <c r="L1813" t="inlineStr">
        <is>
          <t>Cerca</t>
        </is>
      </c>
      <c r="M1813" t="inlineStr">
        <is>
          <t>Cercamento danificado</t>
        </is>
      </c>
      <c r="N1813" t="inlineStr">
        <is>
          <t>Cerca danificada</t>
        </is>
      </c>
      <c r="O1813" t="inlineStr">
        <is>
          <t>Tipo A</t>
        </is>
      </c>
      <c r="P1813" t="inlineStr">
        <is>
          <t>39+220</t>
        </is>
      </c>
      <c r="Q1813" t="inlineStr">
        <is>
          <t>39+220</t>
        </is>
      </c>
      <c r="R1813" t="inlineStr">
        <is>
          <t>Aberta</t>
        </is>
      </c>
      <c r="T1813" t="inlineStr">
        <is>
          <t>Jeam Moreira</t>
        </is>
      </c>
      <c r="U1813" t="inlineStr">
        <is>
          <t>12/02/2026</t>
        </is>
      </c>
      <c r="V1813" t="inlineStr">
        <is>
          <t>19/02/2026</t>
        </is>
      </c>
      <c r="W1813">
        <v>111</v>
      </c>
      <c r="AA1813" t="inlineStr">
        <is>
          <t>Aberta 90-120 dias</t>
        </is>
      </c>
    </row>
    <row r="1814">
      <c r="A1814">
        <v>1818</v>
      </c>
      <c r="B1814">
        <v>2</v>
      </c>
      <c r="C1814" t="inlineStr">
        <is>
          <t>1.4B</t>
        </is>
      </c>
      <c r="D1814" t="inlineStr">
        <is>
          <t>A13</t>
        </is>
      </c>
      <c r="E1814" t="inlineStr">
        <is>
          <t>LE</t>
        </is>
      </c>
      <c r="F1814" t="inlineStr">
        <is>
          <t>ATERPA</t>
        </is>
      </c>
      <c r="G1814" t="inlineStr">
        <is>
          <t>CLP-007</t>
        </is>
      </c>
      <c r="H1814" t="inlineStr">
        <is>
          <t>Fiscalização</t>
        </is>
      </c>
      <c r="I1814">
        <v>1</v>
      </c>
      <c r="J1814" t="inlineStr">
        <is>
          <t>Obras Complementares</t>
        </is>
      </c>
      <c r="K1814" t="inlineStr">
        <is>
          <t>1.3</t>
        </is>
      </c>
      <c r="L1814" t="inlineStr">
        <is>
          <t>Cerca</t>
        </is>
      </c>
      <c r="M1814" t="inlineStr">
        <is>
          <t>Cercamento danificado</t>
        </is>
      </c>
      <c r="N1814" t="inlineStr">
        <is>
          <t xml:space="preserve">Protocolo-120825 | O superficiário do CTD 058B (km 40 + 275 ao km 41 + 954) manifesta reclamação em relação à danos no cercamento de vedação da faixa de domínio da ferrovia à altura do km 41+200 (lado direito). Segundo ele, a cerca fica à jusante do Bueiro e o volume de água danificou e carregou parte da cerca no local, e com isso o gado estaria passando para dentro da ferrovia.
O superficiário solicita que seja feita os reparos necessários no cercamento para evitar que o gado adentre à faixa de domínio.</t>
        </is>
      </c>
      <c r="O1814" t="inlineStr">
        <is>
          <t>Tipo A</t>
        </is>
      </c>
      <c r="P1814" t="inlineStr">
        <is>
          <t>39+220</t>
        </is>
      </c>
      <c r="Q1814" t="inlineStr">
        <is>
          <t>39+220</t>
        </is>
      </c>
      <c r="R1814" t="inlineStr">
        <is>
          <t>Aberta</t>
        </is>
      </c>
      <c r="T1814" t="inlineStr">
        <is>
          <t>Jeam Moreira</t>
        </is>
      </c>
      <c r="U1814" t="inlineStr">
        <is>
          <t>12/02/2026</t>
        </is>
      </c>
      <c r="V1814" t="inlineStr">
        <is>
          <t>19/02/2026</t>
        </is>
      </c>
      <c r="W1814">
        <v>111</v>
      </c>
      <c r="AA1814" t="inlineStr">
        <is>
          <t>Aberta 90-120 dias</t>
        </is>
      </c>
    </row>
    <row r="1815">
      <c r="A1815">
        <v>1819</v>
      </c>
      <c r="B1815">
        <v>2</v>
      </c>
      <c r="C1815" t="inlineStr">
        <is>
          <t>1.4B</t>
        </is>
      </c>
      <c r="D1815" t="inlineStr">
        <is>
          <t>Acesso</t>
        </is>
      </c>
      <c r="E1815" t="inlineStr">
        <is>
          <t>LD</t>
        </is>
      </c>
      <c r="F1815" t="inlineStr">
        <is>
          <t>ATERPA</t>
        </is>
      </c>
      <c r="G1815" t="inlineStr">
        <is>
          <t>CLP-007</t>
        </is>
      </c>
      <c r="H1815" t="inlineStr">
        <is>
          <t>Fiscalização</t>
        </is>
      </c>
      <c r="I1815">
        <v>1</v>
      </c>
      <c r="J1815" t="inlineStr">
        <is>
          <t>Obras Complementares</t>
        </is>
      </c>
      <c r="K1815" t="inlineStr">
        <is>
          <t>1.3</t>
        </is>
      </c>
      <c r="L1815" t="inlineStr">
        <is>
          <t>Cerca</t>
        </is>
      </c>
      <c r="M1815" t="inlineStr">
        <is>
          <t>Dispositivo não executado</t>
        </is>
      </c>
      <c r="N1815" t="inlineStr">
        <is>
          <t>Falta implantação de cancela e mata-burro.</t>
        </is>
      </c>
      <c r="O1815" t="inlineStr">
        <is>
          <t>Tipo A</t>
        </is>
      </c>
      <c r="P1815" t="inlineStr">
        <is>
          <t>39+220</t>
        </is>
      </c>
      <c r="Q1815" t="inlineStr">
        <is>
          <t>39+220</t>
        </is>
      </c>
      <c r="R1815" t="inlineStr">
        <is>
          <t>Aberta</t>
        </is>
      </c>
      <c r="T1815" t="inlineStr">
        <is>
          <t>Jeam Moreira</t>
        </is>
      </c>
      <c r="U1815" t="inlineStr">
        <is>
          <t>12/02/2026</t>
        </is>
      </c>
      <c r="V1815" t="inlineStr">
        <is>
          <t>19/02/2026</t>
        </is>
      </c>
      <c r="W1815">
        <v>111</v>
      </c>
      <c r="AA1815" t="inlineStr">
        <is>
          <t>Aberta 90-120 dias</t>
        </is>
      </c>
    </row>
    <row r="1816">
      <c r="A1816">
        <v>1820</v>
      </c>
      <c r="B1816">
        <v>2</v>
      </c>
      <c r="C1816" t="inlineStr">
        <is>
          <t>1.4B</t>
        </is>
      </c>
      <c r="D1816" t="inlineStr">
        <is>
          <t>Acesso</t>
        </is>
      </c>
      <c r="F1816" t="inlineStr">
        <is>
          <t>ATERPA</t>
        </is>
      </c>
      <c r="G1816" t="inlineStr">
        <is>
          <t>CLP-007</t>
        </is>
      </c>
      <c r="H1816" t="inlineStr">
        <is>
          <t>Fiscalização</t>
        </is>
      </c>
      <c r="I1816">
        <v>1</v>
      </c>
      <c r="J1816" t="inlineStr">
        <is>
          <t>Obras Complementares</t>
        </is>
      </c>
      <c r="K1816" t="inlineStr">
        <is>
          <t>1.3</t>
        </is>
      </c>
      <c r="L1816" t="inlineStr">
        <is>
          <t>Cerca</t>
        </is>
      </c>
      <c r="M1816" t="inlineStr">
        <is>
          <t>Dispositivo não executado</t>
        </is>
      </c>
      <c r="N1816" t="inlineStr">
        <is>
          <t>Falta implantação de cancela e mata-burro.</t>
        </is>
      </c>
      <c r="O1816" t="inlineStr">
        <is>
          <t>Tipo A</t>
        </is>
      </c>
      <c r="P1816" t="inlineStr">
        <is>
          <t>42+970</t>
        </is>
      </c>
      <c r="Q1816" t="inlineStr">
        <is>
          <t>42+970</t>
        </is>
      </c>
      <c r="R1816" t="inlineStr">
        <is>
          <t>Aberta</t>
        </is>
      </c>
      <c r="T1816" t="inlineStr">
        <is>
          <t>Jeam Moreira</t>
        </is>
      </c>
      <c r="U1816" t="inlineStr">
        <is>
          <t>12/02/2026</t>
        </is>
      </c>
      <c r="V1816" t="inlineStr">
        <is>
          <t>19/02/2026</t>
        </is>
      </c>
      <c r="W1816">
        <v>111</v>
      </c>
      <c r="AA1816" t="inlineStr">
        <is>
          <t>Aberta 90-120 dias</t>
        </is>
      </c>
    </row>
    <row r="1817">
      <c r="A1817">
        <v>1821</v>
      </c>
      <c r="B1817">
        <v>2</v>
      </c>
      <c r="C1817" t="inlineStr">
        <is>
          <t>1.4B</t>
        </is>
      </c>
      <c r="D1817" t="inlineStr">
        <is>
          <t>A11</t>
        </is>
      </c>
      <c r="E1817" t="inlineStr">
        <is>
          <t>LD</t>
        </is>
      </c>
      <c r="F1817" t="inlineStr">
        <is>
          <t>ATERPA</t>
        </is>
      </c>
      <c r="G1817" t="inlineStr">
        <is>
          <t>CLP-007</t>
        </is>
      </c>
      <c r="H1817" t="inlineStr">
        <is>
          <t>Fiscalização</t>
        </is>
      </c>
      <c r="I1817">
        <v>2</v>
      </c>
      <c r="J1817" t="inlineStr">
        <is>
          <t>Bueiros</t>
        </is>
      </c>
      <c r="K1817" t="inlineStr">
        <is>
          <t>2.11</t>
        </is>
      </c>
      <c r="L1817" t="inlineStr">
        <is>
          <t>OAC</t>
        </is>
      </c>
      <c r="M1817" t="inlineStr">
        <is>
          <t>Obstrução do dispositivo</t>
        </is>
      </c>
      <c r="N1817" t="inlineStr">
        <is>
          <t>Bueiro assoreado/afogado e carreamento de material para fora da faixa.</t>
        </is>
      </c>
      <c r="O1817" t="inlineStr">
        <is>
          <t>Tipo A</t>
        </is>
      </c>
      <c r="P1817" t="inlineStr">
        <is>
          <t>39+440</t>
        </is>
      </c>
      <c r="Q1817" t="inlineStr">
        <is>
          <t>39+440</t>
        </is>
      </c>
      <c r="R1817" t="inlineStr">
        <is>
          <t>Aberta</t>
        </is>
      </c>
      <c r="T1817" t="inlineStr">
        <is>
          <t>Jeam Moreira</t>
        </is>
      </c>
      <c r="U1817" t="inlineStr">
        <is>
          <t>12/02/2026</t>
        </is>
      </c>
      <c r="V1817" t="inlineStr">
        <is>
          <t>19/02/2026</t>
        </is>
      </c>
      <c r="W1817">
        <v>111</v>
      </c>
      <c r="AA1817" t="inlineStr">
        <is>
          <t>Aberta 90-120 dias</t>
        </is>
      </c>
    </row>
    <row r="1818">
      <c r="A1818">
        <v>1822</v>
      </c>
      <c r="B1818">
        <v>2</v>
      </c>
      <c r="C1818" t="inlineStr">
        <is>
          <t>1.4B</t>
        </is>
      </c>
      <c r="D1818" t="inlineStr">
        <is>
          <t>A11</t>
        </is>
      </c>
      <c r="E1818" t="inlineStr">
        <is>
          <t>LD</t>
        </is>
      </c>
      <c r="F1818" t="inlineStr">
        <is>
          <t>ATERPA</t>
        </is>
      </c>
      <c r="G1818" t="inlineStr">
        <is>
          <t>CLP-007</t>
        </is>
      </c>
      <c r="H1818" t="inlineStr">
        <is>
          <t>Fiscalização</t>
        </is>
      </c>
      <c r="I1818">
        <v>2</v>
      </c>
      <c r="J1818" t="inlineStr">
        <is>
          <t>Bueiros</t>
        </is>
      </c>
      <c r="K1818" t="inlineStr">
        <is>
          <t>2.11</t>
        </is>
      </c>
      <c r="L1818" t="inlineStr">
        <is>
          <t>OAC</t>
        </is>
      </c>
      <c r="M1818" t="inlineStr">
        <is>
          <t>Obstrução do dispositivo</t>
        </is>
      </c>
      <c r="N1818" t="inlineStr">
        <is>
          <t>Bueiro assoreado.</t>
        </is>
      </c>
      <c r="O1818" t="inlineStr">
        <is>
          <t>Tipo A</t>
        </is>
      </c>
      <c r="P1818" t="inlineStr">
        <is>
          <t>39+149</t>
        </is>
      </c>
      <c r="Q1818" t="inlineStr">
        <is>
          <t>39+149</t>
        </is>
      </c>
      <c r="R1818" t="inlineStr">
        <is>
          <t>Aberta</t>
        </is>
      </c>
      <c r="T1818" t="inlineStr">
        <is>
          <t>Jeam Moreira</t>
        </is>
      </c>
      <c r="U1818" t="inlineStr">
        <is>
          <t>12/02/2026</t>
        </is>
      </c>
      <c r="V1818" t="inlineStr">
        <is>
          <t>19/02/2026</t>
        </is>
      </c>
      <c r="W1818">
        <v>111</v>
      </c>
      <c r="AA1818" t="inlineStr">
        <is>
          <t>Aberta 90-120 dias</t>
        </is>
      </c>
    </row>
    <row r="1819">
      <c r="A1819">
        <v>1823</v>
      </c>
      <c r="B1819">
        <v>2</v>
      </c>
      <c r="C1819" t="inlineStr">
        <is>
          <t>1.4B</t>
        </is>
      </c>
      <c r="D1819" t="inlineStr">
        <is>
          <t>A14</t>
        </is>
      </c>
      <c r="F1819" t="inlineStr">
        <is>
          <t>ATERPA</t>
        </is>
      </c>
      <c r="G1819" t="inlineStr">
        <is>
          <t>CLP-007</t>
        </is>
      </c>
      <c r="H1819" t="inlineStr">
        <is>
          <t>Fiscalização</t>
        </is>
      </c>
      <c r="I1819">
        <v>2</v>
      </c>
      <c r="J1819" t="inlineStr">
        <is>
          <t>Bueiros</t>
        </is>
      </c>
      <c r="K1819" t="inlineStr">
        <is>
          <t>2.11</t>
        </is>
      </c>
      <c r="L1819" t="inlineStr">
        <is>
          <t>OAC</t>
        </is>
      </c>
      <c r="M1819" t="inlineStr">
        <is>
          <t>Obstrução do dispositivo</t>
        </is>
      </c>
      <c r="N1819" t="inlineStr">
        <is>
          <t>Bueiro obstruído.</t>
        </is>
      </c>
      <c r="O1819" t="inlineStr">
        <is>
          <t>Tipo A</t>
        </is>
      </c>
      <c r="P1819" t="inlineStr">
        <is>
          <t>40+598</t>
        </is>
      </c>
      <c r="Q1819" t="inlineStr">
        <is>
          <t>40+598</t>
        </is>
      </c>
      <c r="R1819" t="inlineStr">
        <is>
          <t>Aberta</t>
        </is>
      </c>
      <c r="T1819" t="inlineStr">
        <is>
          <t>Jeam Moreira</t>
        </is>
      </c>
      <c r="U1819" t="inlineStr">
        <is>
          <t>12/02/2026</t>
        </is>
      </c>
      <c r="V1819" t="inlineStr">
        <is>
          <t>19/02/2026</t>
        </is>
      </c>
      <c r="W1819">
        <v>111</v>
      </c>
      <c r="AA1819" t="inlineStr">
        <is>
          <t>Aberta 90-120 dias</t>
        </is>
      </c>
    </row>
    <row r="1820">
      <c r="A1820">
        <v>1824</v>
      </c>
      <c r="B1820">
        <v>2</v>
      </c>
      <c r="C1820" t="inlineStr">
        <is>
          <t>1.4B</t>
        </is>
      </c>
      <c r="D1820" t="inlineStr">
        <is>
          <t>A14</t>
        </is>
      </c>
      <c r="F1820" t="inlineStr">
        <is>
          <t>ATERPA</t>
        </is>
      </c>
      <c r="G1820" t="inlineStr">
        <is>
          <t>CLP-007</t>
        </is>
      </c>
      <c r="H1820" t="inlineStr">
        <is>
          <t>Fiscalização</t>
        </is>
      </c>
      <c r="I1820">
        <v>2</v>
      </c>
      <c r="J1820" t="inlineStr">
        <is>
          <t>Bueiros</t>
        </is>
      </c>
      <c r="K1820" t="inlineStr">
        <is>
          <t>2.11</t>
        </is>
      </c>
      <c r="L1820" t="inlineStr">
        <is>
          <t>OAC</t>
        </is>
      </c>
      <c r="M1820" t="inlineStr">
        <is>
          <t>Obstrução do dispositivo</t>
        </is>
      </c>
      <c r="N1820" t="inlineStr">
        <is>
          <t>Bueiro obstruído.</t>
        </is>
      </c>
      <c r="O1820" t="inlineStr">
        <is>
          <t>Tipo A</t>
        </is>
      </c>
      <c r="P1820" t="inlineStr">
        <is>
          <t>40+838</t>
        </is>
      </c>
      <c r="Q1820" t="inlineStr">
        <is>
          <t>40+838</t>
        </is>
      </c>
      <c r="R1820" t="inlineStr">
        <is>
          <t>Aberta</t>
        </is>
      </c>
      <c r="T1820" t="inlineStr">
        <is>
          <t>Jeam Moreira</t>
        </is>
      </c>
      <c r="U1820" t="inlineStr">
        <is>
          <t>12/02/2026</t>
        </is>
      </c>
      <c r="V1820" t="inlineStr">
        <is>
          <t>19/02/2026</t>
        </is>
      </c>
      <c r="W1820">
        <v>111</v>
      </c>
      <c r="AA1820" t="inlineStr">
        <is>
          <t>Aberta 90-120 dias</t>
        </is>
      </c>
    </row>
    <row r="1821">
      <c r="A1821">
        <v>1825</v>
      </c>
      <c r="B1821">
        <v>2</v>
      </c>
      <c r="C1821" t="inlineStr">
        <is>
          <t>1.4B</t>
        </is>
      </c>
      <c r="D1821" t="inlineStr">
        <is>
          <t>A14</t>
        </is>
      </c>
      <c r="F1821" t="inlineStr">
        <is>
          <t>ATERPA</t>
        </is>
      </c>
      <c r="G1821" t="inlineStr">
        <is>
          <t>CLP-007</t>
        </is>
      </c>
      <c r="H1821" t="inlineStr">
        <is>
          <t>Fiscalização</t>
        </is>
      </c>
      <c r="I1821">
        <v>2</v>
      </c>
      <c r="J1821" t="inlineStr">
        <is>
          <t>Bueiros</t>
        </is>
      </c>
      <c r="K1821" t="inlineStr">
        <is>
          <t>2.11</t>
        </is>
      </c>
      <c r="L1821" t="inlineStr">
        <is>
          <t>OAC</t>
        </is>
      </c>
      <c r="M1821" t="inlineStr">
        <is>
          <t>Obstrução do dispositivo</t>
        </is>
      </c>
      <c r="N1821" t="inlineStr">
        <is>
          <t>Bueiro assoreado.</t>
        </is>
      </c>
      <c r="O1821" t="inlineStr">
        <is>
          <t>Tipo A</t>
        </is>
      </c>
      <c r="P1821" t="inlineStr">
        <is>
          <t>41+134</t>
        </is>
      </c>
      <c r="Q1821" t="inlineStr">
        <is>
          <t>41+134</t>
        </is>
      </c>
      <c r="R1821" t="inlineStr">
        <is>
          <t>Aberta</t>
        </is>
      </c>
      <c r="T1821" t="inlineStr">
        <is>
          <t>Jeam Moreira</t>
        </is>
      </c>
      <c r="U1821" t="inlineStr">
        <is>
          <t>12/02/2026</t>
        </is>
      </c>
      <c r="V1821" t="inlineStr">
        <is>
          <t>19/02/2026</t>
        </is>
      </c>
      <c r="W1821">
        <v>111</v>
      </c>
      <c r="AA1821" t="inlineStr">
        <is>
          <t>Aberta 90-120 dias</t>
        </is>
      </c>
    </row>
    <row r="1822">
      <c r="A1822">
        <v>1826</v>
      </c>
      <c r="B1822">
        <v>2</v>
      </c>
      <c r="C1822" t="inlineStr">
        <is>
          <t>1.4B</t>
        </is>
      </c>
      <c r="D1822" t="inlineStr">
        <is>
          <t>A17</t>
        </is>
      </c>
      <c r="F1822" t="inlineStr">
        <is>
          <t>ATERPA</t>
        </is>
      </c>
      <c r="G1822" t="inlineStr">
        <is>
          <t>CLP-007</t>
        </is>
      </c>
      <c r="H1822" t="inlineStr">
        <is>
          <t>Fiscalização</t>
        </is>
      </c>
      <c r="I1822">
        <v>4</v>
      </c>
      <c r="J1822" t="inlineStr">
        <is>
          <t>Terraplenagem</t>
        </is>
      </c>
      <c r="K1822" t="inlineStr">
        <is>
          <t>4.11</t>
        </is>
      </c>
      <c r="L1822" t="inlineStr">
        <is>
          <t>Talude</t>
        </is>
      </c>
      <c r="M1822" t="inlineStr">
        <is>
          <t>Erosões</t>
        </is>
      </c>
      <c r="N1822" t="inlineStr">
        <is>
          <t>Processo erosivo.</t>
        </is>
      </c>
      <c r="O1822" t="inlineStr">
        <is>
          <t>Tipo A</t>
        </is>
      </c>
      <c r="P1822" t="inlineStr">
        <is>
          <t>42+020</t>
        </is>
      </c>
      <c r="Q1822" t="inlineStr">
        <is>
          <t>42+030</t>
        </is>
      </c>
      <c r="R1822" t="inlineStr">
        <is>
          <t>Aberta</t>
        </is>
      </c>
      <c r="T1822" t="inlineStr">
        <is>
          <t>Jeam Moreira</t>
        </is>
      </c>
      <c r="U1822" t="inlineStr">
        <is>
          <t>12/02/2026</t>
        </is>
      </c>
      <c r="V1822" t="inlineStr">
        <is>
          <t>19/02/2026</t>
        </is>
      </c>
      <c r="W1822">
        <v>111</v>
      </c>
      <c r="AA1822" t="inlineStr">
        <is>
          <t>Aberta 90-120 dias</t>
        </is>
      </c>
    </row>
    <row r="1823">
      <c r="A1823">
        <v>1827</v>
      </c>
      <c r="B1823">
        <v>2</v>
      </c>
      <c r="C1823" t="inlineStr">
        <is>
          <t>1.4B</t>
        </is>
      </c>
      <c r="D1823" t="inlineStr">
        <is>
          <t>A20</t>
        </is>
      </c>
      <c r="F1823" t="inlineStr">
        <is>
          <t>ATERPA</t>
        </is>
      </c>
      <c r="G1823" t="inlineStr">
        <is>
          <t>CLP-007</t>
        </is>
      </c>
      <c r="H1823" t="inlineStr">
        <is>
          <t>Fiscalização</t>
        </is>
      </c>
      <c r="I1823">
        <v>4</v>
      </c>
      <c r="J1823" t="inlineStr">
        <is>
          <t>Terraplenagem</t>
        </is>
      </c>
      <c r="K1823" t="inlineStr">
        <is>
          <t>4.20</t>
        </is>
      </c>
      <c r="L1823" t="inlineStr">
        <is>
          <t>Talude</t>
        </is>
      </c>
      <c r="M1823" t="inlineStr">
        <is>
          <t>Erosões</t>
        </is>
      </c>
      <c r="N1823" t="inlineStr">
        <is>
          <t>Formação de processos erosivos nos taludes.</t>
        </is>
      </c>
      <c r="O1823" t="inlineStr">
        <is>
          <t>Tipo A</t>
        </is>
      </c>
      <c r="P1823" t="inlineStr">
        <is>
          <t>44+520</t>
        </is>
      </c>
      <c r="Q1823" t="inlineStr">
        <is>
          <t>44+780</t>
        </is>
      </c>
      <c r="R1823" t="inlineStr">
        <is>
          <t>Aberta</t>
        </is>
      </c>
      <c r="T1823" t="inlineStr">
        <is>
          <t>Jeam Moreira</t>
        </is>
      </c>
      <c r="U1823" t="inlineStr">
        <is>
          <t>12/02/2026</t>
        </is>
      </c>
      <c r="V1823" t="inlineStr">
        <is>
          <t>19/02/2026</t>
        </is>
      </c>
      <c r="W1823">
        <v>111</v>
      </c>
      <c r="AA1823" t="inlineStr">
        <is>
          <t>Aberta 90-120 dias</t>
        </is>
      </c>
    </row>
    <row r="1824">
      <c r="A1824">
        <v>1828</v>
      </c>
      <c r="B1824">
        <v>2</v>
      </c>
      <c r="C1824" t="inlineStr">
        <is>
          <t>1.4B</t>
        </is>
      </c>
      <c r="D1824" t="inlineStr">
        <is>
          <t>A13</t>
        </is>
      </c>
      <c r="F1824" t="inlineStr">
        <is>
          <t>ATERPA</t>
        </is>
      </c>
      <c r="G1824" t="inlineStr">
        <is>
          <t>CLP-007</t>
        </is>
      </c>
      <c r="H1824" t="inlineStr">
        <is>
          <t>Fiscalização</t>
        </is>
      </c>
      <c r="I1824">
        <v>4</v>
      </c>
      <c r="J1824" t="inlineStr">
        <is>
          <t>Terraplenagem</t>
        </is>
      </c>
      <c r="K1824" t="inlineStr">
        <is>
          <t>4.25</t>
        </is>
      </c>
      <c r="L1824" t="inlineStr">
        <is>
          <t xml:space="preserve">Faixa de domínio </t>
        </is>
      </c>
      <c r="M1824" t="inlineStr">
        <is>
          <t>Assoreamento</t>
        </is>
      </c>
      <c r="N1824" t="inlineStr">
        <is>
          <t>Carreamento de material para fora da faixa de domínio.</t>
        </is>
      </c>
      <c r="O1824" t="inlineStr">
        <is>
          <t>Tipo A</t>
        </is>
      </c>
      <c r="P1824" t="inlineStr">
        <is>
          <t>40+137</t>
        </is>
      </c>
      <c r="Q1824" t="inlineStr">
        <is>
          <t>40+137</t>
        </is>
      </c>
      <c r="R1824" t="inlineStr">
        <is>
          <t>Aberta</t>
        </is>
      </c>
      <c r="T1824" t="inlineStr">
        <is>
          <t>Jeam Moreira</t>
        </is>
      </c>
      <c r="U1824" t="inlineStr">
        <is>
          <t>12/02/2026</t>
        </is>
      </c>
      <c r="V1824" t="inlineStr">
        <is>
          <t>19/02/2026</t>
        </is>
      </c>
      <c r="W1824">
        <v>111</v>
      </c>
      <c r="AA1824" t="inlineStr">
        <is>
          <t>Aberta 90-120 dias</t>
        </is>
      </c>
    </row>
    <row r="1825">
      <c r="A1825">
        <v>1829</v>
      </c>
      <c r="B1825">
        <v>2</v>
      </c>
      <c r="C1825" t="inlineStr">
        <is>
          <t>1.4B</t>
        </is>
      </c>
      <c r="D1825" t="inlineStr">
        <is>
          <t>A13</t>
        </is>
      </c>
      <c r="F1825" t="inlineStr">
        <is>
          <t>ATERPA</t>
        </is>
      </c>
      <c r="G1825" t="inlineStr">
        <is>
          <t>CLP-007</t>
        </is>
      </c>
      <c r="H1825" t="inlineStr">
        <is>
          <t>Fiscalização</t>
        </is>
      </c>
      <c r="I1825">
        <v>4</v>
      </c>
      <c r="J1825" t="inlineStr">
        <is>
          <t>Terraplenagem</t>
        </is>
      </c>
      <c r="K1825" t="inlineStr">
        <is>
          <t>4.24</t>
        </is>
      </c>
      <c r="L1825" t="inlineStr">
        <is>
          <t>Acesso</t>
        </is>
      </c>
      <c r="M1825" t="inlineStr">
        <is>
          <t>Erosões</t>
        </is>
      </c>
      <c r="N1825" t="inlineStr">
        <is>
          <t>Erosões no caminho de acesso a comunidade e PG.</t>
        </is>
      </c>
      <c r="O1825" t="inlineStr">
        <is>
          <t>Tipo A</t>
        </is>
      </c>
      <c r="P1825" t="inlineStr">
        <is>
          <t>40+137</t>
        </is>
      </c>
      <c r="Q1825" t="inlineStr">
        <is>
          <t>41+134</t>
        </is>
      </c>
      <c r="R1825" t="inlineStr">
        <is>
          <t>Aberta</t>
        </is>
      </c>
      <c r="T1825" t="inlineStr">
        <is>
          <t>Jeam Moreira</t>
        </is>
      </c>
      <c r="U1825" t="inlineStr">
        <is>
          <t>12/02/2026</t>
        </is>
      </c>
      <c r="V1825" t="inlineStr">
        <is>
          <t>19/02/2026</t>
        </is>
      </c>
      <c r="W1825">
        <v>111</v>
      </c>
      <c r="AA1825" t="inlineStr">
        <is>
          <t>Aberta 90-120 dias</t>
        </is>
      </c>
    </row>
    <row r="1826">
      <c r="A1826">
        <v>1830</v>
      </c>
      <c r="B1826">
        <v>2</v>
      </c>
      <c r="C1826" t="inlineStr">
        <is>
          <t>1.4B</t>
        </is>
      </c>
      <c r="D1826" t="inlineStr">
        <is>
          <t>C11</t>
        </is>
      </c>
      <c r="F1826" t="inlineStr">
        <is>
          <t>ATERPA</t>
        </is>
      </c>
      <c r="G1826" t="inlineStr">
        <is>
          <t>CLP-007</t>
        </is>
      </c>
      <c r="H1826" t="inlineStr">
        <is>
          <t>Fiscalização</t>
        </is>
      </c>
      <c r="I1826">
        <v>4</v>
      </c>
      <c r="J1826" t="inlineStr">
        <is>
          <t>Terraplenagem</t>
        </is>
      </c>
      <c r="K1826" t="inlineStr">
        <is>
          <t>4.22</t>
        </is>
      </c>
      <c r="L1826" t="inlineStr">
        <is>
          <t>Talude</t>
        </is>
      </c>
      <c r="M1826" t="inlineStr">
        <is>
          <t>Inclinação</t>
        </is>
      </c>
      <c r="N1826" t="inlineStr">
        <is>
          <t>Verticalização do pé de aterro no encontro com a drenagem de superficie.</t>
        </is>
      </c>
      <c r="O1826" t="inlineStr">
        <is>
          <t>Tipo A</t>
        </is>
      </c>
      <c r="P1826" t="inlineStr">
        <is>
          <t>38+170</t>
        </is>
      </c>
      <c r="Q1826" t="inlineStr">
        <is>
          <t>38+720</t>
        </is>
      </c>
      <c r="R1826" t="inlineStr">
        <is>
          <t>Aberta</t>
        </is>
      </c>
      <c r="T1826" t="inlineStr">
        <is>
          <t>Jeam Moreira</t>
        </is>
      </c>
      <c r="U1826" t="inlineStr">
        <is>
          <t>12/02/2026</t>
        </is>
      </c>
      <c r="V1826" t="inlineStr">
        <is>
          <t>19/02/2026</t>
        </is>
      </c>
      <c r="W1826">
        <v>111</v>
      </c>
      <c r="AA1826" t="inlineStr">
        <is>
          <t>Aberta 90-120 dias</t>
        </is>
      </c>
    </row>
    <row r="1827">
      <c r="A1827">
        <v>1831</v>
      </c>
      <c r="B1827">
        <v>2</v>
      </c>
      <c r="C1827" t="inlineStr">
        <is>
          <t>1.4B</t>
        </is>
      </c>
      <c r="D1827" t="inlineStr">
        <is>
          <t>A22</t>
        </is>
      </c>
      <c r="E1827" t="inlineStr">
        <is>
          <t>LD</t>
        </is>
      </c>
      <c r="F1827" t="inlineStr">
        <is>
          <t>ATERPA</t>
        </is>
      </c>
      <c r="G1827" t="inlineStr">
        <is>
          <t>CLP-007</t>
        </is>
      </c>
      <c r="H1827" t="inlineStr">
        <is>
          <t>Fiscalização</t>
        </is>
      </c>
      <c r="I1827">
        <v>4</v>
      </c>
      <c r="J1827" t="inlineStr">
        <is>
          <t>Terraplenagem</t>
        </is>
      </c>
      <c r="K1827" t="inlineStr">
        <is>
          <t>4.20</t>
        </is>
      </c>
      <c r="L1827" t="inlineStr">
        <is>
          <t>Talude</t>
        </is>
      </c>
      <c r="M1827" t="inlineStr">
        <is>
          <t>Erosões</t>
        </is>
      </c>
      <c r="N1827" t="inlineStr">
        <is>
          <t>Erosão talude no da banqueta.</t>
        </is>
      </c>
      <c r="O1827" t="inlineStr">
        <is>
          <t>Tipo A</t>
        </is>
      </c>
      <c r="P1827" t="inlineStr">
        <is>
          <t>45+800</t>
        </is>
      </c>
      <c r="Q1827" t="inlineStr">
        <is>
          <t>45+800</t>
        </is>
      </c>
      <c r="R1827" t="inlineStr">
        <is>
          <t>Aberta</t>
        </is>
      </c>
      <c r="T1827" t="inlineStr">
        <is>
          <t>Jeam Moreira</t>
        </is>
      </c>
      <c r="U1827" t="inlineStr">
        <is>
          <t>12/02/2026</t>
        </is>
      </c>
      <c r="V1827" t="inlineStr">
        <is>
          <t>19/02/2026</t>
        </is>
      </c>
      <c r="W1827">
        <v>111</v>
      </c>
      <c r="AA1827" t="inlineStr">
        <is>
          <t>Aberta 90-120 dias</t>
        </is>
      </c>
    </row>
    <row r="1828">
      <c r="A1828">
        <v>1832</v>
      </c>
      <c r="B1828">
        <v>2</v>
      </c>
      <c r="C1828" t="inlineStr">
        <is>
          <t>1.4B</t>
        </is>
      </c>
      <c r="D1828" t="inlineStr">
        <is>
          <t>C15</t>
        </is>
      </c>
      <c r="E1828" t="inlineStr">
        <is>
          <t>LE/LD</t>
        </is>
      </c>
      <c r="F1828" t="inlineStr">
        <is>
          <t>ATERPA</t>
        </is>
      </c>
      <c r="G1828" t="inlineStr">
        <is>
          <t>CLP-007</t>
        </is>
      </c>
      <c r="H1828" t="inlineStr">
        <is>
          <t>Fiscalização</t>
        </is>
      </c>
      <c r="I1828">
        <v>6</v>
      </c>
      <c r="J1828" t="inlineStr">
        <is>
          <t>Drenagem Superficial</t>
        </is>
      </c>
      <c r="K1828" t="inlineStr">
        <is>
          <t>6.10</t>
        </is>
      </c>
      <c r="L1828" t="inlineStr">
        <is>
          <t>Drenagem superficial</t>
        </is>
      </c>
      <c r="M1828" t="inlineStr">
        <is>
          <t>Obstrução do dispositivo</t>
        </is>
      </c>
      <c r="N1828" t="inlineStr">
        <is>
          <t>Drenagem de crista do corte obstruída.</t>
        </is>
      </c>
      <c r="O1828" t="inlineStr">
        <is>
          <t>Tipo A</t>
        </is>
      </c>
      <c r="P1828" t="inlineStr">
        <is>
          <t>41+760</t>
        </is>
      </c>
      <c r="Q1828" t="inlineStr">
        <is>
          <t>41+760</t>
        </is>
      </c>
      <c r="R1828" t="inlineStr">
        <is>
          <t>Aberta</t>
        </is>
      </c>
      <c r="T1828" t="inlineStr">
        <is>
          <t>Jeam Moreira</t>
        </is>
      </c>
      <c r="U1828" t="inlineStr">
        <is>
          <t>12/02/2026</t>
        </is>
      </c>
      <c r="V1828" t="inlineStr">
        <is>
          <t>19/02/2026</t>
        </is>
      </c>
      <c r="W1828">
        <v>111</v>
      </c>
      <c r="AA1828" t="inlineStr">
        <is>
          <t>Aberta 90-120 dias</t>
        </is>
      </c>
    </row>
    <row r="1829">
      <c r="A1829">
        <v>1833</v>
      </c>
      <c r="B1829">
        <v>2</v>
      </c>
      <c r="C1829" t="inlineStr">
        <is>
          <t>1.4B</t>
        </is>
      </c>
      <c r="D1829" t="inlineStr">
        <is>
          <t>C12</t>
        </is>
      </c>
      <c r="F1829" t="inlineStr">
        <is>
          <t>ATERPA</t>
        </is>
      </c>
      <c r="G1829" t="inlineStr">
        <is>
          <t>CLP-007</t>
        </is>
      </c>
      <c r="H1829" t="inlineStr">
        <is>
          <t>Fiscalização</t>
        </is>
      </c>
      <c r="I1829">
        <v>6</v>
      </c>
      <c r="J1829" t="inlineStr">
        <is>
          <t>Drenagem Superficial</t>
        </is>
      </c>
      <c r="K1829" t="inlineStr">
        <is>
          <t>6.10</t>
        </is>
      </c>
      <c r="L1829" t="inlineStr">
        <is>
          <t>Drenagem superficial</t>
        </is>
      </c>
      <c r="M1829" t="inlineStr">
        <is>
          <t>Assoreamento</t>
        </is>
      </c>
      <c r="N1829" t="inlineStr">
        <is>
          <t>Dispositivos de drenagem de crista e de plataforma assoreados</t>
        </is>
      </c>
      <c r="O1829" t="inlineStr">
        <is>
          <t>Tipo A</t>
        </is>
      </c>
      <c r="P1829" t="inlineStr">
        <is>
          <t>39+680</t>
        </is>
      </c>
      <c r="Q1829" t="inlineStr">
        <is>
          <t>40+110</t>
        </is>
      </c>
      <c r="R1829" t="inlineStr">
        <is>
          <t>Aberta</t>
        </is>
      </c>
      <c r="T1829" t="inlineStr">
        <is>
          <t>Jeam Moreira</t>
        </is>
      </c>
      <c r="U1829" t="inlineStr">
        <is>
          <t>12/02/2026</t>
        </is>
      </c>
      <c r="V1829" t="inlineStr">
        <is>
          <t>19/02/2026</t>
        </is>
      </c>
      <c r="W1829">
        <v>111</v>
      </c>
      <c r="AA1829" t="inlineStr">
        <is>
          <t>Aberta 90-120 dias</t>
        </is>
      </c>
    </row>
    <row r="1830">
      <c r="A1830">
        <v>1834</v>
      </c>
      <c r="B1830">
        <v>2</v>
      </c>
      <c r="C1830" t="inlineStr">
        <is>
          <t>1.4B</t>
        </is>
      </c>
      <c r="D1830" t="inlineStr">
        <is>
          <t>A11</t>
        </is>
      </c>
      <c r="F1830" t="inlineStr">
        <is>
          <t>ATERPA</t>
        </is>
      </c>
      <c r="G1830" t="inlineStr">
        <is>
          <t>CLP-007</t>
        </is>
      </c>
      <c r="H1830" t="inlineStr">
        <is>
          <t>Fiscalização</t>
        </is>
      </c>
      <c r="I1830">
        <v>6</v>
      </c>
      <c r="J1830" t="inlineStr">
        <is>
          <t>Drenagem Superficial</t>
        </is>
      </c>
      <c r="K1830" t="inlineStr">
        <is>
          <t>6.10</t>
        </is>
      </c>
      <c r="L1830" t="inlineStr">
        <is>
          <t>Sarjeta</t>
        </is>
      </c>
      <c r="M1830" t="inlineStr">
        <is>
          <t>Assoreamento</t>
        </is>
      </c>
      <c r="N1830" t="inlineStr">
        <is>
          <t>Sarjetas assoreadas.</t>
        </is>
      </c>
      <c r="O1830" t="inlineStr">
        <is>
          <t>Tipo A</t>
        </is>
      </c>
      <c r="P1830" t="inlineStr">
        <is>
          <t>38+720</t>
        </is>
      </c>
      <c r="Q1830" t="inlineStr">
        <is>
          <t>39+680</t>
        </is>
      </c>
      <c r="R1830" t="inlineStr">
        <is>
          <t>Aberta</t>
        </is>
      </c>
      <c r="T1830" t="inlineStr">
        <is>
          <t>Jeam Moreira</t>
        </is>
      </c>
      <c r="U1830" t="inlineStr">
        <is>
          <t>12/02/2026</t>
        </is>
      </c>
      <c r="V1830" t="inlineStr">
        <is>
          <t>19/02/2026</t>
        </is>
      </c>
      <c r="W1830">
        <v>111</v>
      </c>
      <c r="AA1830" t="inlineStr">
        <is>
          <t>Aberta 90-120 dias</t>
        </is>
      </c>
    </row>
    <row r="1831">
      <c r="A1831">
        <v>1835</v>
      </c>
      <c r="B1831">
        <v>2</v>
      </c>
      <c r="C1831" t="inlineStr">
        <is>
          <t>1.4B</t>
        </is>
      </c>
      <c r="D1831" t="inlineStr">
        <is>
          <t>C15</t>
        </is>
      </c>
      <c r="E1831" t="inlineStr">
        <is>
          <t>LD</t>
        </is>
      </c>
      <c r="F1831" t="inlineStr">
        <is>
          <t>ATERPA</t>
        </is>
      </c>
      <c r="G1831" t="inlineStr">
        <is>
          <t>CLP-007</t>
        </is>
      </c>
      <c r="H1831" t="inlineStr">
        <is>
          <t>Fiscalização</t>
        </is>
      </c>
      <c r="I1831">
        <v>6</v>
      </c>
      <c r="J1831" t="inlineStr">
        <is>
          <t>Drenagem Superficial</t>
        </is>
      </c>
      <c r="K1831" t="inlineStr">
        <is>
          <t>6.10</t>
        </is>
      </c>
      <c r="L1831" t="inlineStr">
        <is>
          <t>Drenagem superficial</t>
        </is>
      </c>
      <c r="M1831" t="inlineStr">
        <is>
          <t>Obstrução do dispositivo</t>
        </is>
      </c>
      <c r="N1831" t="inlineStr">
        <is>
          <t>Drenagem de crista do corte obstruída e erosões no acesso.</t>
        </is>
      </c>
      <c r="O1831" t="inlineStr">
        <is>
          <t>Tipo A</t>
        </is>
      </c>
      <c r="P1831" t="inlineStr">
        <is>
          <t>41+500</t>
        </is>
      </c>
      <c r="Q1831" t="inlineStr">
        <is>
          <t>41+500</t>
        </is>
      </c>
      <c r="R1831" t="inlineStr">
        <is>
          <t>Aberta</t>
        </is>
      </c>
      <c r="T1831" t="inlineStr">
        <is>
          <t>Jeam Moreira</t>
        </is>
      </c>
      <c r="U1831" t="inlineStr">
        <is>
          <t>12/02/2026</t>
        </is>
      </c>
      <c r="V1831" t="inlineStr">
        <is>
          <t>19/02/2026</t>
        </is>
      </c>
      <c r="W1831">
        <v>111</v>
      </c>
      <c r="AA1831" t="inlineStr">
        <is>
          <t>Aberta 90-120 dias</t>
        </is>
      </c>
    </row>
    <row r="1832">
      <c r="A1832">
        <v>1836</v>
      </c>
      <c r="B1832">
        <v>1</v>
      </c>
      <c r="C1832" t="inlineStr">
        <is>
          <t>1B</t>
        </is>
      </c>
      <c r="D1832" t="inlineStr">
        <is>
          <t>OAE Rio dos Bois</t>
        </is>
      </c>
      <c r="E1832" t="inlineStr">
        <is>
          <t>LD</t>
        </is>
      </c>
      <c r="F1832" t="inlineStr">
        <is>
          <t>EMPA</t>
        </is>
      </c>
      <c r="G1832" t="inlineStr">
        <is>
          <t>CLP-003</t>
        </is>
      </c>
      <c r="H1832" t="inlineStr">
        <is>
          <t>Fiscalização</t>
        </is>
      </c>
      <c r="I1832">
        <v>8</v>
      </c>
      <c r="J1832" t="inlineStr">
        <is>
          <t>Obras de Arte Especiais</t>
        </is>
      </c>
      <c r="K1832" t="inlineStr">
        <is>
          <t>8.52</t>
        </is>
      </c>
      <c r="L1832" t="inlineStr">
        <is>
          <t>Cerca</t>
        </is>
      </c>
      <c r="M1832" t="inlineStr">
        <is>
          <t>Cercamento pendente</t>
        </is>
      </c>
      <c r="N1832" t="inlineStr">
        <is>
          <t>Ponte sobre o Rio dos Bois sem cercamento no lado direito da faixa.</t>
        </is>
      </c>
      <c r="O1832" t="inlineStr">
        <is>
          <t>Tipo A</t>
        </is>
      </c>
      <c r="P1832" t="inlineStr">
        <is>
          <t>30+970</t>
        </is>
      </c>
      <c r="Q1832" t="inlineStr">
        <is>
          <t>30+970</t>
        </is>
      </c>
      <c r="R1832" t="inlineStr">
        <is>
          <t>Aberta</t>
        </is>
      </c>
      <c r="T1832" t="inlineStr">
        <is>
          <t>Jeam Moreira</t>
        </is>
      </c>
      <c r="U1832" t="inlineStr">
        <is>
          <t>12/02/2026</t>
        </is>
      </c>
      <c r="V1832" t="inlineStr">
        <is>
          <t>19/02/2026</t>
        </is>
      </c>
      <c r="W1832">
        <v>111</v>
      </c>
      <c r="AA1832" t="inlineStr">
        <is>
          <t>Aberta 90-120 dias</t>
        </is>
      </c>
    </row>
    <row r="1833">
      <c r="A1833">
        <v>1837</v>
      </c>
      <c r="B1833">
        <v>2</v>
      </c>
      <c r="C1833" t="inlineStr">
        <is>
          <t>1.5</t>
        </is>
      </c>
      <c r="D1833" t="inlineStr">
        <is>
          <t xml:space="preserve">OAE
Ribeirão do Meio</t>
        </is>
      </c>
      <c r="E1833" t="inlineStr">
        <is>
          <t>LE</t>
        </is>
      </c>
      <c r="F1833" t="inlineStr">
        <is>
          <t>ATERPA</t>
        </is>
      </c>
      <c r="G1833" t="inlineStr">
        <is>
          <t>CLP-005</t>
        </is>
      </c>
      <c r="H1833" t="inlineStr">
        <is>
          <t>Fiscalização</t>
        </is>
      </c>
      <c r="I1833">
        <v>4</v>
      </c>
      <c r="J1833" t="inlineStr">
        <is>
          <t>Terraplenagem</t>
        </is>
      </c>
      <c r="K1833" t="inlineStr">
        <is>
          <t>4.20</t>
        </is>
      </c>
      <c r="L1833" t="inlineStr">
        <is>
          <t>Talude</t>
        </is>
      </c>
      <c r="M1833" t="inlineStr">
        <is>
          <t>Erosões</t>
        </is>
      </c>
      <c r="N1833" t="inlineStr">
        <is>
          <t>Erosão e carreamento de material.</t>
        </is>
      </c>
      <c r="O1833" t="inlineStr">
        <is>
          <t>Tipo A</t>
        </is>
      </c>
      <c r="P1833" t="inlineStr">
        <is>
          <t>46+200</t>
        </is>
      </c>
      <c r="Q1833" t="inlineStr">
        <is>
          <t>46+200</t>
        </is>
      </c>
      <c r="R1833" t="inlineStr">
        <is>
          <t>Aberta</t>
        </is>
      </c>
      <c r="T1833" t="inlineStr">
        <is>
          <t>Jeam Moreira</t>
        </is>
      </c>
      <c r="U1833" t="inlineStr">
        <is>
          <t>12/02/2026</t>
        </is>
      </c>
      <c r="V1833" t="inlineStr">
        <is>
          <t>19/02/2026</t>
        </is>
      </c>
      <c r="W1833">
        <v>111</v>
      </c>
      <c r="AA1833" t="inlineStr">
        <is>
          <t>Aberta 90-120 dias</t>
        </is>
      </c>
    </row>
    <row r="1834">
      <c r="A1834">
        <v>1838</v>
      </c>
      <c r="B1834">
        <v>1</v>
      </c>
      <c r="C1834" t="inlineStr">
        <is>
          <t>1.1</t>
        </is>
      </c>
      <c r="D1834" t="inlineStr">
        <is>
          <t>C20</t>
        </is>
      </c>
      <c r="E1834" t="inlineStr">
        <is>
          <t>LE</t>
        </is>
      </c>
      <c r="F1834" t="inlineStr">
        <is>
          <t>EMPA</t>
        </is>
      </c>
      <c r="G1834" t="inlineStr">
        <is>
          <t>CLP-009</t>
        </is>
      </c>
      <c r="H1834" t="inlineStr">
        <is>
          <t>Fiscalização</t>
        </is>
      </c>
      <c r="I1834">
        <v>4</v>
      </c>
      <c r="J1834" t="inlineStr">
        <is>
          <t>Terraplenagem</t>
        </is>
      </c>
      <c r="K1834" t="inlineStr">
        <is>
          <t>4.20</t>
        </is>
      </c>
      <c r="L1834" t="inlineStr">
        <is>
          <t>Talude</t>
        </is>
      </c>
      <c r="M1834" t="inlineStr">
        <is>
          <t>Erosões</t>
        </is>
      </c>
      <c r="N1834" t="inlineStr">
        <is>
          <t>Deslizamento de talude</t>
        </is>
      </c>
      <c r="O1834" t="inlineStr">
        <is>
          <t>Tipo A</t>
        </is>
      </c>
      <c r="P1834" t="inlineStr">
        <is>
          <t>8+100</t>
        </is>
      </c>
      <c r="Q1834" t="inlineStr">
        <is>
          <t>8+100</t>
        </is>
      </c>
      <c r="R1834" t="inlineStr">
        <is>
          <t>Aberta</t>
        </is>
      </c>
      <c r="T1834" t="inlineStr">
        <is>
          <t>Jeam Moreira</t>
        </is>
      </c>
      <c r="U1834" t="inlineStr">
        <is>
          <t>24/02/2026</t>
        </is>
      </c>
      <c r="V1834" t="inlineStr">
        <is>
          <t>03/03/2026</t>
        </is>
      </c>
      <c r="W1834">
        <v>99</v>
      </c>
      <c r="AA1834" t="inlineStr">
        <is>
          <t>Aberta 90-120 dias</t>
        </is>
      </c>
    </row>
    <row r="1835">
      <c r="A1835">
        <v>1839</v>
      </c>
      <c r="B1835">
        <v>1</v>
      </c>
      <c r="C1835" t="inlineStr">
        <is>
          <t>1.1</t>
        </is>
      </c>
      <c r="D1835" t="inlineStr">
        <is>
          <t>C23</t>
        </is>
      </c>
      <c r="F1835" t="inlineStr">
        <is>
          <t>EMPA</t>
        </is>
      </c>
      <c r="G1835" t="inlineStr">
        <is>
          <t>CLP-009</t>
        </is>
      </c>
      <c r="H1835" t="inlineStr">
        <is>
          <t>Fiscalização</t>
        </is>
      </c>
      <c r="I1835">
        <v>4</v>
      </c>
      <c r="J1835" t="inlineStr">
        <is>
          <t>Terraplenagem</t>
        </is>
      </c>
      <c r="K1835" t="inlineStr">
        <is>
          <t>4.23</t>
        </is>
      </c>
      <c r="L1835" t="inlineStr">
        <is>
          <t>Colchão drenante</t>
        </is>
      </c>
      <c r="M1835" t="inlineStr">
        <is>
          <t>Execuçao divergente do projeto</t>
        </is>
      </c>
      <c r="N1835" t="inlineStr">
        <is>
          <t>Colchão drenante executado com rachão fora de especificação.</t>
        </is>
      </c>
      <c r="O1835" t="inlineStr">
        <is>
          <t>Tipo A</t>
        </is>
      </c>
      <c r="P1835" t="inlineStr">
        <is>
          <t>9+650</t>
        </is>
      </c>
      <c r="Q1835" t="inlineStr">
        <is>
          <t>9+740</t>
        </is>
      </c>
      <c r="R1835" t="inlineStr">
        <is>
          <t>Aberta</t>
        </is>
      </c>
      <c r="T1835" t="inlineStr">
        <is>
          <t>Jeam Moreira</t>
        </is>
      </c>
      <c r="U1835" t="inlineStr">
        <is>
          <t>24/02/2026</t>
        </is>
      </c>
      <c r="V1835" t="inlineStr">
        <is>
          <t>03/03/2026</t>
        </is>
      </c>
      <c r="W1835">
        <v>99</v>
      </c>
      <c r="AA1835" t="inlineStr">
        <is>
          <t>Aberta 90-120 dias</t>
        </is>
      </c>
    </row>
    <row r="1836">
      <c r="A1836">
        <v>1840</v>
      </c>
      <c r="B1836">
        <v>1</v>
      </c>
      <c r="C1836" t="inlineStr">
        <is>
          <t>1.1</t>
        </is>
      </c>
      <c r="D1836" t="inlineStr">
        <is>
          <t>C25</t>
        </is>
      </c>
      <c r="F1836" t="inlineStr">
        <is>
          <t>EMPA</t>
        </is>
      </c>
      <c r="G1836" t="inlineStr">
        <is>
          <t>CLP-009</t>
        </is>
      </c>
      <c r="H1836" t="inlineStr">
        <is>
          <t>Fiscalização</t>
        </is>
      </c>
      <c r="I1836">
        <v>4</v>
      </c>
      <c r="J1836" t="inlineStr">
        <is>
          <t>Terraplenagem</t>
        </is>
      </c>
      <c r="K1836" t="inlineStr">
        <is>
          <t>4.23</t>
        </is>
      </c>
      <c r="L1836" t="inlineStr">
        <is>
          <t>Colchão drenante</t>
        </is>
      </c>
      <c r="M1836" t="inlineStr">
        <is>
          <t>Execuçao divergente do projeto</t>
        </is>
      </c>
      <c r="N1836" t="inlineStr">
        <is>
          <t>Colchão drenante executado com rachão fora de especificação.</t>
        </is>
      </c>
      <c r="O1836" t="inlineStr">
        <is>
          <t>Tipo A</t>
        </is>
      </c>
      <c r="P1836" t="inlineStr">
        <is>
          <t>9+940</t>
        </is>
      </c>
      <c r="Q1836" t="inlineStr">
        <is>
          <t>10+200</t>
        </is>
      </c>
      <c r="R1836" t="inlineStr">
        <is>
          <t>Aberta</t>
        </is>
      </c>
      <c r="T1836" t="inlineStr">
        <is>
          <t>Jeam Moreira</t>
        </is>
      </c>
      <c r="U1836" t="inlineStr">
        <is>
          <t>24/02/2026</t>
        </is>
      </c>
      <c r="V1836" t="inlineStr">
        <is>
          <t>03/03/2026</t>
        </is>
      </c>
      <c r="W1836">
        <v>99</v>
      </c>
      <c r="AA1836" t="inlineStr">
        <is>
          <t>Aberta 90-120 dias</t>
        </is>
      </c>
    </row>
    <row r="1837">
      <c r="A1837">
        <v>1841</v>
      </c>
      <c r="B1837">
        <v>1</v>
      </c>
      <c r="C1837" t="inlineStr">
        <is>
          <t>1.1</t>
        </is>
      </c>
      <c r="D1837" t="inlineStr">
        <is>
          <t>C27</t>
        </is>
      </c>
      <c r="F1837" t="inlineStr">
        <is>
          <t>EMPA</t>
        </is>
      </c>
      <c r="G1837" t="inlineStr">
        <is>
          <t>CLP-009</t>
        </is>
      </c>
      <c r="H1837" t="inlineStr">
        <is>
          <t>Fiscalização</t>
        </is>
      </c>
      <c r="I1837">
        <v>4</v>
      </c>
      <c r="J1837" t="inlineStr">
        <is>
          <t>Terraplenagem</t>
        </is>
      </c>
      <c r="K1837" t="inlineStr">
        <is>
          <t>4.23</t>
        </is>
      </c>
      <c r="L1837" t="inlineStr">
        <is>
          <t>Colchão drenante</t>
        </is>
      </c>
      <c r="M1837" t="inlineStr">
        <is>
          <t>Execuçao divergente do projeto</t>
        </is>
      </c>
      <c r="N1837" t="inlineStr">
        <is>
          <t>Colchão drenante executado com rachão fora de especificação.</t>
        </is>
      </c>
      <c r="O1837" t="inlineStr">
        <is>
          <t>Tipo A</t>
        </is>
      </c>
      <c r="P1837" t="inlineStr">
        <is>
          <t>10+750</t>
        </is>
      </c>
      <c r="Q1837" t="inlineStr">
        <is>
          <t>10+750</t>
        </is>
      </c>
      <c r="R1837" t="inlineStr">
        <is>
          <t>Aberta</t>
        </is>
      </c>
      <c r="T1837" t="inlineStr">
        <is>
          <t>Jeam Moreira</t>
        </is>
      </c>
      <c r="U1837" t="inlineStr">
        <is>
          <t>24/02/2026</t>
        </is>
      </c>
      <c r="V1837" t="inlineStr">
        <is>
          <t>03/03/2026</t>
        </is>
      </c>
      <c r="W1837">
        <v>99</v>
      </c>
      <c r="AA1837" t="inlineStr">
        <is>
          <t>Aberta 90-120 dias</t>
        </is>
      </c>
    </row>
    <row r="1838">
      <c r="A1838">
        <v>1842</v>
      </c>
      <c r="B1838">
        <v>1</v>
      </c>
      <c r="C1838" t="inlineStr">
        <is>
          <t>1.1</t>
        </is>
      </c>
      <c r="D1838" t="inlineStr">
        <is>
          <t>C30</t>
        </is>
      </c>
      <c r="E1838" t="inlineStr">
        <is>
          <t>LE</t>
        </is>
      </c>
      <c r="F1838" t="inlineStr">
        <is>
          <t>EMPA</t>
        </is>
      </c>
      <c r="G1838" t="inlineStr">
        <is>
          <t>CLP-009</t>
        </is>
      </c>
      <c r="H1838" t="inlineStr">
        <is>
          <t>Fiscalização</t>
        </is>
      </c>
      <c r="I1838">
        <v>4</v>
      </c>
      <c r="J1838" t="inlineStr">
        <is>
          <t>Terraplenagem</t>
        </is>
      </c>
      <c r="K1838" t="inlineStr">
        <is>
          <t>4.20</t>
        </is>
      </c>
      <c r="L1838" t="inlineStr">
        <is>
          <t>Talude</t>
        </is>
      </c>
      <c r="M1838" t="inlineStr">
        <is>
          <t>Erosões</t>
        </is>
      </c>
      <c r="N1838" t="inlineStr">
        <is>
          <t>Erosão devido à falta de drenagem e descida d'agua ligando na drenagem do Corte.</t>
        </is>
      </c>
      <c r="O1838" t="inlineStr">
        <is>
          <t>Tipo A</t>
        </is>
      </c>
      <c r="P1838" t="inlineStr">
        <is>
          <t>11+980</t>
        </is>
      </c>
      <c r="Q1838" t="inlineStr">
        <is>
          <t>11+980</t>
        </is>
      </c>
      <c r="R1838" t="inlineStr">
        <is>
          <t>Aberta</t>
        </is>
      </c>
      <c r="T1838" t="inlineStr">
        <is>
          <t>Jeam Moreira</t>
        </is>
      </c>
      <c r="U1838" t="inlineStr">
        <is>
          <t>24/02/2026</t>
        </is>
      </c>
      <c r="V1838" t="inlineStr">
        <is>
          <t>03/03/2026</t>
        </is>
      </c>
      <c r="W1838">
        <v>99</v>
      </c>
      <c r="AA1838" t="inlineStr">
        <is>
          <t>Aberta 90-120 dias</t>
        </is>
      </c>
    </row>
    <row r="1839">
      <c r="A1839">
        <v>1843</v>
      </c>
      <c r="B1839">
        <v>1</v>
      </c>
      <c r="C1839" t="inlineStr">
        <is>
          <t>1.1</t>
        </is>
      </c>
      <c r="D1839" t="inlineStr">
        <is>
          <t>GERAL</t>
        </is>
      </c>
      <c r="F1839" t="inlineStr">
        <is>
          <t>EMPA</t>
        </is>
      </c>
      <c r="G1839" t="inlineStr">
        <is>
          <t>CLP-009</t>
        </is>
      </c>
      <c r="H1839" t="inlineStr">
        <is>
          <t>Fiscalização</t>
        </is>
      </c>
      <c r="I1839">
        <v>4</v>
      </c>
      <c r="J1839" t="inlineStr">
        <is>
          <t>Terraplenagem</t>
        </is>
      </c>
      <c r="K1839" t="inlineStr">
        <is>
          <t>4.24</t>
        </is>
      </c>
      <c r="L1839" t="inlineStr">
        <is>
          <t>Acesso</t>
        </is>
      </c>
      <c r="M1839" t="inlineStr">
        <is>
          <t>Execuçao divergente do projeto</t>
        </is>
      </c>
      <c r="N1839" t="inlineStr">
        <is>
          <t>Acesso prejudicado, CTDs 24 ao 24C.</t>
        </is>
      </c>
      <c r="O1839" t="inlineStr">
        <is>
          <t>Tipo A</t>
        </is>
      </c>
      <c r="P1839" t="inlineStr">
        <is>
          <t>17+000</t>
        </is>
      </c>
      <c r="Q1839" t="inlineStr">
        <is>
          <t>22+000</t>
        </is>
      </c>
      <c r="R1839" t="inlineStr">
        <is>
          <t>Aberta</t>
        </is>
      </c>
      <c r="T1839" t="inlineStr">
        <is>
          <t>Jeam Moreira</t>
        </is>
      </c>
      <c r="U1839" t="inlineStr">
        <is>
          <t>24/02/2026</t>
        </is>
      </c>
      <c r="V1839" t="inlineStr">
        <is>
          <t>03/03/2026</t>
        </is>
      </c>
      <c r="W1839">
        <v>99</v>
      </c>
      <c r="AA1839" t="inlineStr">
        <is>
          <t>Aberta 90-120 dias</t>
        </is>
      </c>
    </row>
    <row r="1840">
      <c r="A1840">
        <v>1844</v>
      </c>
      <c r="B1840">
        <v>1</v>
      </c>
      <c r="C1840" t="inlineStr">
        <is>
          <t>1.1</t>
        </is>
      </c>
      <c r="D1840" t="inlineStr">
        <is>
          <t>C27</t>
        </is>
      </c>
      <c r="E1840" t="inlineStr">
        <is>
          <t>LD</t>
        </is>
      </c>
      <c r="F1840" t="inlineStr">
        <is>
          <t>EMPA</t>
        </is>
      </c>
      <c r="G1840" t="inlineStr">
        <is>
          <t>CLP-009</t>
        </is>
      </c>
      <c r="H1840" t="inlineStr">
        <is>
          <t>Fiscalização</t>
        </is>
      </c>
      <c r="I1840">
        <v>6</v>
      </c>
      <c r="J1840" t="inlineStr">
        <is>
          <t>Drenagem Superficial</t>
        </is>
      </c>
      <c r="K1840" t="inlineStr">
        <is>
          <t>6.8</t>
        </is>
      </c>
      <c r="L1840" t="inlineStr">
        <is>
          <t>Sarjeta</t>
        </is>
      </c>
      <c r="M1840" t="inlineStr">
        <is>
          <t>Drenagem danificadas</t>
        </is>
      </c>
      <c r="N1840" t="inlineStr">
        <is>
          <t>Sarjeta danificada.</t>
        </is>
      </c>
      <c r="O1840" t="inlineStr">
        <is>
          <t>Tipo A</t>
        </is>
      </c>
      <c r="P1840" t="inlineStr">
        <is>
          <t>10+360</t>
        </is>
      </c>
      <c r="Q1840" t="inlineStr">
        <is>
          <t>10+360</t>
        </is>
      </c>
      <c r="R1840" t="inlineStr">
        <is>
          <t>Aberta</t>
        </is>
      </c>
      <c r="T1840" t="inlineStr">
        <is>
          <t>Jeam Moreira</t>
        </is>
      </c>
      <c r="U1840" t="inlineStr">
        <is>
          <t>24/02/2026</t>
        </is>
      </c>
      <c r="V1840" t="inlineStr">
        <is>
          <t>03/03/2026</t>
        </is>
      </c>
      <c r="W1840">
        <v>99</v>
      </c>
      <c r="AA1840" t="inlineStr">
        <is>
          <t>Aberta 90-120 dias</t>
        </is>
      </c>
    </row>
    <row r="1841">
      <c r="A1841">
        <v>1845</v>
      </c>
      <c r="B1841">
        <v>3</v>
      </c>
      <c r="C1841" t="inlineStr">
        <is>
          <t>1.7</t>
        </is>
      </c>
      <c r="D1841" t="inlineStr">
        <is>
          <t>A02</t>
        </is>
      </c>
      <c r="F1841" t="inlineStr">
        <is>
          <t>APIA</t>
        </is>
      </c>
      <c r="G1841" t="inlineStr">
        <is>
          <t>CLP-010</t>
        </is>
      </c>
      <c r="H1841" t="inlineStr">
        <is>
          <t>Fiscalização</t>
        </is>
      </c>
      <c r="I1841">
        <v>2</v>
      </c>
      <c r="J1841" t="inlineStr">
        <is>
          <t>Bueiros</t>
        </is>
      </c>
      <c r="K1841" t="inlineStr">
        <is>
          <t>2.11</t>
        </is>
      </c>
      <c r="L1841" t="inlineStr">
        <is>
          <t>Bueiro</t>
        </is>
      </c>
      <c r="M1841" t="inlineStr">
        <is>
          <t>Assoreamento</t>
        </is>
      </c>
      <c r="N1841" t="inlineStr">
        <is>
          <t>Bueiro assoreado.</t>
        </is>
      </c>
      <c r="O1841" t="inlineStr">
        <is>
          <t>Tipo A</t>
        </is>
      </c>
      <c r="P1841" t="inlineStr">
        <is>
          <t>72+600</t>
        </is>
      </c>
      <c r="Q1841" t="inlineStr">
        <is>
          <t>72+600</t>
        </is>
      </c>
      <c r="R1841" t="inlineStr">
        <is>
          <t>Aberta</t>
        </is>
      </c>
      <c r="T1841" t="inlineStr">
        <is>
          <t>Jeam Moreira</t>
        </is>
      </c>
      <c r="U1841" t="inlineStr">
        <is>
          <t>26/02/2026</t>
        </is>
      </c>
      <c r="V1841" t="inlineStr">
        <is>
          <t>05/03/2026</t>
        </is>
      </c>
      <c r="W1841">
        <v>97</v>
      </c>
      <c r="AA1841" t="inlineStr">
        <is>
          <t>Aberta 90-120 dias</t>
        </is>
      </c>
    </row>
    <row r="1842">
      <c r="A1842">
        <v>1846</v>
      </c>
      <c r="B1842">
        <v>3</v>
      </c>
      <c r="C1842" t="inlineStr">
        <is>
          <t>1.7</t>
        </is>
      </c>
      <c r="D1842" t="inlineStr">
        <is>
          <t>C02</t>
        </is>
      </c>
      <c r="E1842" t="inlineStr">
        <is>
          <t>LE</t>
        </is>
      </c>
      <c r="F1842" t="inlineStr">
        <is>
          <t>APIA</t>
        </is>
      </c>
      <c r="G1842" t="inlineStr">
        <is>
          <t>CLP-010</t>
        </is>
      </c>
      <c r="H1842" t="inlineStr">
        <is>
          <t>Fiscalização</t>
        </is>
      </c>
      <c r="I1842">
        <v>6</v>
      </c>
      <c r="J1842" t="inlineStr">
        <is>
          <t>Drenagem Superficial</t>
        </is>
      </c>
      <c r="K1842" t="inlineStr">
        <is>
          <t>6.10</t>
        </is>
      </c>
      <c r="L1842" t="inlineStr">
        <is>
          <t>Drenagem superficial</t>
        </is>
      </c>
      <c r="M1842" t="inlineStr">
        <is>
          <t>Obstrução do dispositivo</t>
        </is>
      </c>
      <c r="N1842" t="inlineStr">
        <is>
          <t>Erosões e canaleta de drenagem destruída.</t>
        </is>
      </c>
      <c r="O1842" t="inlineStr">
        <is>
          <t>Tipo A</t>
        </is>
      </c>
      <c r="P1842" t="inlineStr">
        <is>
          <t>72+760</t>
        </is>
      </c>
      <c r="Q1842" t="inlineStr">
        <is>
          <t>73+760</t>
        </is>
      </c>
      <c r="R1842" t="inlineStr">
        <is>
          <t>Aberta</t>
        </is>
      </c>
      <c r="T1842" t="inlineStr">
        <is>
          <t>Jeam Moreira</t>
        </is>
      </c>
      <c r="U1842" t="inlineStr">
        <is>
          <t>26/02/2026</t>
        </is>
      </c>
      <c r="V1842" t="inlineStr">
        <is>
          <t>05/03/2026</t>
        </is>
      </c>
      <c r="W1842">
        <v>97</v>
      </c>
      <c r="AA1842" t="inlineStr">
        <is>
          <t>Aberta 90-120 dias</t>
        </is>
      </c>
    </row>
    <row r="1843">
      <c r="A1843">
        <v>1847</v>
      </c>
      <c r="B1843">
        <v>2</v>
      </c>
      <c r="C1843" t="inlineStr">
        <is>
          <t>1.5</t>
        </is>
      </c>
      <c r="D1843" t="inlineStr">
        <is>
          <t>A04</t>
        </is>
      </c>
      <c r="F1843" t="inlineStr">
        <is>
          <t>ATERPA</t>
        </is>
      </c>
      <c r="G1843" t="inlineStr">
        <is>
          <t>CLP-011</t>
        </is>
      </c>
      <c r="H1843" t="inlineStr">
        <is>
          <t>Fiscalização</t>
        </is>
      </c>
      <c r="I1843">
        <v>2</v>
      </c>
      <c r="J1843" t="inlineStr">
        <is>
          <t>Bueiros</t>
        </is>
      </c>
      <c r="K1843" t="inlineStr">
        <is>
          <t>2.11</t>
        </is>
      </c>
      <c r="L1843" t="inlineStr">
        <is>
          <t>(PG) Passagem de gado</t>
        </is>
      </c>
      <c r="M1843" t="inlineStr">
        <is>
          <t>Dispositivo não executado</t>
        </is>
      </c>
      <c r="N1843" t="inlineStr">
        <is>
          <t>Protocolo-112296 | Estiveram presentes na propriedade Fazenda Mata Alta do CTD 069A, à altura do (km 48+406,58 ao km 49+59.57) a profissional de Relações com Comunidades (RC) e Meio Ambiente, bem como o superficiário representado pela sua Advogada, o qual manifesta reclamação sobre a ausência da passagem de gado (PG) e passagem de pequenos veículos (PV) de uso comunitário, definida em ATA de audiência realizada em 05/02/2024 com cerca de direcionamento para a propriedade em questão, pois até o momento não foi identificada pelo superficiário.</t>
        </is>
      </c>
      <c r="O1843" t="inlineStr">
        <is>
          <t>Tipo A</t>
        </is>
      </c>
      <c r="P1843" t="inlineStr">
        <is>
          <t>48+406</t>
        </is>
      </c>
      <c r="Q1843" t="inlineStr">
        <is>
          <t>49+059</t>
        </is>
      </c>
      <c r="R1843" t="inlineStr">
        <is>
          <t>Aberta</t>
        </is>
      </c>
      <c r="T1843" t="inlineStr">
        <is>
          <t>Jeam Moreira</t>
        </is>
      </c>
      <c r="U1843" t="inlineStr">
        <is>
          <t>24/04/2026</t>
        </is>
      </c>
      <c r="V1843" t="inlineStr">
        <is>
          <t>01/05/2026</t>
        </is>
      </c>
      <c r="W1843">
        <v>40</v>
      </c>
      <c r="AA1843" t="inlineStr">
        <is>
          <t>Aberta 30-60 dias</t>
        </is>
      </c>
    </row>
    <row r="1844">
      <c r="A1844">
        <v>1848</v>
      </c>
      <c r="B1844">
        <v>2</v>
      </c>
      <c r="C1844" t="inlineStr">
        <is>
          <t>1.5</t>
        </is>
      </c>
      <c r="D1844" t="inlineStr">
        <is>
          <t>A04</t>
        </is>
      </c>
      <c r="F1844" t="inlineStr">
        <is>
          <t>ATERPA</t>
        </is>
      </c>
      <c r="G1844" t="inlineStr">
        <is>
          <t>CLP-011</t>
        </is>
      </c>
      <c r="H1844" t="inlineStr">
        <is>
          <t>Fiscalização</t>
        </is>
      </c>
      <c r="I1844">
        <v>2</v>
      </c>
      <c r="J1844" t="inlineStr">
        <is>
          <t>Bueiros</t>
        </is>
      </c>
      <c r="K1844" t="inlineStr">
        <is>
          <t>2.11</t>
        </is>
      </c>
      <c r="L1844" t="inlineStr">
        <is>
          <t>Bueiro</t>
        </is>
      </c>
      <c r="M1844" t="inlineStr">
        <is>
          <t>Assoreamento</t>
        </is>
      </c>
      <c r="N1844" t="inlineStr">
        <is>
          <t>Bueiro assoreado.</t>
        </is>
      </c>
      <c r="O1844" t="inlineStr">
        <is>
          <t>Tipo A</t>
        </is>
      </c>
      <c r="P1844" t="inlineStr">
        <is>
          <t>48+477</t>
        </is>
      </c>
      <c r="Q1844" t="inlineStr">
        <is>
          <t>48+477</t>
        </is>
      </c>
      <c r="R1844" t="inlineStr">
        <is>
          <t>Aberta</t>
        </is>
      </c>
      <c r="T1844" t="inlineStr">
        <is>
          <t>Jeam Moreira</t>
        </is>
      </c>
      <c r="U1844" t="inlineStr">
        <is>
          <t>24/04/2026</t>
        </is>
      </c>
      <c r="V1844" t="inlineStr">
        <is>
          <t>01/05/2026</t>
        </is>
      </c>
      <c r="W1844">
        <v>40</v>
      </c>
      <c r="AA1844" t="inlineStr">
        <is>
          <t>Aberta 30-60 dias</t>
        </is>
      </c>
    </row>
    <row r="1845">
      <c r="A1845">
        <v>1849</v>
      </c>
      <c r="B1845">
        <v>2</v>
      </c>
      <c r="C1845" t="inlineStr">
        <is>
          <t>1.5</t>
        </is>
      </c>
      <c r="D1845" t="inlineStr">
        <is>
          <t>A04</t>
        </is>
      </c>
      <c r="F1845" t="inlineStr">
        <is>
          <t>ATERPA</t>
        </is>
      </c>
      <c r="G1845" t="inlineStr">
        <is>
          <t>CLP-011</t>
        </is>
      </c>
      <c r="H1845" t="inlineStr">
        <is>
          <t>Fiscalização</t>
        </is>
      </c>
      <c r="I1845">
        <v>2</v>
      </c>
      <c r="J1845" t="inlineStr">
        <is>
          <t>Bueiros</t>
        </is>
      </c>
      <c r="K1845" t="inlineStr">
        <is>
          <t>2.11</t>
        </is>
      </c>
      <c r="L1845" t="inlineStr">
        <is>
          <t>Bueiro</t>
        </is>
      </c>
      <c r="M1845" t="inlineStr">
        <is>
          <t>Obstrução do dispositivo</t>
        </is>
      </c>
      <c r="N1845" t="inlineStr">
        <is>
          <t>PG obstruída, falta a implantação de TSS sobre a valeta.</t>
        </is>
      </c>
      <c r="O1845" t="inlineStr">
        <is>
          <t>Tipo A</t>
        </is>
      </c>
      <c r="P1845" t="inlineStr">
        <is>
          <t>48+600</t>
        </is>
      </c>
      <c r="Q1845" t="inlineStr">
        <is>
          <t>48+600</t>
        </is>
      </c>
      <c r="R1845" t="inlineStr">
        <is>
          <t>Aberta</t>
        </is>
      </c>
      <c r="T1845" t="inlineStr">
        <is>
          <t>Jeam Moreira</t>
        </is>
      </c>
      <c r="U1845" t="inlineStr">
        <is>
          <t>24/04/2026</t>
        </is>
      </c>
      <c r="V1845" t="inlineStr">
        <is>
          <t>01/05/2026</t>
        </is>
      </c>
      <c r="W1845">
        <v>40</v>
      </c>
      <c r="AA1845" t="inlineStr">
        <is>
          <t>Aberta 30-60 dias</t>
        </is>
      </c>
    </row>
    <row r="1846">
      <c r="A1846">
        <v>1850</v>
      </c>
      <c r="B1846">
        <v>2</v>
      </c>
      <c r="C1846" t="inlineStr">
        <is>
          <t>1.5</t>
        </is>
      </c>
      <c r="D1846" t="inlineStr">
        <is>
          <t>A04</t>
        </is>
      </c>
      <c r="F1846" t="inlineStr">
        <is>
          <t>ATERPA</t>
        </is>
      </c>
      <c r="G1846" t="inlineStr">
        <is>
          <t>CLP-011</t>
        </is>
      </c>
      <c r="H1846" t="inlineStr">
        <is>
          <t>Fiscalização</t>
        </is>
      </c>
      <c r="I1846">
        <v>2</v>
      </c>
      <c r="J1846" t="inlineStr">
        <is>
          <t>Bueiros</t>
        </is>
      </c>
      <c r="K1846" t="inlineStr">
        <is>
          <t>2.11</t>
        </is>
      </c>
      <c r="L1846" t="inlineStr">
        <is>
          <t>Bueiro</t>
        </is>
      </c>
      <c r="M1846" t="inlineStr">
        <is>
          <t>Assoreamento</t>
        </is>
      </c>
      <c r="N1846" t="inlineStr">
        <is>
          <t>Bueiro assoreado.</t>
        </is>
      </c>
      <c r="O1846" t="inlineStr">
        <is>
          <t>Tipo A</t>
        </is>
      </c>
      <c r="P1846" t="inlineStr">
        <is>
          <t>48+929</t>
        </is>
      </c>
      <c r="Q1846" t="inlineStr">
        <is>
          <t>48+929</t>
        </is>
      </c>
      <c r="R1846" t="inlineStr">
        <is>
          <t>Aberta</t>
        </is>
      </c>
      <c r="T1846" t="inlineStr">
        <is>
          <t>Jeam Moreira</t>
        </is>
      </c>
      <c r="U1846" t="inlineStr">
        <is>
          <t>24/04/2026</t>
        </is>
      </c>
      <c r="V1846" t="inlineStr">
        <is>
          <t>01/05/2026</t>
        </is>
      </c>
      <c r="W1846">
        <v>40</v>
      </c>
      <c r="AA1846" t="inlineStr">
        <is>
          <t>Aberta 30-60 dias</t>
        </is>
      </c>
    </row>
    <row r="1847">
      <c r="A1847">
        <v>1851</v>
      </c>
      <c r="B1847">
        <v>2</v>
      </c>
      <c r="C1847" t="inlineStr">
        <is>
          <t>1.5</t>
        </is>
      </c>
      <c r="D1847" t="inlineStr">
        <is>
          <t>A04</t>
        </is>
      </c>
      <c r="F1847" t="inlineStr">
        <is>
          <t>ATERPA</t>
        </is>
      </c>
      <c r="G1847" t="inlineStr">
        <is>
          <t>CLP-011</t>
        </is>
      </c>
      <c r="H1847" t="inlineStr">
        <is>
          <t>Fiscalização</t>
        </is>
      </c>
      <c r="I1847">
        <v>2</v>
      </c>
      <c r="J1847" t="inlineStr">
        <is>
          <t>Bueiros</t>
        </is>
      </c>
      <c r="K1847" t="inlineStr">
        <is>
          <t>2.11</t>
        </is>
      </c>
      <c r="L1847" t="inlineStr">
        <is>
          <t>Bueiro</t>
        </is>
      </c>
      <c r="M1847" t="inlineStr">
        <is>
          <t>Assoreamento</t>
        </is>
      </c>
      <c r="N1847" t="inlineStr">
        <is>
          <t>PG assoreada.</t>
        </is>
      </c>
      <c r="O1847" t="inlineStr">
        <is>
          <t>Tipo A</t>
        </is>
      </c>
      <c r="P1847" t="inlineStr">
        <is>
          <t>49+085</t>
        </is>
      </c>
      <c r="Q1847" t="inlineStr">
        <is>
          <t>49+085</t>
        </is>
      </c>
      <c r="R1847" t="inlineStr">
        <is>
          <t>Aberta</t>
        </is>
      </c>
      <c r="T1847" t="inlineStr">
        <is>
          <t>Jeam Moreira</t>
        </is>
      </c>
      <c r="U1847" t="inlineStr">
        <is>
          <t>24/04/2026</t>
        </is>
      </c>
      <c r="V1847" t="inlineStr">
        <is>
          <t>01/05/2026</t>
        </is>
      </c>
      <c r="W1847">
        <v>40</v>
      </c>
      <c r="AA1847" t="inlineStr">
        <is>
          <t>Aberta 30-60 dias</t>
        </is>
      </c>
    </row>
    <row r="1848">
      <c r="A1848">
        <v>1852</v>
      </c>
      <c r="B1848">
        <v>2</v>
      </c>
      <c r="C1848" t="inlineStr">
        <is>
          <t>1.5</t>
        </is>
      </c>
      <c r="D1848" t="inlineStr">
        <is>
          <t>A07</t>
        </is>
      </c>
      <c r="F1848" t="inlineStr">
        <is>
          <t>ATERPA</t>
        </is>
      </c>
      <c r="G1848" t="inlineStr">
        <is>
          <t>CLP-011</t>
        </is>
      </c>
      <c r="H1848" t="inlineStr">
        <is>
          <t>Fiscalização</t>
        </is>
      </c>
      <c r="I1848">
        <v>2</v>
      </c>
      <c r="J1848" t="inlineStr">
        <is>
          <t>Bueiros</t>
        </is>
      </c>
      <c r="K1848" t="inlineStr">
        <is>
          <t>2.11</t>
        </is>
      </c>
      <c r="L1848" t="inlineStr">
        <is>
          <t>Bueiro</t>
        </is>
      </c>
      <c r="M1848" t="inlineStr">
        <is>
          <t>Obstrução do dispositivo</t>
        </is>
      </c>
      <c r="N1848" t="inlineStr">
        <is>
          <t>Drenagem de plataforma obstruída, bueiro assoreado e carreamento de material para fora da faixa.</t>
        </is>
      </c>
      <c r="O1848" t="inlineStr">
        <is>
          <t>Tipo A</t>
        </is>
      </c>
      <c r="P1848" t="inlineStr">
        <is>
          <t>50+762</t>
        </is>
      </c>
      <c r="Q1848" t="inlineStr">
        <is>
          <t>50+762</t>
        </is>
      </c>
      <c r="R1848" t="inlineStr">
        <is>
          <t>Aberta</t>
        </is>
      </c>
      <c r="T1848" t="inlineStr">
        <is>
          <t>Jeam Moreira</t>
        </is>
      </c>
      <c r="U1848" t="inlineStr">
        <is>
          <t>24/04/2026</t>
        </is>
      </c>
      <c r="V1848" t="inlineStr">
        <is>
          <t>01/05/2026</t>
        </is>
      </c>
      <c r="W1848">
        <v>40</v>
      </c>
      <c r="AA1848" t="inlineStr">
        <is>
          <t>Aberta 30-60 dias</t>
        </is>
      </c>
    </row>
    <row r="1849">
      <c r="A1849">
        <v>1853</v>
      </c>
      <c r="B1849">
        <v>2</v>
      </c>
      <c r="C1849" t="inlineStr">
        <is>
          <t>1.5</t>
        </is>
      </c>
      <c r="D1849" t="inlineStr">
        <is>
          <t>A12</t>
        </is>
      </c>
      <c r="E1849" t="inlineStr">
        <is>
          <t>LE</t>
        </is>
      </c>
      <c r="F1849" t="inlineStr">
        <is>
          <t>ATERPA</t>
        </is>
      </c>
      <c r="G1849" t="inlineStr">
        <is>
          <t>CLP-011</t>
        </is>
      </c>
      <c r="H1849" t="inlineStr">
        <is>
          <t>Manifestação</t>
        </is>
      </c>
      <c r="I1849">
        <v>4</v>
      </c>
      <c r="J1849" t="inlineStr">
        <is>
          <t>Terraplenagem</t>
        </is>
      </c>
      <c r="K1849" t="inlineStr">
        <is>
          <t>4.25</t>
        </is>
      </c>
      <c r="L1849" t="inlineStr">
        <is>
          <t xml:space="preserve">Faixa de domínio </t>
        </is>
      </c>
      <c r="M1849" t="inlineStr">
        <is>
          <t>Assoreamento</t>
        </is>
      </c>
      <c r="N1849" t="inlineStr">
        <is>
          <t xml:space="preserve">Protocolo-118165 | Conforme evidências em anexo, o superficiário do CTD 070 à altura do (km 49 + 59,57 ao km 50 + 774) manifesta reclamação sobre o carreamento de material para dentro da sua propriedade. Informa que após a chuva o material começou adentrar a sua fazenda e consequentemente para a  represa. Solicita que seja implantado medidas de contenção no local supracitado, bem como a retirada do material. 
</t>
        </is>
      </c>
      <c r="O1849" t="inlineStr">
        <is>
          <t>Tipo A</t>
        </is>
      </c>
      <c r="P1849" t="inlineStr">
        <is>
          <t>49+059</t>
        </is>
      </c>
      <c r="Q1849" t="inlineStr">
        <is>
          <t>50+774</t>
        </is>
      </c>
      <c r="R1849" t="inlineStr">
        <is>
          <t>Aberta</t>
        </is>
      </c>
      <c r="T1849" t="inlineStr">
        <is>
          <t>Jeam Moreira</t>
        </is>
      </c>
      <c r="U1849" t="inlineStr">
        <is>
          <t>24/04/2026</t>
        </is>
      </c>
      <c r="V1849" t="inlineStr">
        <is>
          <t>01/05/2026</t>
        </is>
      </c>
      <c r="W1849">
        <v>40</v>
      </c>
      <c r="AA1849" t="inlineStr">
        <is>
          <t>Aberta 30-60 dias</t>
        </is>
      </c>
    </row>
    <row r="1850">
      <c r="A1850">
        <v>1854</v>
      </c>
      <c r="B1850">
        <v>2</v>
      </c>
      <c r="C1850" t="inlineStr">
        <is>
          <t>1.5</t>
        </is>
      </c>
      <c r="D1850" t="inlineStr">
        <is>
          <t>A12</t>
        </is>
      </c>
      <c r="E1850" t="inlineStr">
        <is>
          <t>LE</t>
        </is>
      </c>
      <c r="F1850" t="inlineStr">
        <is>
          <t>ATERPA</t>
        </is>
      </c>
      <c r="G1850" t="inlineStr">
        <is>
          <t>CLP-011</t>
        </is>
      </c>
      <c r="H1850" t="inlineStr">
        <is>
          <t>Manifestação</t>
        </is>
      </c>
      <c r="I1850">
        <v>4</v>
      </c>
      <c r="J1850" t="inlineStr">
        <is>
          <t>Terraplenagem</t>
        </is>
      </c>
      <c r="K1850" t="inlineStr">
        <is>
          <t>4.25</t>
        </is>
      </c>
      <c r="L1850" t="inlineStr">
        <is>
          <t>PN</t>
        </is>
      </c>
      <c r="M1850" t="inlineStr">
        <is>
          <t>Dispositivo não executado</t>
        </is>
      </c>
      <c r="N1850" t="inlineStr">
        <is>
          <t>Protocolo-118836 | Manifestante relata insatisfação em relação às obras da ferrovia na altura do km 50. Informa que, durante a última chuva no dia 02/11, houve grande acúmulo de material que desceu para dentro da represa. Ressalta que existem três represas na região —uma no km 49, outra no km 50 e uma próxima ao km 51. Relata ainda que, no trecho do km 51, o projeto prevê a construção de uma passagem de nível para permitir o acesso ao outro lado da propriedade, porém até o momento a obra não foi executada, deixando-o sem acesso.</t>
        </is>
      </c>
      <c r="O1850" t="inlineStr">
        <is>
          <t>Tipo A</t>
        </is>
      </c>
      <c r="P1850" t="inlineStr">
        <is>
          <t>49+000</t>
        </is>
      </c>
      <c r="Q1850" t="inlineStr">
        <is>
          <t>51+000</t>
        </is>
      </c>
      <c r="R1850" t="inlineStr">
        <is>
          <t>Aberta</t>
        </is>
      </c>
      <c r="T1850" t="inlineStr">
        <is>
          <t>Jeam Moreira</t>
        </is>
      </c>
      <c r="U1850" t="inlineStr">
        <is>
          <t>24/04/2026</t>
        </is>
      </c>
      <c r="V1850" t="inlineStr">
        <is>
          <t>01/05/2026</t>
        </is>
      </c>
      <c r="W1850">
        <v>40</v>
      </c>
      <c r="AA1850" t="inlineStr">
        <is>
          <t>Aberta 30-60 dias</t>
        </is>
      </c>
    </row>
    <row r="1851">
      <c r="A1851">
        <v>1855</v>
      </c>
      <c r="B1851">
        <v>2</v>
      </c>
      <c r="C1851" t="inlineStr">
        <is>
          <t>1.5</t>
        </is>
      </c>
      <c r="D1851" t="inlineStr">
        <is>
          <t>A02</t>
        </is>
      </c>
      <c r="E1851" t="inlineStr">
        <is>
          <t>LD</t>
        </is>
      </c>
      <c r="F1851" t="inlineStr">
        <is>
          <t>ATERPA</t>
        </is>
      </c>
      <c r="G1851" t="inlineStr">
        <is>
          <t>CLP-011</t>
        </is>
      </c>
      <c r="H1851" t="inlineStr">
        <is>
          <t>Fiscalização</t>
        </is>
      </c>
      <c r="I1851">
        <v>4</v>
      </c>
      <c r="J1851" t="inlineStr">
        <is>
          <t>Terraplenagem</t>
        </is>
      </c>
      <c r="K1851" t="inlineStr">
        <is>
          <t>4.11</t>
        </is>
      </c>
      <c r="L1851" t="inlineStr">
        <is>
          <t>Talude</t>
        </is>
      </c>
      <c r="M1851" t="inlineStr">
        <is>
          <t>Erosões</t>
        </is>
      </c>
      <c r="N1851" t="inlineStr">
        <is>
          <t>Processo erosivo.</t>
        </is>
      </c>
      <c r="O1851" t="inlineStr">
        <is>
          <t>Tipo A</t>
        </is>
      </c>
      <c r="P1851" t="inlineStr">
        <is>
          <t>47+020</t>
        </is>
      </c>
      <c r="Q1851" t="inlineStr">
        <is>
          <t>47+020</t>
        </is>
      </c>
      <c r="R1851" t="inlineStr">
        <is>
          <t>Aberta</t>
        </is>
      </c>
      <c r="T1851" t="inlineStr">
        <is>
          <t>Jeam Moreira</t>
        </is>
      </c>
      <c r="U1851" t="inlineStr">
        <is>
          <t>24/04/2026</t>
        </is>
      </c>
      <c r="V1851" t="inlineStr">
        <is>
          <t>01/05/2026</t>
        </is>
      </c>
      <c r="W1851">
        <v>40</v>
      </c>
      <c r="AA1851" t="inlineStr">
        <is>
          <t>Aberta 30-60 dias</t>
        </is>
      </c>
    </row>
    <row r="1852">
      <c r="A1852">
        <v>1856</v>
      </c>
      <c r="B1852">
        <v>2</v>
      </c>
      <c r="C1852" t="inlineStr">
        <is>
          <t>1.5</t>
        </is>
      </c>
      <c r="D1852" t="inlineStr">
        <is>
          <t>A07</t>
        </is>
      </c>
      <c r="F1852" t="inlineStr">
        <is>
          <t>ATERPA</t>
        </is>
      </c>
      <c r="G1852" t="inlineStr">
        <is>
          <t>CLP-011</t>
        </is>
      </c>
      <c r="H1852" t="inlineStr">
        <is>
          <t>Fiscalização</t>
        </is>
      </c>
      <c r="I1852">
        <v>4</v>
      </c>
      <c r="J1852" t="inlineStr">
        <is>
          <t>Terraplenagem</t>
        </is>
      </c>
      <c r="K1852" t="inlineStr">
        <is>
          <t>4.25</t>
        </is>
      </c>
      <c r="L1852" t="inlineStr">
        <is>
          <t xml:space="preserve">Faixa de domínio </t>
        </is>
      </c>
      <c r="M1852" t="inlineStr">
        <is>
          <t>Assoreamento</t>
        </is>
      </c>
      <c r="N1852" t="inlineStr">
        <is>
          <t>Drenagem de plataforma obstruída, bueiro assoreado e carreamento de material para fora da faixa.</t>
        </is>
      </c>
      <c r="O1852" t="inlineStr">
        <is>
          <t>Tipo A</t>
        </is>
      </c>
      <c r="P1852" t="inlineStr">
        <is>
          <t>50+762</t>
        </is>
      </c>
      <c r="Q1852" t="inlineStr">
        <is>
          <t>50+762</t>
        </is>
      </c>
      <c r="R1852" t="inlineStr">
        <is>
          <t>Aberta</t>
        </is>
      </c>
      <c r="T1852" t="inlineStr">
        <is>
          <t>Jeam Moreira</t>
        </is>
      </c>
      <c r="U1852" t="inlineStr">
        <is>
          <t>24/04/2026</t>
        </is>
      </c>
      <c r="V1852" t="inlineStr">
        <is>
          <t>01/05/2026</t>
        </is>
      </c>
      <c r="W1852">
        <v>40</v>
      </c>
      <c r="AA1852" t="inlineStr">
        <is>
          <t>Aberta 30-60 dias</t>
        </is>
      </c>
    </row>
    <row r="1853">
      <c r="A1853">
        <v>1857</v>
      </c>
      <c r="B1853">
        <v>2</v>
      </c>
      <c r="C1853" t="inlineStr">
        <is>
          <t>1.5</t>
        </is>
      </c>
      <c r="D1853" t="inlineStr">
        <is>
          <t>C02</t>
        </is>
      </c>
      <c r="F1853" t="inlineStr">
        <is>
          <t>ATERPA</t>
        </is>
      </c>
      <c r="G1853" t="inlineStr">
        <is>
          <t>CLP-011</t>
        </is>
      </c>
      <c r="H1853" t="inlineStr">
        <is>
          <t>Fiscalização</t>
        </is>
      </c>
      <c r="I1853">
        <v>6</v>
      </c>
      <c r="J1853" t="inlineStr">
        <is>
          <t>Drenagem Superficial</t>
        </is>
      </c>
      <c r="K1853" t="inlineStr">
        <is>
          <t>6.10</t>
        </is>
      </c>
      <c r="L1853" t="inlineStr">
        <is>
          <t>Canaleta</t>
        </is>
      </c>
      <c r="M1853" t="inlineStr">
        <is>
          <t>Obstrução do dispositivo</t>
        </is>
      </c>
      <c r="N1853" t="inlineStr">
        <is>
          <t>Dispositivos de drenagem obstruídos.</t>
        </is>
      </c>
      <c r="O1853" t="inlineStr">
        <is>
          <t>Tipo A</t>
        </is>
      </c>
      <c r="P1853" t="inlineStr">
        <is>
          <t>47+000</t>
        </is>
      </c>
      <c r="Q1853" t="inlineStr">
        <is>
          <t>48+160</t>
        </is>
      </c>
      <c r="R1853" t="inlineStr">
        <is>
          <t>Aberta</t>
        </is>
      </c>
      <c r="T1853" t="inlineStr">
        <is>
          <t>Jeam Moreira</t>
        </is>
      </c>
      <c r="U1853" t="inlineStr">
        <is>
          <t>24/04/2026</t>
        </is>
      </c>
      <c r="V1853" t="inlineStr">
        <is>
          <t>01/05/2026</t>
        </is>
      </c>
      <c r="W1853">
        <v>40</v>
      </c>
      <c r="AA1853" t="inlineStr">
        <is>
          <t>Aberta 30-60 dias</t>
        </is>
      </c>
    </row>
    <row r="1854">
      <c r="A1854">
        <v>1858</v>
      </c>
      <c r="B1854">
        <v>2</v>
      </c>
      <c r="C1854" t="inlineStr">
        <is>
          <t>1.5</t>
        </is>
      </c>
      <c r="D1854" t="inlineStr">
        <is>
          <t>C02</t>
        </is>
      </c>
      <c r="F1854" t="inlineStr">
        <is>
          <t>ATERPA</t>
        </is>
      </c>
      <c r="G1854" t="inlineStr">
        <is>
          <t>CLP-011</t>
        </is>
      </c>
      <c r="H1854" t="inlineStr">
        <is>
          <t>Fiscalização</t>
        </is>
      </c>
      <c r="I1854">
        <v>6</v>
      </c>
      <c r="J1854" t="inlineStr">
        <is>
          <t>Drenagem Superficial</t>
        </is>
      </c>
      <c r="K1854" t="inlineStr">
        <is>
          <t>6.10</t>
        </is>
      </c>
      <c r="L1854" t="inlineStr">
        <is>
          <t>Canaleta</t>
        </is>
      </c>
      <c r="M1854" t="inlineStr">
        <is>
          <t>Obstrução do dispositivo</t>
        </is>
      </c>
      <c r="N1854" t="inlineStr">
        <is>
          <t>Dispositivos de drenagem obstruídos.</t>
        </is>
      </c>
      <c r="O1854" t="inlineStr">
        <is>
          <t>Tipo A</t>
        </is>
      </c>
      <c r="P1854" t="inlineStr">
        <is>
          <t>49+160</t>
        </is>
      </c>
      <c r="Q1854" t="inlineStr">
        <is>
          <t>49+480</t>
        </is>
      </c>
      <c r="R1854" t="inlineStr">
        <is>
          <t>Aberta</t>
        </is>
      </c>
      <c r="T1854" t="inlineStr">
        <is>
          <t>Jeam Moreira</t>
        </is>
      </c>
      <c r="U1854" t="inlineStr">
        <is>
          <t>24/04/2026</t>
        </is>
      </c>
      <c r="V1854" t="inlineStr">
        <is>
          <t>01/05/2026</t>
        </is>
      </c>
      <c r="W1854">
        <v>40</v>
      </c>
      <c r="AA1854" t="inlineStr">
        <is>
          <t>Aberta 30-60 dias</t>
        </is>
      </c>
    </row>
    <row r="1855">
      <c r="A1855">
        <v>1859</v>
      </c>
      <c r="B1855">
        <v>2</v>
      </c>
      <c r="C1855" t="inlineStr">
        <is>
          <t>1.6</t>
        </is>
      </c>
      <c r="D1855" t="inlineStr">
        <is>
          <t>A10</t>
        </is>
      </c>
      <c r="F1855" t="inlineStr">
        <is>
          <t>ATERPA</t>
        </is>
      </c>
      <c r="G1855" t="inlineStr">
        <is>
          <t>CLP-012</t>
        </is>
      </c>
      <c r="H1855" t="inlineStr">
        <is>
          <t>Fiscalização</t>
        </is>
      </c>
      <c r="I1855">
        <v>2</v>
      </c>
      <c r="J1855" t="inlineStr">
        <is>
          <t>Bueiros</t>
        </is>
      </c>
      <c r="K1855" t="inlineStr">
        <is>
          <t>2.11</t>
        </is>
      </c>
      <c r="L1855" t="inlineStr">
        <is>
          <t>(PG) Passagem de gado</t>
        </is>
      </c>
      <c r="M1855" t="inlineStr">
        <is>
          <t>Obstrução do dispositivo</t>
        </is>
      </c>
      <c r="N1855" t="inlineStr">
        <is>
          <t>Erosões, PG obstruída e falta de cerca até PG.</t>
        </is>
      </c>
      <c r="O1855" t="inlineStr">
        <is>
          <t>Tipo A</t>
        </is>
      </c>
      <c r="P1855" t="inlineStr">
        <is>
          <t>69+471</t>
        </is>
      </c>
      <c r="Q1855" t="inlineStr">
        <is>
          <t>69+471</t>
        </is>
      </c>
      <c r="R1855" t="inlineStr">
        <is>
          <t>Aberta</t>
        </is>
      </c>
      <c r="T1855" t="inlineStr">
        <is>
          <t>Jeam Moreira</t>
        </is>
      </c>
      <c r="U1855" t="inlineStr">
        <is>
          <t>30/04/2026</t>
        </is>
      </c>
      <c r="V1855" t="inlineStr">
        <is>
          <t>07/05/2026</t>
        </is>
      </c>
      <c r="W1855">
        <v>34</v>
      </c>
      <c r="AA1855" t="inlineStr">
        <is>
          <t>Aberta 30-60 dias</t>
        </is>
      </c>
    </row>
    <row r="1856">
      <c r="A1856">
        <v>1860</v>
      </c>
      <c r="B1856">
        <v>2</v>
      </c>
      <c r="C1856" t="inlineStr">
        <is>
          <t>1.6</t>
        </is>
      </c>
      <c r="D1856" t="inlineStr">
        <is>
          <t>A10</t>
        </is>
      </c>
      <c r="F1856" t="inlineStr">
        <is>
          <t>ATERPA</t>
        </is>
      </c>
      <c r="G1856" t="inlineStr">
        <is>
          <t>CLP-012</t>
        </is>
      </c>
      <c r="H1856" t="inlineStr">
        <is>
          <t>Fiscalização</t>
        </is>
      </c>
      <c r="I1856">
        <v>2</v>
      </c>
      <c r="J1856" t="inlineStr">
        <is>
          <t>Bueiros</t>
        </is>
      </c>
      <c r="K1856" t="inlineStr">
        <is>
          <t>2.11</t>
        </is>
      </c>
      <c r="L1856" t="inlineStr">
        <is>
          <t>(PG) Passagem de gado</t>
        </is>
      </c>
      <c r="M1856" t="inlineStr">
        <is>
          <t>Obstrução do dispositivo</t>
        </is>
      </c>
      <c r="N1856" t="inlineStr">
        <is>
          <t>Erosões, PG obstruída e falta de cerca até PG.</t>
        </is>
      </c>
      <c r="O1856" t="inlineStr">
        <is>
          <t>Tipo A</t>
        </is>
      </c>
      <c r="P1856" t="inlineStr">
        <is>
          <t>69+560</t>
        </is>
      </c>
      <c r="Q1856" t="inlineStr">
        <is>
          <t>69+560</t>
        </is>
      </c>
      <c r="R1856" t="inlineStr">
        <is>
          <t>Aberta</t>
        </is>
      </c>
      <c r="T1856" t="inlineStr">
        <is>
          <t>Jeam Moreira</t>
        </is>
      </c>
      <c r="U1856" t="inlineStr">
        <is>
          <t>30/04/2026</t>
        </is>
      </c>
      <c r="V1856" t="inlineStr">
        <is>
          <t>07/05/2026</t>
        </is>
      </c>
      <c r="W1856">
        <v>34</v>
      </c>
      <c r="AA1856" t="inlineStr">
        <is>
          <t>Aberta 30-60 dias</t>
        </is>
      </c>
    </row>
    <row r="1857">
      <c r="A1857">
        <v>1861</v>
      </c>
      <c r="B1857">
        <v>2</v>
      </c>
      <c r="C1857" t="inlineStr">
        <is>
          <t>1.6</t>
        </is>
      </c>
      <c r="D1857" t="inlineStr">
        <is>
          <t>A10</t>
        </is>
      </c>
      <c r="F1857" t="inlineStr">
        <is>
          <t>ATERPA</t>
        </is>
      </c>
      <c r="G1857" t="inlineStr">
        <is>
          <t>CLP-012</t>
        </is>
      </c>
      <c r="H1857" t="inlineStr">
        <is>
          <t>Fiscalização</t>
        </is>
      </c>
      <c r="I1857">
        <v>2</v>
      </c>
      <c r="J1857" t="inlineStr">
        <is>
          <t>Bueiros</t>
        </is>
      </c>
      <c r="K1857" t="inlineStr">
        <is>
          <t>2.11</t>
        </is>
      </c>
      <c r="L1857" t="inlineStr">
        <is>
          <t>Bueiro</t>
        </is>
      </c>
      <c r="M1857" t="inlineStr">
        <is>
          <t>Assoreamento</t>
        </is>
      </c>
      <c r="N1857" t="inlineStr">
        <is>
          <t>Bueiro assoreado.</t>
        </is>
      </c>
      <c r="O1857" t="inlineStr">
        <is>
          <t>Tipo C</t>
        </is>
      </c>
      <c r="P1857" t="inlineStr">
        <is>
          <t>69+652</t>
        </is>
      </c>
      <c r="Q1857" t="inlineStr">
        <is>
          <t>69+652</t>
        </is>
      </c>
      <c r="R1857" t="inlineStr">
        <is>
          <t>Aberta</t>
        </is>
      </c>
      <c r="T1857" t="inlineStr">
        <is>
          <t>Jeam Moreira</t>
        </is>
      </c>
      <c r="U1857" t="inlineStr">
        <is>
          <t>30/04/2026</t>
        </is>
      </c>
      <c r="V1857" t="inlineStr">
        <is>
          <t>30/05/2026</t>
        </is>
      </c>
      <c r="W1857">
        <v>11</v>
      </c>
      <c r="AA1857" t="inlineStr">
        <is>
          <t>Aberta 30-60 dias</t>
        </is>
      </c>
    </row>
    <row r="1858">
      <c r="A1858">
        <v>1862</v>
      </c>
      <c r="B1858">
        <v>2</v>
      </c>
      <c r="C1858" t="inlineStr">
        <is>
          <t>1.6</t>
        </is>
      </c>
      <c r="D1858" t="inlineStr">
        <is>
          <t>C12</t>
        </is>
      </c>
      <c r="F1858" t="inlineStr">
        <is>
          <t>ATERPA</t>
        </is>
      </c>
      <c r="G1858" t="inlineStr">
        <is>
          <t>CLP-012</t>
        </is>
      </c>
      <c r="H1858" t="inlineStr">
        <is>
          <t>Fiscalização</t>
        </is>
      </c>
      <c r="I1858">
        <v>2</v>
      </c>
      <c r="J1858" t="inlineStr">
        <is>
          <t>Bueiros</t>
        </is>
      </c>
      <c r="K1858" t="inlineStr">
        <is>
          <t>2.11</t>
        </is>
      </c>
      <c r="L1858" t="inlineStr">
        <is>
          <t>Bueiro</t>
        </is>
      </c>
      <c r="M1858" t="inlineStr">
        <is>
          <t>Obstrução do dispositivo</t>
        </is>
      </c>
      <c r="N1858" t="inlineStr">
        <is>
          <t>Montante de bueiro obstruída.</t>
        </is>
      </c>
      <c r="O1858" t="inlineStr">
        <is>
          <t>Tipo A</t>
        </is>
      </c>
      <c r="P1858" t="inlineStr">
        <is>
          <t>70+120</t>
        </is>
      </c>
      <c r="Q1858" t="inlineStr">
        <is>
          <t>70+120</t>
        </is>
      </c>
      <c r="R1858" t="inlineStr">
        <is>
          <t>Aberta</t>
        </is>
      </c>
      <c r="T1858" t="inlineStr">
        <is>
          <t>Jeam Moreira</t>
        </is>
      </c>
      <c r="U1858" t="inlineStr">
        <is>
          <t>30/04/2026</t>
        </is>
      </c>
      <c r="V1858" t="inlineStr">
        <is>
          <t>07/05/2026</t>
        </is>
      </c>
      <c r="W1858">
        <v>34</v>
      </c>
      <c r="AA1858" t="inlineStr">
        <is>
          <t>Aberta 30-60 dias</t>
        </is>
      </c>
    </row>
    <row r="1859">
      <c r="A1859">
        <v>1863</v>
      </c>
      <c r="B1859">
        <v>2</v>
      </c>
      <c r="C1859" t="inlineStr">
        <is>
          <t>1.6</t>
        </is>
      </c>
      <c r="D1859" t="inlineStr">
        <is>
          <t>A03</t>
        </is>
      </c>
      <c r="E1859" t="inlineStr">
        <is>
          <t>LD</t>
        </is>
      </c>
      <c r="F1859" t="inlineStr">
        <is>
          <t>ATERPA</t>
        </is>
      </c>
      <c r="G1859" t="inlineStr">
        <is>
          <t>CLP-012</t>
        </is>
      </c>
      <c r="H1859" t="inlineStr">
        <is>
          <t>Fiscalização</t>
        </is>
      </c>
      <c r="I1859">
        <v>4</v>
      </c>
      <c r="J1859" t="inlineStr">
        <is>
          <t>Terraplenagem</t>
        </is>
      </c>
      <c r="K1859" t="inlineStr">
        <is>
          <t>4.11</t>
        </is>
      </c>
      <c r="L1859" t="inlineStr">
        <is>
          <t>Talude</t>
        </is>
      </c>
      <c r="M1859" t="inlineStr">
        <is>
          <t>Erosões</t>
        </is>
      </c>
      <c r="N1859" t="inlineStr">
        <is>
          <t>Formação de pequenos processos erosivos.</t>
        </is>
      </c>
      <c r="O1859" t="inlineStr">
        <is>
          <t>Tipo A</t>
        </is>
      </c>
      <c r="P1859" t="inlineStr">
        <is>
          <t>56+140</t>
        </is>
      </c>
      <c r="Q1859" t="inlineStr">
        <is>
          <t>56+230</t>
        </is>
      </c>
      <c r="R1859" t="inlineStr">
        <is>
          <t>Aberta</t>
        </is>
      </c>
      <c r="T1859" t="inlineStr">
        <is>
          <t>Jeam Moreira</t>
        </is>
      </c>
      <c r="U1859" t="inlineStr">
        <is>
          <t>30/04/2026</t>
        </is>
      </c>
      <c r="V1859" t="inlineStr">
        <is>
          <t>07/05/2026</t>
        </is>
      </c>
      <c r="W1859">
        <v>34</v>
      </c>
      <c r="AA1859" t="inlineStr">
        <is>
          <t>Aberta 30-60 dias</t>
        </is>
      </c>
    </row>
    <row r="1860">
      <c r="A1860">
        <v>1864</v>
      </c>
      <c r="B1860">
        <v>2</v>
      </c>
      <c r="C1860" t="inlineStr">
        <is>
          <t>1.6</t>
        </is>
      </c>
      <c r="D1860" t="inlineStr">
        <is>
          <t>A10</t>
        </is>
      </c>
      <c r="E1860" t="inlineStr">
        <is>
          <t>LE</t>
        </is>
      </c>
      <c r="F1860" t="inlineStr">
        <is>
          <t>ATERPA</t>
        </is>
      </c>
      <c r="G1860" t="inlineStr">
        <is>
          <t>CLP-012</t>
        </is>
      </c>
      <c r="H1860" t="inlineStr">
        <is>
          <t>Fiscalização</t>
        </is>
      </c>
      <c r="I1860">
        <v>4</v>
      </c>
      <c r="J1860" t="inlineStr">
        <is>
          <t>Terraplenagem</t>
        </is>
      </c>
      <c r="K1860" t="inlineStr">
        <is>
          <t>4.11</t>
        </is>
      </c>
      <c r="L1860" t="inlineStr">
        <is>
          <t>Talude</t>
        </is>
      </c>
      <c r="M1860" t="inlineStr">
        <is>
          <t>Erosões</t>
        </is>
      </c>
      <c r="N1860" t="inlineStr">
        <is>
          <t>Formação de pequenos processos erosivos.</t>
        </is>
      </c>
      <c r="O1860" t="inlineStr">
        <is>
          <t>Tipo A</t>
        </is>
      </c>
      <c r="P1860" t="inlineStr">
        <is>
          <t>69+295</t>
        </is>
      </c>
      <c r="Q1860" t="inlineStr">
        <is>
          <t>69+295</t>
        </is>
      </c>
      <c r="R1860" t="inlineStr">
        <is>
          <t>Aberta</t>
        </is>
      </c>
      <c r="T1860" t="inlineStr">
        <is>
          <t>Jeam Moreira</t>
        </is>
      </c>
      <c r="U1860" t="inlineStr">
        <is>
          <t>30/04/2026</t>
        </is>
      </c>
      <c r="V1860" t="inlineStr">
        <is>
          <t>07/05/2026</t>
        </is>
      </c>
      <c r="W1860">
        <v>34</v>
      </c>
      <c r="AA1860" t="inlineStr">
        <is>
          <t>Aberta 30-60 dias</t>
        </is>
      </c>
    </row>
    <row r="1861">
      <c r="A1861">
        <v>1865</v>
      </c>
      <c r="B1861">
        <v>2</v>
      </c>
      <c r="C1861" t="inlineStr">
        <is>
          <t>1.6</t>
        </is>
      </c>
      <c r="D1861" t="inlineStr">
        <is>
          <t>C10</t>
        </is>
      </c>
      <c r="E1861" t="inlineStr">
        <is>
          <t>LE</t>
        </is>
      </c>
      <c r="F1861" t="inlineStr">
        <is>
          <t>ATERPA</t>
        </is>
      </c>
      <c r="G1861" t="inlineStr">
        <is>
          <t>CLP-012</t>
        </is>
      </c>
      <c r="H1861" t="inlineStr">
        <is>
          <t>Manifestação</t>
        </is>
      </c>
      <c r="I1861">
        <v>4</v>
      </c>
      <c r="J1861" t="inlineStr">
        <is>
          <t>Terraplenagem</t>
        </is>
      </c>
      <c r="K1861" t="inlineStr">
        <is>
          <t>4.11</t>
        </is>
      </c>
      <c r="L1861" t="inlineStr">
        <is>
          <t xml:space="preserve">Faixa de domínio </t>
        </is>
      </c>
      <c r="M1861" t="inlineStr">
        <is>
          <t>Assoreamento</t>
        </is>
      </c>
      <c r="N1861" t="inlineStr">
        <is>
          <t>Protocolo-106775 | O superficiário do CTD 097 (km 69 + 30,78 ao km 69 + 526,7) manifesta reclamação em relação ao carreamento material sedimentar proveniente da faixa à altura do km 69+100 para dentro de sua propriedade e carreando pelo talvegue de um córrego e assoreando totalmente a represa que fica a cerca de 150 metros da faixa de domínio à altura do km 69+300.</t>
        </is>
      </c>
      <c r="O1861" t="inlineStr">
        <is>
          <t>Tipo A</t>
        </is>
      </c>
      <c r="P1861" t="inlineStr">
        <is>
          <t>69+100</t>
        </is>
      </c>
      <c r="Q1861" t="inlineStr">
        <is>
          <t>69+300</t>
        </is>
      </c>
      <c r="R1861" t="inlineStr">
        <is>
          <t>Aberta</t>
        </is>
      </c>
      <c r="T1861" t="inlineStr">
        <is>
          <t>Jeam Moreira</t>
        </is>
      </c>
      <c r="U1861" t="inlineStr">
        <is>
          <t>30/04/2026</t>
        </is>
      </c>
      <c r="V1861" t="inlineStr">
        <is>
          <t>07/05/2026</t>
        </is>
      </c>
      <c r="W1861">
        <v>34</v>
      </c>
      <c r="AA1861" t="inlineStr">
        <is>
          <t>Aberta 30-60 dias</t>
        </is>
      </c>
    </row>
    <row r="1862">
      <c r="A1862">
        <v>1866</v>
      </c>
      <c r="B1862">
        <v>2</v>
      </c>
      <c r="C1862" t="inlineStr">
        <is>
          <t>1.6</t>
        </is>
      </c>
      <c r="D1862" t="inlineStr">
        <is>
          <t>C10</t>
        </is>
      </c>
      <c r="E1862" t="inlineStr">
        <is>
          <t>LE</t>
        </is>
      </c>
      <c r="F1862" t="inlineStr">
        <is>
          <t>ATERPA</t>
        </is>
      </c>
      <c r="G1862" t="inlineStr">
        <is>
          <t>CLP-012</t>
        </is>
      </c>
      <c r="H1862" t="inlineStr">
        <is>
          <t>Manifestação</t>
        </is>
      </c>
      <c r="I1862">
        <v>4</v>
      </c>
      <c r="J1862" t="inlineStr">
        <is>
          <t>Terraplenagem</t>
        </is>
      </c>
      <c r="K1862" t="inlineStr">
        <is>
          <t>4.11</t>
        </is>
      </c>
      <c r="L1862" t="inlineStr">
        <is>
          <t xml:space="preserve">Faixa de domínio </t>
        </is>
      </c>
      <c r="M1862" t="inlineStr">
        <is>
          <t>Cercamento danificado</t>
        </is>
      </c>
      <c r="N1862" t="inlineStr">
        <is>
          <t>Protocolo-123293 | O superficiário do CTD 073 (km 54+570 ao km 56+770) Manifesta reclamação de danos causados à cerca de vedação da faixa de domínio causado pela deposição de material (solo)  dos aterros sobre o cercamento da faixa de domínio.</t>
        </is>
      </c>
      <c r="O1862" t="inlineStr">
        <is>
          <t>Tipo A</t>
        </is>
      </c>
      <c r="P1862" t="inlineStr">
        <is>
          <t>54+770</t>
        </is>
      </c>
      <c r="Q1862" t="inlineStr">
        <is>
          <t>56+770</t>
        </is>
      </c>
      <c r="R1862" t="inlineStr">
        <is>
          <t>Aberta</t>
        </is>
      </c>
      <c r="T1862" t="inlineStr">
        <is>
          <t>Jeam Moreira</t>
        </is>
      </c>
      <c r="U1862" t="inlineStr">
        <is>
          <t>30/04/2026</t>
        </is>
      </c>
      <c r="V1862" t="inlineStr">
        <is>
          <t>07/05/2026</t>
        </is>
      </c>
      <c r="W1862">
        <v>34</v>
      </c>
      <c r="AA1862" t="inlineStr">
        <is>
          <t>Aberta 30-60 dias</t>
        </is>
      </c>
    </row>
    <row r="1863">
      <c r="A1863">
        <v>1867</v>
      </c>
      <c r="B1863">
        <v>2</v>
      </c>
      <c r="C1863" t="inlineStr">
        <is>
          <t>1.6</t>
        </is>
      </c>
      <c r="D1863" t="inlineStr">
        <is>
          <t>A01</t>
        </is>
      </c>
      <c r="F1863" t="inlineStr">
        <is>
          <t>ATERPA</t>
        </is>
      </c>
      <c r="G1863" t="inlineStr">
        <is>
          <t>CLP-012</t>
        </is>
      </c>
      <c r="H1863" t="inlineStr">
        <is>
          <t>Fiscalização</t>
        </is>
      </c>
      <c r="I1863">
        <v>4</v>
      </c>
      <c r="J1863" t="inlineStr">
        <is>
          <t>Terraplenagem</t>
        </is>
      </c>
      <c r="K1863" t="inlineStr">
        <is>
          <t>4.11</t>
        </is>
      </c>
      <c r="L1863" t="inlineStr">
        <is>
          <t>Talude</t>
        </is>
      </c>
      <c r="M1863" t="inlineStr">
        <is>
          <t>Erosões</t>
        </is>
      </c>
      <c r="N1863" t="inlineStr">
        <is>
          <t>Erosões no talude e imediações.</t>
        </is>
      </c>
      <c r="O1863" t="inlineStr">
        <is>
          <t>Tipo A</t>
        </is>
      </c>
      <c r="P1863" t="inlineStr">
        <is>
          <t>55+530</t>
        </is>
      </c>
      <c r="Q1863" t="inlineStr">
        <is>
          <t>55+530</t>
        </is>
      </c>
      <c r="R1863" t="inlineStr">
        <is>
          <t>Aberta</t>
        </is>
      </c>
      <c r="T1863" t="inlineStr">
        <is>
          <t>Jeam Moreira</t>
        </is>
      </c>
      <c r="U1863" t="inlineStr">
        <is>
          <t>30/04/2026</t>
        </is>
      </c>
      <c r="V1863" t="inlineStr">
        <is>
          <t>07/05/2026</t>
        </is>
      </c>
      <c r="W1863">
        <v>34</v>
      </c>
      <c r="AA1863" t="inlineStr">
        <is>
          <t>Aberta 30-60 dias</t>
        </is>
      </c>
    </row>
    <row r="1864">
      <c r="A1864">
        <v>1868</v>
      </c>
      <c r="B1864">
        <v>2</v>
      </c>
      <c r="C1864" t="inlineStr">
        <is>
          <t>1.6</t>
        </is>
      </c>
      <c r="D1864" t="inlineStr">
        <is>
          <t>A01</t>
        </is>
      </c>
      <c r="F1864" t="inlineStr">
        <is>
          <t>ATERPA</t>
        </is>
      </c>
      <c r="G1864" t="inlineStr">
        <is>
          <t>CLP-012</t>
        </is>
      </c>
      <c r="H1864" t="inlineStr">
        <is>
          <t>Fiscalização</t>
        </is>
      </c>
      <c r="I1864">
        <v>4</v>
      </c>
      <c r="J1864" t="inlineStr">
        <is>
          <t>Terraplenagem</t>
        </is>
      </c>
      <c r="K1864" t="inlineStr">
        <is>
          <t>4.11</t>
        </is>
      </c>
      <c r="L1864" t="inlineStr">
        <is>
          <t>Talude</t>
        </is>
      </c>
      <c r="M1864" t="inlineStr">
        <is>
          <t>Erosões</t>
        </is>
      </c>
      <c r="N1864" t="inlineStr">
        <is>
          <t>Erosões no talude e imediações.</t>
        </is>
      </c>
      <c r="O1864" t="inlineStr">
        <is>
          <t>Tipo A</t>
        </is>
      </c>
      <c r="P1864" t="inlineStr">
        <is>
          <t>55+530</t>
        </is>
      </c>
      <c r="Q1864" t="inlineStr">
        <is>
          <t>55+770</t>
        </is>
      </c>
      <c r="R1864" t="inlineStr">
        <is>
          <t>Aberta</t>
        </is>
      </c>
      <c r="T1864" t="inlineStr">
        <is>
          <t>Jeam Moreira</t>
        </is>
      </c>
      <c r="U1864" t="inlineStr">
        <is>
          <t>30/04/2026</t>
        </is>
      </c>
      <c r="V1864" t="inlineStr">
        <is>
          <t>07/05/2026</t>
        </is>
      </c>
      <c r="W1864">
        <v>34</v>
      </c>
      <c r="AA1864" t="inlineStr">
        <is>
          <t>Aberta 30-60 dias</t>
        </is>
      </c>
    </row>
    <row r="1865">
      <c r="A1865">
        <v>1869</v>
      </c>
      <c r="B1865">
        <v>2</v>
      </c>
      <c r="C1865" t="inlineStr">
        <is>
          <t>1.6</t>
        </is>
      </c>
      <c r="D1865" t="inlineStr">
        <is>
          <t>C02</t>
        </is>
      </c>
      <c r="F1865" t="inlineStr">
        <is>
          <t>ATERPA</t>
        </is>
      </c>
      <c r="G1865" t="inlineStr">
        <is>
          <t>CLP-012</t>
        </is>
      </c>
      <c r="H1865" t="inlineStr">
        <is>
          <t>Fiscalização</t>
        </is>
      </c>
      <c r="I1865">
        <v>4</v>
      </c>
      <c r="J1865" t="inlineStr">
        <is>
          <t>Terraplenagem</t>
        </is>
      </c>
      <c r="K1865" t="inlineStr">
        <is>
          <t>4.11</t>
        </is>
      </c>
      <c r="L1865" t="inlineStr">
        <is>
          <t>Talude</t>
        </is>
      </c>
      <c r="M1865" t="inlineStr">
        <is>
          <t>Erosões</t>
        </is>
      </c>
      <c r="N1865" t="inlineStr">
        <is>
          <t>Erosões no talude e imediações.</t>
        </is>
      </c>
      <c r="O1865" t="inlineStr">
        <is>
          <t>Tipo A</t>
        </is>
      </c>
      <c r="P1865" t="inlineStr">
        <is>
          <t>55+740</t>
        </is>
      </c>
      <c r="Q1865" t="inlineStr">
        <is>
          <t>55+740</t>
        </is>
      </c>
      <c r="R1865" t="inlineStr">
        <is>
          <t>Aberta</t>
        </is>
      </c>
      <c r="T1865" t="inlineStr">
        <is>
          <t>Jeam Moreira</t>
        </is>
      </c>
      <c r="U1865" t="inlineStr">
        <is>
          <t>30/04/2026</t>
        </is>
      </c>
      <c r="V1865" t="inlineStr">
        <is>
          <t>07/05/2026</t>
        </is>
      </c>
      <c r="W1865">
        <v>34</v>
      </c>
      <c r="AA1865" t="inlineStr">
        <is>
          <t>Aberta 30-60 dias</t>
        </is>
      </c>
    </row>
    <row r="1866">
      <c r="A1866">
        <v>1870</v>
      </c>
      <c r="B1866">
        <v>2</v>
      </c>
      <c r="C1866" t="inlineStr">
        <is>
          <t>1.6</t>
        </is>
      </c>
      <c r="D1866" t="inlineStr">
        <is>
          <t>C04</t>
        </is>
      </c>
      <c r="F1866" t="inlineStr">
        <is>
          <t>ATERPA</t>
        </is>
      </c>
      <c r="G1866" t="inlineStr">
        <is>
          <t>CLP-012</t>
        </is>
      </c>
      <c r="H1866" t="inlineStr">
        <is>
          <t>Fiscalização</t>
        </is>
      </c>
      <c r="I1866">
        <v>4</v>
      </c>
      <c r="J1866" t="inlineStr">
        <is>
          <t>Terraplenagem</t>
        </is>
      </c>
      <c r="K1866" t="inlineStr">
        <is>
          <t>4.11</t>
        </is>
      </c>
      <c r="L1866" t="inlineStr">
        <is>
          <t>Talude</t>
        </is>
      </c>
      <c r="M1866" t="inlineStr">
        <is>
          <t>Erosões</t>
        </is>
      </c>
      <c r="N1866" t="inlineStr">
        <is>
          <t>Erosões e solapamento descida d'água.</t>
        </is>
      </c>
      <c r="O1866" t="inlineStr">
        <is>
          <t>Tipo A</t>
        </is>
      </c>
      <c r="P1866" t="inlineStr">
        <is>
          <t>56+460</t>
        </is>
      </c>
      <c r="Q1866" t="inlineStr">
        <is>
          <t>56+460</t>
        </is>
      </c>
      <c r="R1866" t="inlineStr">
        <is>
          <t>Aberta</t>
        </is>
      </c>
      <c r="T1866" t="inlineStr">
        <is>
          <t>Jeam Moreira</t>
        </is>
      </c>
      <c r="U1866" t="inlineStr">
        <is>
          <t>30/04/2026</t>
        </is>
      </c>
      <c r="V1866" t="inlineStr">
        <is>
          <t>07/05/2026</t>
        </is>
      </c>
      <c r="W1866">
        <v>34</v>
      </c>
      <c r="AA1866" t="inlineStr">
        <is>
          <t>Aberta 30-60 dias</t>
        </is>
      </c>
    </row>
    <row r="1867">
      <c r="A1867">
        <v>1871</v>
      </c>
      <c r="B1867">
        <v>2</v>
      </c>
      <c r="C1867" t="inlineStr">
        <is>
          <t>1.6</t>
        </is>
      </c>
      <c r="D1867" t="inlineStr">
        <is>
          <t>C04</t>
        </is>
      </c>
      <c r="F1867" t="inlineStr">
        <is>
          <t>ATERPA</t>
        </is>
      </c>
      <c r="G1867" t="inlineStr">
        <is>
          <t>CLP-012</t>
        </is>
      </c>
      <c r="H1867" t="inlineStr">
        <is>
          <t>Fiscalização</t>
        </is>
      </c>
      <c r="I1867">
        <v>4</v>
      </c>
      <c r="J1867" t="inlineStr">
        <is>
          <t>Terraplenagem</t>
        </is>
      </c>
      <c r="K1867" t="inlineStr">
        <is>
          <t>4.11</t>
        </is>
      </c>
      <c r="L1867" t="inlineStr">
        <is>
          <t>Talude</t>
        </is>
      </c>
      <c r="M1867" t="inlineStr">
        <is>
          <t>Erosões</t>
        </is>
      </c>
      <c r="N1867" t="inlineStr">
        <is>
          <t>Deslizamentos de talude.</t>
        </is>
      </c>
      <c r="O1867" t="inlineStr">
        <is>
          <t>Tipo A</t>
        </is>
      </c>
      <c r="P1867" t="inlineStr">
        <is>
          <t>56+700</t>
        </is>
      </c>
      <c r="Q1867" t="inlineStr">
        <is>
          <t>56+700</t>
        </is>
      </c>
      <c r="R1867" t="inlineStr">
        <is>
          <t>Aberta</t>
        </is>
      </c>
      <c r="T1867" t="inlineStr">
        <is>
          <t>Jeam Moreira</t>
        </is>
      </c>
      <c r="U1867" t="inlineStr">
        <is>
          <t>30/04/2026</t>
        </is>
      </c>
      <c r="V1867" t="inlineStr">
        <is>
          <t>07/05/2026</t>
        </is>
      </c>
      <c r="W1867">
        <v>34</v>
      </c>
      <c r="AA1867" t="inlineStr">
        <is>
          <t>Aberta 30-60 dias</t>
        </is>
      </c>
    </row>
    <row r="1868">
      <c r="A1868">
        <v>1872</v>
      </c>
      <c r="B1868">
        <v>2</v>
      </c>
      <c r="C1868" t="inlineStr">
        <is>
          <t>1.6</t>
        </is>
      </c>
      <c r="D1868" t="inlineStr">
        <is>
          <t>C04</t>
        </is>
      </c>
      <c r="F1868" t="inlineStr">
        <is>
          <t>ATERPA</t>
        </is>
      </c>
      <c r="G1868" t="inlineStr">
        <is>
          <t>CLP-012</t>
        </is>
      </c>
      <c r="H1868" t="inlineStr">
        <is>
          <t>Fiscalização</t>
        </is>
      </c>
      <c r="I1868">
        <v>4</v>
      </c>
      <c r="J1868" t="inlineStr">
        <is>
          <t>Terraplenagem</t>
        </is>
      </c>
      <c r="K1868" t="inlineStr">
        <is>
          <t>4.11</t>
        </is>
      </c>
      <c r="L1868" t="inlineStr">
        <is>
          <t>Talude</t>
        </is>
      </c>
      <c r="M1868" t="inlineStr">
        <is>
          <t>Erosões</t>
        </is>
      </c>
      <c r="N1868" t="inlineStr">
        <is>
          <t>Reincidências de deslizamentos de talude.</t>
        </is>
      </c>
      <c r="O1868" t="inlineStr">
        <is>
          <t>Tipo A</t>
        </is>
      </c>
      <c r="P1868" t="inlineStr">
        <is>
          <t>56+740</t>
        </is>
      </c>
      <c r="Q1868" t="inlineStr">
        <is>
          <t>56+740</t>
        </is>
      </c>
      <c r="R1868" t="inlineStr">
        <is>
          <t>Aberta</t>
        </is>
      </c>
      <c r="T1868" t="inlineStr">
        <is>
          <t>Jeam Moreira</t>
        </is>
      </c>
      <c r="U1868" t="inlineStr">
        <is>
          <t>30/04/2026</t>
        </is>
      </c>
      <c r="V1868" t="inlineStr">
        <is>
          <t>07/05/2026</t>
        </is>
      </c>
      <c r="W1868">
        <v>34</v>
      </c>
      <c r="AA1868" t="inlineStr">
        <is>
          <t>Aberta 30-60 dias</t>
        </is>
      </c>
    </row>
    <row r="1869">
      <c r="A1869">
        <v>1873</v>
      </c>
      <c r="B1869">
        <v>2</v>
      </c>
      <c r="C1869" t="inlineStr">
        <is>
          <t>1.6</t>
        </is>
      </c>
      <c r="D1869" t="inlineStr">
        <is>
          <t>C04</t>
        </is>
      </c>
      <c r="F1869" t="inlineStr">
        <is>
          <t>ATERPA</t>
        </is>
      </c>
      <c r="G1869" t="inlineStr">
        <is>
          <t>CLP-012</t>
        </is>
      </c>
      <c r="H1869" t="inlineStr">
        <is>
          <t>Fiscalização</t>
        </is>
      </c>
      <c r="I1869">
        <v>4</v>
      </c>
      <c r="J1869" t="inlineStr">
        <is>
          <t>Terraplenagem</t>
        </is>
      </c>
      <c r="K1869" t="inlineStr">
        <is>
          <t>4.11</t>
        </is>
      </c>
      <c r="L1869" t="inlineStr">
        <is>
          <t>Talude</t>
        </is>
      </c>
      <c r="M1869" t="inlineStr">
        <is>
          <t>Erosões</t>
        </is>
      </c>
      <c r="N1869" t="inlineStr">
        <is>
          <t>Reincidências de deslizamentos de talude.</t>
        </is>
      </c>
      <c r="O1869" t="inlineStr">
        <is>
          <t>Tipo A</t>
        </is>
      </c>
      <c r="P1869" t="inlineStr">
        <is>
          <t>56+800</t>
        </is>
      </c>
      <c r="Q1869" t="inlineStr">
        <is>
          <t>56+800</t>
        </is>
      </c>
      <c r="R1869" t="inlineStr">
        <is>
          <t>Aberta</t>
        </is>
      </c>
      <c r="T1869" t="inlineStr">
        <is>
          <t>Jeam Moreira</t>
        </is>
      </c>
      <c r="U1869" t="inlineStr">
        <is>
          <t>30/04/2026</t>
        </is>
      </c>
      <c r="V1869" t="inlineStr">
        <is>
          <t>07/05/2026</t>
        </is>
      </c>
      <c r="W1869">
        <v>34</v>
      </c>
      <c r="AA1869" t="inlineStr">
        <is>
          <t>Aberta 30-60 dias</t>
        </is>
      </c>
    </row>
    <row r="1870">
      <c r="A1870">
        <v>1874</v>
      </c>
      <c r="B1870">
        <v>2</v>
      </c>
      <c r="C1870" t="inlineStr">
        <is>
          <t>1.6</t>
        </is>
      </c>
      <c r="D1870" t="inlineStr">
        <is>
          <t>C04</t>
        </is>
      </c>
      <c r="E1870" t="inlineStr">
        <is>
          <t>LE</t>
        </is>
      </c>
      <c r="F1870" t="inlineStr">
        <is>
          <t>ATERPA</t>
        </is>
      </c>
      <c r="G1870" t="inlineStr">
        <is>
          <t>CLP-012</t>
        </is>
      </c>
      <c r="H1870" t="inlineStr">
        <is>
          <t>Fiscalização</t>
        </is>
      </c>
      <c r="I1870">
        <v>4</v>
      </c>
      <c r="J1870" t="inlineStr">
        <is>
          <t>Terraplenagem</t>
        </is>
      </c>
      <c r="K1870" t="inlineStr">
        <is>
          <t>4.11</t>
        </is>
      </c>
      <c r="L1870" t="inlineStr">
        <is>
          <t>Talude</t>
        </is>
      </c>
      <c r="M1870" t="inlineStr">
        <is>
          <t>Erosões</t>
        </is>
      </c>
      <c r="N1870" t="inlineStr">
        <is>
          <t>Deslizamentos de talude.</t>
        </is>
      </c>
      <c r="O1870" t="inlineStr">
        <is>
          <t>Tipo A</t>
        </is>
      </c>
      <c r="P1870" t="inlineStr">
        <is>
          <t>56+860</t>
        </is>
      </c>
      <c r="Q1870" t="inlineStr">
        <is>
          <t>56+860</t>
        </is>
      </c>
      <c r="R1870" t="inlineStr">
        <is>
          <t>Aberta</t>
        </is>
      </c>
      <c r="T1870" t="inlineStr">
        <is>
          <t>Jeam Moreira</t>
        </is>
      </c>
      <c r="U1870" t="inlineStr">
        <is>
          <t>30/04/2026</t>
        </is>
      </c>
      <c r="V1870" t="inlineStr">
        <is>
          <t>07/05/2026</t>
        </is>
      </c>
      <c r="W1870">
        <v>34</v>
      </c>
      <c r="AA1870" t="inlineStr">
        <is>
          <t>Aberta 30-60 dias</t>
        </is>
      </c>
    </row>
    <row r="1871">
      <c r="A1871">
        <v>1875</v>
      </c>
      <c r="B1871">
        <v>2</v>
      </c>
      <c r="C1871" t="inlineStr">
        <is>
          <t>1.6</t>
        </is>
      </c>
      <c r="D1871" t="inlineStr">
        <is>
          <t>C04</t>
        </is>
      </c>
      <c r="E1871" t="inlineStr">
        <is>
          <t>LE</t>
        </is>
      </c>
      <c r="F1871" t="inlineStr">
        <is>
          <t>ATERPA</t>
        </is>
      </c>
      <c r="G1871" t="inlineStr">
        <is>
          <t>CLP-012</t>
        </is>
      </c>
      <c r="H1871" t="inlineStr">
        <is>
          <t>Fiscalização</t>
        </is>
      </c>
      <c r="I1871">
        <v>4</v>
      </c>
      <c r="J1871" t="inlineStr">
        <is>
          <t>Terraplenagem</t>
        </is>
      </c>
      <c r="K1871" t="inlineStr">
        <is>
          <t>4.11</t>
        </is>
      </c>
      <c r="L1871" t="inlineStr">
        <is>
          <t>Talude</t>
        </is>
      </c>
      <c r="M1871" t="inlineStr">
        <is>
          <t>Erosões</t>
        </is>
      </c>
      <c r="N1871" t="inlineStr">
        <is>
          <t>Deslizamentos de talude.</t>
        </is>
      </c>
      <c r="O1871" t="inlineStr">
        <is>
          <t>Tipo A</t>
        </is>
      </c>
      <c r="P1871" t="inlineStr">
        <is>
          <t>56+880</t>
        </is>
      </c>
      <c r="Q1871" t="inlineStr">
        <is>
          <t>56+880</t>
        </is>
      </c>
      <c r="R1871" t="inlineStr">
        <is>
          <t>Aberta</t>
        </is>
      </c>
      <c r="T1871" t="inlineStr">
        <is>
          <t>Jeam Moreira</t>
        </is>
      </c>
      <c r="U1871" t="inlineStr">
        <is>
          <t>30/04/2026</t>
        </is>
      </c>
      <c r="V1871" t="inlineStr">
        <is>
          <t>07/05/2026</t>
        </is>
      </c>
      <c r="W1871">
        <v>34</v>
      </c>
      <c r="AA1871" t="inlineStr">
        <is>
          <t>Aberta 30-60 dias</t>
        </is>
      </c>
    </row>
    <row r="1872">
      <c r="A1872">
        <v>1876</v>
      </c>
      <c r="B1872">
        <v>2</v>
      </c>
      <c r="C1872" t="inlineStr">
        <is>
          <t>1.6</t>
        </is>
      </c>
      <c r="D1872" t="inlineStr">
        <is>
          <t>C04</t>
        </is>
      </c>
      <c r="E1872" t="inlineStr">
        <is>
          <t>LE</t>
        </is>
      </c>
      <c r="F1872" t="inlineStr">
        <is>
          <t>ATERPA</t>
        </is>
      </c>
      <c r="G1872" t="inlineStr">
        <is>
          <t>CLP-012</t>
        </is>
      </c>
      <c r="H1872" t="inlineStr">
        <is>
          <t>Fiscalização</t>
        </is>
      </c>
      <c r="I1872">
        <v>4</v>
      </c>
      <c r="J1872" t="inlineStr">
        <is>
          <t>Terraplenagem</t>
        </is>
      </c>
      <c r="K1872" t="inlineStr">
        <is>
          <t>4.11</t>
        </is>
      </c>
      <c r="L1872" t="inlineStr">
        <is>
          <t>Talude</t>
        </is>
      </c>
      <c r="M1872" t="inlineStr">
        <is>
          <t>Erosões</t>
        </is>
      </c>
      <c r="N1872" t="inlineStr">
        <is>
          <t>Deslizamentos de talude.</t>
        </is>
      </c>
      <c r="O1872" t="inlineStr">
        <is>
          <t>Tipo A</t>
        </is>
      </c>
      <c r="P1872" t="inlineStr">
        <is>
          <t>56+900</t>
        </is>
      </c>
      <c r="Q1872" t="inlineStr">
        <is>
          <t>56+900</t>
        </is>
      </c>
      <c r="R1872" t="inlineStr">
        <is>
          <t>Aberta</t>
        </is>
      </c>
      <c r="T1872" t="inlineStr">
        <is>
          <t>Jeam Moreira</t>
        </is>
      </c>
      <c r="U1872" t="inlineStr">
        <is>
          <t>30/04/2026</t>
        </is>
      </c>
      <c r="V1872" t="inlineStr">
        <is>
          <t>07/05/2026</t>
        </is>
      </c>
      <c r="W1872">
        <v>34</v>
      </c>
      <c r="AA1872" t="inlineStr">
        <is>
          <t>Aberta 30-60 dias</t>
        </is>
      </c>
    </row>
    <row r="1873">
      <c r="A1873">
        <v>1877</v>
      </c>
      <c r="B1873">
        <v>2</v>
      </c>
      <c r="C1873" t="inlineStr">
        <is>
          <t>1.6</t>
        </is>
      </c>
      <c r="D1873" t="inlineStr">
        <is>
          <t>C04</t>
        </is>
      </c>
      <c r="E1873" t="inlineStr">
        <is>
          <t>LE</t>
        </is>
      </c>
      <c r="F1873" t="inlineStr">
        <is>
          <t>ATERPA</t>
        </is>
      </c>
      <c r="G1873" t="inlineStr">
        <is>
          <t>CLP-012</t>
        </is>
      </c>
      <c r="H1873" t="inlineStr">
        <is>
          <t>Fiscalização</t>
        </is>
      </c>
      <c r="I1873">
        <v>4</v>
      </c>
      <c r="J1873" t="inlineStr">
        <is>
          <t>Terraplenagem</t>
        </is>
      </c>
      <c r="K1873" t="inlineStr">
        <is>
          <t>4.11</t>
        </is>
      </c>
      <c r="L1873" t="inlineStr">
        <is>
          <t>Talude</t>
        </is>
      </c>
      <c r="M1873" t="inlineStr">
        <is>
          <t>Erosões</t>
        </is>
      </c>
      <c r="N1873" t="inlineStr">
        <is>
          <t>Deslizamentos de talude.</t>
        </is>
      </c>
      <c r="O1873" t="inlineStr">
        <is>
          <t>Tipo A</t>
        </is>
      </c>
      <c r="P1873" t="inlineStr">
        <is>
          <t>56+915</t>
        </is>
      </c>
      <c r="Q1873" t="inlineStr">
        <is>
          <t>56+915</t>
        </is>
      </c>
      <c r="R1873" t="inlineStr">
        <is>
          <t>Aberta</t>
        </is>
      </c>
      <c r="T1873" t="inlineStr">
        <is>
          <t>Jeam Moreira</t>
        </is>
      </c>
      <c r="U1873" t="inlineStr">
        <is>
          <t>30/04/2026</t>
        </is>
      </c>
      <c r="V1873" t="inlineStr">
        <is>
          <t>07/05/2026</t>
        </is>
      </c>
      <c r="W1873">
        <v>34</v>
      </c>
      <c r="AA1873" t="inlineStr">
        <is>
          <t>Aberta 30-60 dias</t>
        </is>
      </c>
    </row>
    <row r="1874">
      <c r="A1874">
        <v>1878</v>
      </c>
      <c r="B1874">
        <v>2</v>
      </c>
      <c r="C1874" t="inlineStr">
        <is>
          <t>1.6</t>
        </is>
      </c>
      <c r="D1874" t="inlineStr">
        <is>
          <t>C04</t>
        </is>
      </c>
      <c r="E1874" t="inlineStr">
        <is>
          <t>LE</t>
        </is>
      </c>
      <c r="F1874" t="inlineStr">
        <is>
          <t>ATERPA</t>
        </is>
      </c>
      <c r="G1874" t="inlineStr">
        <is>
          <t>CLP-012</t>
        </is>
      </c>
      <c r="H1874" t="inlineStr">
        <is>
          <t>Fiscalização</t>
        </is>
      </c>
      <c r="I1874">
        <v>4</v>
      </c>
      <c r="J1874" t="inlineStr">
        <is>
          <t>Terraplenagem</t>
        </is>
      </c>
      <c r="K1874" t="inlineStr">
        <is>
          <t>4.11</t>
        </is>
      </c>
      <c r="L1874" t="inlineStr">
        <is>
          <t>Talude</t>
        </is>
      </c>
      <c r="M1874" t="inlineStr">
        <is>
          <t>Erosões</t>
        </is>
      </c>
      <c r="N1874" t="inlineStr">
        <is>
          <t>Deslizamentos de talude.</t>
        </is>
      </c>
      <c r="O1874" t="inlineStr">
        <is>
          <t>Tipo A</t>
        </is>
      </c>
      <c r="P1874" t="inlineStr">
        <is>
          <t>56+960</t>
        </is>
      </c>
      <c r="Q1874" t="inlineStr">
        <is>
          <t>56+960</t>
        </is>
      </c>
      <c r="R1874" t="inlineStr">
        <is>
          <t>Aberta</t>
        </is>
      </c>
      <c r="T1874" t="inlineStr">
        <is>
          <t>Jeam Moreira</t>
        </is>
      </c>
      <c r="U1874" t="inlineStr">
        <is>
          <t>30/04/2026</t>
        </is>
      </c>
      <c r="V1874" t="inlineStr">
        <is>
          <t>07/05/2026</t>
        </is>
      </c>
      <c r="W1874">
        <v>34</v>
      </c>
      <c r="AA1874" t="inlineStr">
        <is>
          <t>Aberta 30-60 dias</t>
        </is>
      </c>
    </row>
    <row r="1875">
      <c r="A1875">
        <v>1879</v>
      </c>
      <c r="B1875">
        <v>2</v>
      </c>
      <c r="C1875" t="inlineStr">
        <is>
          <t>1.6</t>
        </is>
      </c>
      <c r="D1875" t="inlineStr">
        <is>
          <t>A06</t>
        </is>
      </c>
      <c r="F1875" t="inlineStr">
        <is>
          <t>ATERPA</t>
        </is>
      </c>
      <c r="G1875" t="inlineStr">
        <is>
          <t>CLP-012</t>
        </is>
      </c>
      <c r="H1875" t="inlineStr">
        <is>
          <t>Fiscalização</t>
        </is>
      </c>
      <c r="I1875">
        <v>4</v>
      </c>
      <c r="J1875" t="inlineStr">
        <is>
          <t>Terraplenagem</t>
        </is>
      </c>
      <c r="K1875" t="inlineStr">
        <is>
          <t>4.11</t>
        </is>
      </c>
      <c r="L1875" t="inlineStr">
        <is>
          <t>Talude</t>
        </is>
      </c>
      <c r="M1875" t="inlineStr">
        <is>
          <t>Erosões</t>
        </is>
      </c>
      <c r="N1875" t="inlineStr">
        <is>
          <t>Erosões nos taludes e sarjetas assoreadas.</t>
        </is>
      </c>
      <c r="O1875" t="inlineStr">
        <is>
          <t>Tipo A</t>
        </is>
      </c>
      <c r="P1875" t="inlineStr">
        <is>
          <t>59+660</t>
        </is>
      </c>
      <c r="Q1875" t="inlineStr">
        <is>
          <t>62+600</t>
        </is>
      </c>
      <c r="R1875" t="inlineStr">
        <is>
          <t>Aberta</t>
        </is>
      </c>
      <c r="T1875" t="inlineStr">
        <is>
          <t>Jeam Moreira</t>
        </is>
      </c>
      <c r="U1875" t="inlineStr">
        <is>
          <t>30/04/2026</t>
        </is>
      </c>
      <c r="V1875" t="inlineStr">
        <is>
          <t>07/05/2026</t>
        </is>
      </c>
      <c r="W1875">
        <v>34</v>
      </c>
      <c r="AA1875" t="inlineStr">
        <is>
          <t>Aberta 30-60 dias</t>
        </is>
      </c>
    </row>
    <row r="1876">
      <c r="A1876">
        <v>1880</v>
      </c>
      <c r="B1876">
        <v>2</v>
      </c>
      <c r="C1876" t="inlineStr">
        <is>
          <t>1.6</t>
        </is>
      </c>
      <c r="D1876" t="inlineStr">
        <is>
          <t>C10</t>
        </is>
      </c>
      <c r="E1876" t="inlineStr">
        <is>
          <t>LE</t>
        </is>
      </c>
      <c r="F1876" t="inlineStr">
        <is>
          <t>ATERPA</t>
        </is>
      </c>
      <c r="G1876" t="inlineStr">
        <is>
          <t>CLP-012</t>
        </is>
      </c>
      <c r="H1876" t="inlineStr">
        <is>
          <t>Fiscalização</t>
        </is>
      </c>
      <c r="I1876">
        <v>4</v>
      </c>
      <c r="J1876" t="inlineStr">
        <is>
          <t>Terraplenagem</t>
        </is>
      </c>
      <c r="K1876" t="inlineStr">
        <is>
          <t>4.11</t>
        </is>
      </c>
      <c r="L1876" t="inlineStr">
        <is>
          <t>Acesso</t>
        </is>
      </c>
      <c r="M1876" t="inlineStr">
        <is>
          <t>Erosões</t>
        </is>
      </c>
      <c r="N1876" t="inlineStr">
        <is>
          <t>Estrada de acesso: Formação de processos erosivos, dispositivos de drenagem obstruídos, lixiviação do concreto da canaleta e bacia de captação assoreada.</t>
        </is>
      </c>
      <c r="O1876" t="inlineStr">
        <is>
          <t>Tipo A</t>
        </is>
      </c>
      <c r="P1876" t="inlineStr">
        <is>
          <t>67+240</t>
        </is>
      </c>
      <c r="Q1876" t="inlineStr">
        <is>
          <t>67+240</t>
        </is>
      </c>
      <c r="R1876" t="inlineStr">
        <is>
          <t>Aberta</t>
        </is>
      </c>
      <c r="T1876" t="inlineStr">
        <is>
          <t>Jeam Moreira</t>
        </is>
      </c>
      <c r="U1876" t="inlineStr">
        <is>
          <t>30/04/2026</t>
        </is>
      </c>
      <c r="V1876" t="inlineStr">
        <is>
          <t>07/05/2026</t>
        </is>
      </c>
      <c r="W1876">
        <v>34</v>
      </c>
      <c r="AA1876" t="inlineStr">
        <is>
          <t>Aberta 30-60 dias</t>
        </is>
      </c>
    </row>
    <row r="1877">
      <c r="A1877">
        <v>1881</v>
      </c>
      <c r="B1877">
        <v>2</v>
      </c>
      <c r="C1877" t="inlineStr">
        <is>
          <t>1.6</t>
        </is>
      </c>
      <c r="D1877" t="inlineStr">
        <is>
          <t>C10</t>
        </is>
      </c>
      <c r="F1877" t="inlineStr">
        <is>
          <t>ATERPA</t>
        </is>
      </c>
      <c r="G1877" t="inlineStr">
        <is>
          <t>CLP-012</t>
        </is>
      </c>
      <c r="H1877" t="inlineStr">
        <is>
          <t>Fiscalização</t>
        </is>
      </c>
      <c r="I1877">
        <v>4</v>
      </c>
      <c r="J1877" t="inlineStr">
        <is>
          <t>Terraplenagem</t>
        </is>
      </c>
      <c r="K1877" t="inlineStr">
        <is>
          <t>4.11</t>
        </is>
      </c>
      <c r="L1877" t="inlineStr">
        <is>
          <t>Talude</t>
        </is>
      </c>
      <c r="M1877" t="inlineStr">
        <is>
          <t>Erosões</t>
        </is>
      </c>
      <c r="N1877" t="inlineStr">
        <is>
          <t>Pontos de erosão e deslizamentos nos taludes ao longo do corte.</t>
        </is>
      </c>
      <c r="O1877" t="inlineStr">
        <is>
          <t>Tipo A</t>
        </is>
      </c>
      <c r="P1877" t="inlineStr">
        <is>
          <t>67+260</t>
        </is>
      </c>
      <c r="Q1877" t="inlineStr">
        <is>
          <t>69+280</t>
        </is>
      </c>
      <c r="R1877" t="inlineStr">
        <is>
          <t>Aberta</t>
        </is>
      </c>
      <c r="T1877" t="inlineStr">
        <is>
          <t>Jeam Moreira</t>
        </is>
      </c>
      <c r="U1877" t="inlineStr">
        <is>
          <t>30/04/2026</t>
        </is>
      </c>
      <c r="V1877" t="inlineStr">
        <is>
          <t>07/05/2026</t>
        </is>
      </c>
      <c r="W1877">
        <v>34</v>
      </c>
      <c r="AA1877" t="inlineStr">
        <is>
          <t>Aberta 30-60 dias</t>
        </is>
      </c>
    </row>
    <row r="1878">
      <c r="A1878">
        <v>1882</v>
      </c>
      <c r="B1878">
        <v>2</v>
      </c>
      <c r="C1878" t="inlineStr">
        <is>
          <t>1.6</t>
        </is>
      </c>
      <c r="D1878" t="inlineStr">
        <is>
          <t>A10</t>
        </is>
      </c>
      <c r="F1878" t="inlineStr">
        <is>
          <t>ATERPA</t>
        </is>
      </c>
      <c r="G1878" t="inlineStr">
        <is>
          <t>CLP-012</t>
        </is>
      </c>
      <c r="H1878" t="inlineStr">
        <is>
          <t>Fiscalização</t>
        </is>
      </c>
      <c r="I1878">
        <v>4</v>
      </c>
      <c r="J1878" t="inlineStr">
        <is>
          <t>Terraplenagem</t>
        </is>
      </c>
      <c r="K1878" t="inlineStr">
        <is>
          <t>4.11</t>
        </is>
      </c>
      <c r="L1878" t="inlineStr">
        <is>
          <t>Talude</t>
        </is>
      </c>
      <c r="M1878" t="inlineStr">
        <is>
          <t>Erosões</t>
        </is>
      </c>
      <c r="N1878" t="inlineStr">
        <is>
          <t>Formação de processos erosivos.</t>
        </is>
      </c>
      <c r="O1878" t="inlineStr">
        <is>
          <t>Tipo A</t>
        </is>
      </c>
      <c r="P1878" t="inlineStr">
        <is>
          <t>69+720</t>
        </is>
      </c>
      <c r="Q1878" t="inlineStr">
        <is>
          <t>69+720</t>
        </is>
      </c>
      <c r="R1878" t="inlineStr">
        <is>
          <t>Aberta</t>
        </is>
      </c>
      <c r="T1878" t="inlineStr">
        <is>
          <t>Jeam Moreira</t>
        </is>
      </c>
      <c r="U1878" t="inlineStr">
        <is>
          <t>30/04/2026</t>
        </is>
      </c>
      <c r="V1878" t="inlineStr">
        <is>
          <t>07/05/2026</t>
        </is>
      </c>
      <c r="W1878">
        <v>34</v>
      </c>
      <c r="AA1878" t="inlineStr">
        <is>
          <t>Aberta 30-60 dias</t>
        </is>
      </c>
    </row>
    <row r="1879">
      <c r="A1879">
        <v>1883</v>
      </c>
      <c r="B1879">
        <v>2</v>
      </c>
      <c r="C1879" t="inlineStr">
        <is>
          <t>1.6</t>
        </is>
      </c>
      <c r="D1879" t="inlineStr">
        <is>
          <t>C12</t>
        </is>
      </c>
      <c r="F1879" t="inlineStr">
        <is>
          <t>ATERPA</t>
        </is>
      </c>
      <c r="G1879" t="inlineStr">
        <is>
          <t>CLP-012</t>
        </is>
      </c>
      <c r="H1879" t="inlineStr">
        <is>
          <t>Fiscalização</t>
        </is>
      </c>
      <c r="I1879">
        <v>4</v>
      </c>
      <c r="J1879" t="inlineStr">
        <is>
          <t>Terraplenagem</t>
        </is>
      </c>
      <c r="K1879" t="inlineStr">
        <is>
          <t>4.11</t>
        </is>
      </c>
      <c r="L1879" t="inlineStr">
        <is>
          <t>Talude</t>
        </is>
      </c>
      <c r="M1879" t="inlineStr">
        <is>
          <t>Erosões</t>
        </is>
      </c>
      <c r="N1879" t="inlineStr">
        <is>
          <t>Formação de processos erosivos.</t>
        </is>
      </c>
      <c r="O1879" t="inlineStr">
        <is>
          <t>Tipo A</t>
        </is>
      </c>
      <c r="P1879" t="inlineStr">
        <is>
          <t>69+740</t>
        </is>
      </c>
      <c r="Q1879" t="inlineStr">
        <is>
          <t>79+560</t>
        </is>
      </c>
      <c r="R1879" t="inlineStr">
        <is>
          <t>Aberta</t>
        </is>
      </c>
      <c r="T1879" t="inlineStr">
        <is>
          <t>Jeam Moreira</t>
        </is>
      </c>
      <c r="U1879" t="inlineStr">
        <is>
          <t>30/04/2026</t>
        </is>
      </c>
      <c r="V1879" t="inlineStr">
        <is>
          <t>07/05/2026</t>
        </is>
      </c>
      <c r="W1879">
        <v>34</v>
      </c>
      <c r="AA1879" t="inlineStr">
        <is>
          <t>Aberta 30-60 dias</t>
        </is>
      </c>
    </row>
    <row r="1880">
      <c r="A1880">
        <v>1884</v>
      </c>
      <c r="B1880">
        <v>2</v>
      </c>
      <c r="C1880" t="inlineStr">
        <is>
          <t>1.6</t>
        </is>
      </c>
      <c r="D1880" t="inlineStr">
        <is>
          <t>C12</t>
        </is>
      </c>
      <c r="F1880" t="inlineStr">
        <is>
          <t>ATERPA</t>
        </is>
      </c>
      <c r="G1880" t="inlineStr">
        <is>
          <t>CLP-012</t>
        </is>
      </c>
      <c r="H1880" t="inlineStr">
        <is>
          <t>Fiscalização</t>
        </is>
      </c>
      <c r="I1880">
        <v>4</v>
      </c>
      <c r="J1880" t="inlineStr">
        <is>
          <t>Terraplenagem</t>
        </is>
      </c>
      <c r="K1880" t="inlineStr">
        <is>
          <t>4.11</t>
        </is>
      </c>
      <c r="L1880" t="inlineStr">
        <is>
          <t>Talude</t>
        </is>
      </c>
      <c r="M1880" t="inlineStr">
        <is>
          <t>Erosões</t>
        </is>
      </c>
      <c r="N1880" t="inlineStr">
        <is>
          <t>Dispositivos de drenagem obstruídos e formação de erosões.</t>
        </is>
      </c>
      <c r="O1880" t="inlineStr">
        <is>
          <t>Tipo A</t>
        </is>
      </c>
      <c r="P1880" t="inlineStr">
        <is>
          <t>70+080</t>
        </is>
      </c>
      <c r="Q1880" t="inlineStr">
        <is>
          <t>70+080</t>
        </is>
      </c>
      <c r="R1880" t="inlineStr">
        <is>
          <t>Aberta</t>
        </is>
      </c>
      <c r="T1880" t="inlineStr">
        <is>
          <t>Jeam Moreira</t>
        </is>
      </c>
      <c r="U1880" t="inlineStr">
        <is>
          <t>30/04/2026</t>
        </is>
      </c>
      <c r="V1880" t="inlineStr">
        <is>
          <t>07/05/2026</t>
        </is>
      </c>
      <c r="W1880">
        <v>34</v>
      </c>
      <c r="AA1880" t="inlineStr">
        <is>
          <t>Aberta 30-60 dias</t>
        </is>
      </c>
    </row>
    <row r="1881">
      <c r="A1881">
        <v>1885</v>
      </c>
      <c r="B1881">
        <v>2</v>
      </c>
      <c r="C1881" t="inlineStr">
        <is>
          <t>1.6</t>
        </is>
      </c>
      <c r="D1881" t="inlineStr">
        <is>
          <t>A12</t>
        </is>
      </c>
      <c r="F1881" t="inlineStr">
        <is>
          <t>ATERPA</t>
        </is>
      </c>
      <c r="G1881" t="inlineStr">
        <is>
          <t>CLP-012</t>
        </is>
      </c>
      <c r="H1881" t="inlineStr">
        <is>
          <t>Fiscalização</t>
        </is>
      </c>
      <c r="I1881">
        <v>4</v>
      </c>
      <c r="J1881" t="inlineStr">
        <is>
          <t>Terraplenagem</t>
        </is>
      </c>
      <c r="K1881" t="inlineStr">
        <is>
          <t>4.11</t>
        </is>
      </c>
      <c r="L1881" t="inlineStr">
        <is>
          <t>Talude</t>
        </is>
      </c>
      <c r="M1881" t="inlineStr">
        <is>
          <t>Erosões</t>
        </is>
      </c>
      <c r="N1881" t="inlineStr">
        <is>
          <t>Formação de processos erosivos nos taludes e carreamento de material para fora da faixa de domínio.</t>
        </is>
      </c>
      <c r="O1881" t="inlineStr">
        <is>
          <t>Tipo A</t>
        </is>
      </c>
      <c r="P1881" t="inlineStr">
        <is>
          <t>70+560</t>
        </is>
      </c>
      <c r="Q1881" t="inlineStr">
        <is>
          <t>71+140</t>
        </is>
      </c>
      <c r="R1881" t="inlineStr">
        <is>
          <t>Aberta</t>
        </is>
      </c>
      <c r="T1881" t="inlineStr">
        <is>
          <t>Jeam Moreira</t>
        </is>
      </c>
      <c r="U1881" t="inlineStr">
        <is>
          <t>30/04/2026</t>
        </is>
      </c>
      <c r="V1881" t="inlineStr">
        <is>
          <t>07/05/2026</t>
        </is>
      </c>
      <c r="W1881">
        <v>34</v>
      </c>
      <c r="AA1881" t="inlineStr">
        <is>
          <t>Aberta 30-60 dias</t>
        </is>
      </c>
    </row>
    <row r="1882">
      <c r="A1882">
        <v>1886</v>
      </c>
      <c r="B1882">
        <v>2</v>
      </c>
      <c r="C1882" t="inlineStr">
        <is>
          <t>1.6</t>
        </is>
      </c>
      <c r="D1882" t="inlineStr">
        <is>
          <t>A12</t>
        </is>
      </c>
      <c r="E1882" t="inlineStr">
        <is>
          <t>LD</t>
        </is>
      </c>
      <c r="F1882" t="inlineStr">
        <is>
          <t>ATERPA</t>
        </is>
      </c>
      <c r="G1882" t="inlineStr">
        <is>
          <t>CLP-012</t>
        </is>
      </c>
      <c r="H1882" t="inlineStr">
        <is>
          <t>Fiscalização</t>
        </is>
      </c>
      <c r="I1882">
        <v>4</v>
      </c>
      <c r="J1882" t="inlineStr">
        <is>
          <t>Terraplenagem</t>
        </is>
      </c>
      <c r="K1882" t="inlineStr">
        <is>
          <t>4.25</t>
        </is>
      </c>
      <c r="L1882" t="inlineStr">
        <is>
          <t>Talude</t>
        </is>
      </c>
      <c r="M1882" t="inlineStr">
        <is>
          <t>Erosões</t>
        </is>
      </c>
      <c r="N1882" t="inlineStr">
        <is>
          <t>Formação de processos erosivos e carreamento de material para fora da faixa de domínio.</t>
        </is>
      </c>
      <c r="O1882" t="inlineStr">
        <is>
          <t>Tipo A</t>
        </is>
      </c>
      <c r="P1882" t="inlineStr">
        <is>
          <t>70+560</t>
        </is>
      </c>
      <c r="Q1882" t="inlineStr">
        <is>
          <t>71+140</t>
        </is>
      </c>
      <c r="R1882" t="inlineStr">
        <is>
          <t>Aberta</t>
        </is>
      </c>
      <c r="T1882" t="inlineStr">
        <is>
          <t>Jeam Moreira</t>
        </is>
      </c>
      <c r="U1882" t="inlineStr">
        <is>
          <t>30/04/2026</t>
        </is>
      </c>
      <c r="V1882" t="inlineStr">
        <is>
          <t>07/05/2026</t>
        </is>
      </c>
      <c r="W1882">
        <v>34</v>
      </c>
      <c r="AA1882" t="inlineStr">
        <is>
          <t>Aberta 30-60 dias</t>
        </is>
      </c>
    </row>
    <row r="1883">
      <c r="A1883">
        <v>1887</v>
      </c>
      <c r="B1883">
        <v>2</v>
      </c>
      <c r="C1883" t="inlineStr">
        <is>
          <t>1.6</t>
        </is>
      </c>
      <c r="D1883" t="inlineStr">
        <is>
          <t>A12</t>
        </is>
      </c>
      <c r="E1883" t="inlineStr">
        <is>
          <t>LD</t>
        </is>
      </c>
      <c r="F1883" t="inlineStr">
        <is>
          <t>ATERPA</t>
        </is>
      </c>
      <c r="G1883" t="inlineStr">
        <is>
          <t>CLP-012</t>
        </is>
      </c>
      <c r="H1883" t="inlineStr">
        <is>
          <t>Fiscalização</t>
        </is>
      </c>
      <c r="I1883">
        <v>4</v>
      </c>
      <c r="J1883" t="inlineStr">
        <is>
          <t>Terraplenagem</t>
        </is>
      </c>
      <c r="K1883" t="inlineStr">
        <is>
          <t>4.25</t>
        </is>
      </c>
      <c r="L1883" t="inlineStr">
        <is>
          <t xml:space="preserve">Faixa de domínio </t>
        </is>
      </c>
      <c r="M1883" t="inlineStr">
        <is>
          <t>Assoreamento</t>
        </is>
      </c>
      <c r="N1883" t="inlineStr">
        <is>
          <t>Carreamento de material para fora da faixa de domínio.</t>
        </is>
      </c>
      <c r="O1883" t="inlineStr">
        <is>
          <t>Tipo A</t>
        </is>
      </c>
      <c r="P1883" t="inlineStr">
        <is>
          <t>71+100</t>
        </is>
      </c>
      <c r="Q1883" t="inlineStr">
        <is>
          <t>71+100</t>
        </is>
      </c>
      <c r="R1883" t="inlineStr">
        <is>
          <t>Aberta</t>
        </is>
      </c>
      <c r="T1883" t="inlineStr">
        <is>
          <t>Jeam Moreira</t>
        </is>
      </c>
      <c r="U1883" t="inlineStr">
        <is>
          <t>30/04/2026</t>
        </is>
      </c>
      <c r="V1883" t="inlineStr">
        <is>
          <t>07/05/2026</t>
        </is>
      </c>
      <c r="W1883">
        <v>34</v>
      </c>
      <c r="AA1883" t="inlineStr">
        <is>
          <t>Aberta 30-60 dias</t>
        </is>
      </c>
    </row>
    <row r="1884">
      <c r="A1884">
        <v>1888</v>
      </c>
      <c r="B1884">
        <v>2</v>
      </c>
      <c r="C1884" t="inlineStr">
        <is>
          <t>1.6</t>
        </is>
      </c>
      <c r="D1884" t="inlineStr">
        <is>
          <t>A12</t>
        </is>
      </c>
      <c r="E1884" t="inlineStr">
        <is>
          <t>LD</t>
        </is>
      </c>
      <c r="F1884" t="inlineStr">
        <is>
          <t>ATERPA</t>
        </is>
      </c>
      <c r="G1884" t="inlineStr">
        <is>
          <t>CLP-012</t>
        </is>
      </c>
      <c r="H1884" t="inlineStr">
        <is>
          <t>Fiscalização</t>
        </is>
      </c>
      <c r="I1884">
        <v>4</v>
      </c>
      <c r="J1884" t="inlineStr">
        <is>
          <t>Terraplenagem</t>
        </is>
      </c>
      <c r="K1884" t="inlineStr">
        <is>
          <t>4.25</t>
        </is>
      </c>
      <c r="L1884" t="inlineStr">
        <is>
          <t xml:space="preserve">Faixa de domínio </t>
        </is>
      </c>
      <c r="M1884" t="inlineStr">
        <is>
          <t>Assoreamento</t>
        </is>
      </c>
      <c r="N1884" t="inlineStr">
        <is>
          <t>Carreamento de material para fora da faixa de domínio.</t>
        </is>
      </c>
      <c r="O1884" t="inlineStr">
        <is>
          <t>Tipo A</t>
        </is>
      </c>
      <c r="P1884" t="inlineStr">
        <is>
          <t>71+115</t>
        </is>
      </c>
      <c r="Q1884" t="inlineStr">
        <is>
          <t>71+115</t>
        </is>
      </c>
      <c r="R1884" t="inlineStr">
        <is>
          <t>Aberta</t>
        </is>
      </c>
      <c r="T1884" t="inlineStr">
        <is>
          <t>Jeam Moreira</t>
        </is>
      </c>
      <c r="U1884" t="inlineStr">
        <is>
          <t>30/04/2026</t>
        </is>
      </c>
      <c r="V1884" t="inlineStr">
        <is>
          <t>07/05/2026</t>
        </is>
      </c>
      <c r="W1884">
        <v>34</v>
      </c>
      <c r="AA1884" t="inlineStr">
        <is>
          <t>Aberta 30-60 dias</t>
        </is>
      </c>
    </row>
    <row r="1885">
      <c r="A1885">
        <v>1889</v>
      </c>
      <c r="B1885">
        <v>2</v>
      </c>
      <c r="C1885" t="inlineStr">
        <is>
          <t>1.6</t>
        </is>
      </c>
      <c r="D1885" t="inlineStr">
        <is>
          <t>A12</t>
        </is>
      </c>
      <c r="E1885" t="inlineStr">
        <is>
          <t>LE</t>
        </is>
      </c>
      <c r="F1885" t="inlineStr">
        <is>
          <t>ATERPA</t>
        </is>
      </c>
      <c r="G1885" t="inlineStr">
        <is>
          <t>CLP-012</t>
        </is>
      </c>
      <c r="H1885" t="inlineStr">
        <is>
          <t>Fiscalização</t>
        </is>
      </c>
      <c r="I1885">
        <v>4</v>
      </c>
      <c r="J1885" t="inlineStr">
        <is>
          <t>Terraplenagem</t>
        </is>
      </c>
      <c r="K1885" t="inlineStr">
        <is>
          <t>4.25</t>
        </is>
      </c>
      <c r="L1885" t="inlineStr">
        <is>
          <t xml:space="preserve">Faixa de domínio </t>
        </is>
      </c>
      <c r="M1885" t="inlineStr">
        <is>
          <t>Assoreamento</t>
        </is>
      </c>
      <c r="N1885" t="inlineStr">
        <is>
          <t>Carreamento de material para fora da faixa de domínio.</t>
        </is>
      </c>
      <c r="O1885" t="inlineStr">
        <is>
          <t>Tipo A</t>
        </is>
      </c>
      <c r="P1885" t="inlineStr">
        <is>
          <t>70+770</t>
        </is>
      </c>
      <c r="Q1885" t="inlineStr">
        <is>
          <t>70+770</t>
        </is>
      </c>
      <c r="R1885" t="inlineStr">
        <is>
          <t>Aberta</t>
        </is>
      </c>
      <c r="T1885" t="inlineStr">
        <is>
          <t>Jeam Moreira</t>
        </is>
      </c>
      <c r="U1885" t="inlineStr">
        <is>
          <t>30/04/2026</t>
        </is>
      </c>
      <c r="V1885" t="inlineStr">
        <is>
          <t>07/05/2026</t>
        </is>
      </c>
      <c r="W1885">
        <v>34</v>
      </c>
      <c r="AA1885" t="inlineStr">
        <is>
          <t>Aberta 30-60 dias</t>
        </is>
      </c>
    </row>
    <row r="1886">
      <c r="A1886">
        <v>1890</v>
      </c>
      <c r="B1886">
        <v>2</v>
      </c>
      <c r="C1886" t="inlineStr">
        <is>
          <t>1.6</t>
        </is>
      </c>
      <c r="D1886" t="inlineStr">
        <is>
          <t>A13</t>
        </is>
      </c>
      <c r="E1886" t="inlineStr">
        <is>
          <t>LE</t>
        </is>
      </c>
      <c r="F1886" t="inlineStr">
        <is>
          <t>ATERPA</t>
        </is>
      </c>
      <c r="G1886" t="inlineStr">
        <is>
          <t>CLP-012</t>
        </is>
      </c>
      <c r="H1886" t="inlineStr">
        <is>
          <t>Fiscalização</t>
        </is>
      </c>
      <c r="I1886">
        <v>4</v>
      </c>
      <c r="J1886" t="inlineStr">
        <is>
          <t>Terraplenagem</t>
        </is>
      </c>
      <c r="K1886" t="inlineStr">
        <is>
          <t>4.25</t>
        </is>
      </c>
      <c r="L1886" t="inlineStr">
        <is>
          <t xml:space="preserve">Faixa de domínio </t>
        </is>
      </c>
      <c r="M1886" t="inlineStr">
        <is>
          <t>Assoreamento</t>
        </is>
      </c>
      <c r="N1886" t="inlineStr">
        <is>
          <t>Carreamento de material para fora da faixa de domínio.</t>
        </is>
      </c>
      <c r="O1886" t="inlineStr">
        <is>
          <t>Tipo A</t>
        </is>
      </c>
      <c r="P1886" t="inlineStr">
        <is>
          <t>71+520</t>
        </is>
      </c>
      <c r="Q1886" t="inlineStr">
        <is>
          <t>71+520</t>
        </is>
      </c>
      <c r="R1886" t="inlineStr">
        <is>
          <t>Aberta</t>
        </is>
      </c>
      <c r="T1886" t="inlineStr">
        <is>
          <t>Jeam Moreira</t>
        </is>
      </c>
      <c r="U1886" t="inlineStr">
        <is>
          <t>30/04/2026</t>
        </is>
      </c>
      <c r="V1886" t="inlineStr">
        <is>
          <t>07/05/2026</t>
        </is>
      </c>
      <c r="W1886">
        <v>34</v>
      </c>
      <c r="AA1886" t="inlineStr">
        <is>
          <t>Aberta 30-60 dias</t>
        </is>
      </c>
    </row>
    <row r="1887">
      <c r="A1887">
        <v>1891</v>
      </c>
      <c r="B1887">
        <v>2</v>
      </c>
      <c r="C1887" t="inlineStr">
        <is>
          <t>1.6</t>
        </is>
      </c>
      <c r="D1887" t="inlineStr">
        <is>
          <t>C04</t>
        </is>
      </c>
      <c r="F1887" t="inlineStr">
        <is>
          <t>ATERPA</t>
        </is>
      </c>
      <c r="G1887" t="inlineStr">
        <is>
          <t>CLP-012</t>
        </is>
      </c>
      <c r="H1887" t="inlineStr">
        <is>
          <t>Fiscalização</t>
        </is>
      </c>
      <c r="I1887">
        <v>4</v>
      </c>
      <c r="J1887" t="inlineStr">
        <is>
          <t>Terraplenagem</t>
        </is>
      </c>
      <c r="K1887" t="inlineStr">
        <is>
          <t>4.11</t>
        </is>
      </c>
      <c r="L1887" t="inlineStr">
        <is>
          <t>Talude</t>
        </is>
      </c>
      <c r="M1887" t="inlineStr">
        <is>
          <t>Erosões</t>
        </is>
      </c>
      <c r="N1887" t="inlineStr">
        <is>
          <t>Desplacamento no talude e falta de execução de dispositivo de drenagem de plataforma.</t>
        </is>
      </c>
      <c r="O1887" t="inlineStr">
        <is>
          <t>Tipo A</t>
        </is>
      </c>
      <c r="P1887" t="inlineStr">
        <is>
          <t>56+280</t>
        </is>
      </c>
      <c r="Q1887" t="inlineStr">
        <is>
          <t>56+280</t>
        </is>
      </c>
      <c r="R1887" t="inlineStr">
        <is>
          <t>Aberta</t>
        </is>
      </c>
      <c r="T1887" t="inlineStr">
        <is>
          <t>Jeam Moreira</t>
        </is>
      </c>
      <c r="U1887" t="inlineStr">
        <is>
          <t>30/04/2026</t>
        </is>
      </c>
      <c r="V1887" t="inlineStr">
        <is>
          <t>07/05/2026</t>
        </is>
      </c>
      <c r="W1887">
        <v>34</v>
      </c>
      <c r="AA1887" t="inlineStr">
        <is>
          <t>Aberta 30-60 dias</t>
        </is>
      </c>
    </row>
    <row r="1888">
      <c r="A1888">
        <v>1892</v>
      </c>
      <c r="B1888">
        <v>2</v>
      </c>
      <c r="C1888" t="inlineStr">
        <is>
          <t>1.6</t>
        </is>
      </c>
      <c r="D1888" t="inlineStr">
        <is>
          <t>C10</t>
        </is>
      </c>
      <c r="E1888" t="inlineStr">
        <is>
          <t>LE</t>
        </is>
      </c>
      <c r="F1888" t="inlineStr">
        <is>
          <t>ATERPA</t>
        </is>
      </c>
      <c r="G1888" t="inlineStr">
        <is>
          <t>CLP-012</t>
        </is>
      </c>
      <c r="H1888" t="inlineStr">
        <is>
          <t>Fiscalização</t>
        </is>
      </c>
      <c r="I1888">
        <v>6</v>
      </c>
      <c r="J1888" t="inlineStr">
        <is>
          <t>Drenagem Superficial</t>
        </is>
      </c>
      <c r="K1888" t="inlineStr">
        <is>
          <t>6.5</t>
        </is>
      </c>
      <c r="L1888" t="inlineStr">
        <is>
          <t>Descida d'água</t>
        </is>
      </c>
      <c r="M1888" t="inlineStr">
        <is>
          <t>Dispositivo não executado</t>
        </is>
      </c>
      <c r="N1888" t="inlineStr">
        <is>
          <t>Falta descida d'água e dissipador de energia ao final da canaleta.</t>
        </is>
      </c>
      <c r="O1888" t="inlineStr">
        <is>
          <t>Tipo A</t>
        </is>
      </c>
      <c r="P1888" t="inlineStr">
        <is>
          <t>69+280</t>
        </is>
      </c>
      <c r="Q1888" t="inlineStr">
        <is>
          <t>69+280</t>
        </is>
      </c>
      <c r="R1888" t="inlineStr">
        <is>
          <t>Aberta</t>
        </is>
      </c>
      <c r="T1888" t="inlineStr">
        <is>
          <t>Jeam Moreira</t>
        </is>
      </c>
      <c r="U1888" t="inlineStr">
        <is>
          <t>30/04/2026</t>
        </is>
      </c>
      <c r="V1888" t="inlineStr">
        <is>
          <t>07/05/2026</t>
        </is>
      </c>
      <c r="W1888">
        <v>34</v>
      </c>
      <c r="AA1888" t="inlineStr">
        <is>
          <t>Aberta 30-60 dias</t>
        </is>
      </c>
    </row>
    <row r="1889">
      <c r="A1889">
        <v>1893</v>
      </c>
      <c r="B1889">
        <v>2</v>
      </c>
      <c r="C1889" t="inlineStr">
        <is>
          <t>1.6</t>
        </is>
      </c>
      <c r="D1889" t="inlineStr">
        <is>
          <t>A10</t>
        </is>
      </c>
      <c r="E1889" t="inlineStr">
        <is>
          <t>LE</t>
        </is>
      </c>
      <c r="F1889" t="inlineStr">
        <is>
          <t>ATERPA</t>
        </is>
      </c>
      <c r="G1889" t="inlineStr">
        <is>
          <t>CLP-012</t>
        </is>
      </c>
      <c r="H1889" t="inlineStr">
        <is>
          <t>Fiscalização</t>
        </is>
      </c>
      <c r="I1889">
        <v>6</v>
      </c>
      <c r="J1889" t="inlineStr">
        <is>
          <t>Drenagem Superficial</t>
        </is>
      </c>
      <c r="K1889" t="inlineStr">
        <is>
          <t>6.5</t>
        </is>
      </c>
      <c r="L1889" t="inlineStr">
        <is>
          <t>Descida d'água</t>
        </is>
      </c>
      <c r="M1889" t="inlineStr">
        <is>
          <t>Dispositivo descalçado</t>
        </is>
      </c>
      <c r="N1889" t="inlineStr">
        <is>
          <t>Erosões e solapamento de descida d'água.</t>
        </is>
      </c>
      <c r="O1889" t="inlineStr">
        <is>
          <t>Tipo A</t>
        </is>
      </c>
      <c r="P1889" t="inlineStr">
        <is>
          <t>71+130</t>
        </is>
      </c>
      <c r="Q1889" t="inlineStr">
        <is>
          <t>71+130</t>
        </is>
      </c>
      <c r="R1889" t="inlineStr">
        <is>
          <t>Aberta</t>
        </is>
      </c>
      <c r="T1889" t="inlineStr">
        <is>
          <t>Jeam Moreira</t>
        </is>
      </c>
      <c r="U1889" t="inlineStr">
        <is>
          <t>30/04/2026</t>
        </is>
      </c>
      <c r="V1889" t="inlineStr">
        <is>
          <t>07/05/2026</t>
        </is>
      </c>
      <c r="W1889">
        <v>34</v>
      </c>
      <c r="AA1889" t="inlineStr">
        <is>
          <t>Aberta 30-60 dias</t>
        </is>
      </c>
    </row>
    <row r="1890">
      <c r="A1890">
        <v>1894</v>
      </c>
      <c r="B1890">
        <v>2</v>
      </c>
      <c r="C1890" t="inlineStr">
        <is>
          <t>1.6</t>
        </is>
      </c>
      <c r="D1890" t="inlineStr">
        <is>
          <t>C04</t>
        </is>
      </c>
      <c r="F1890" t="inlineStr">
        <is>
          <t>ATERPA</t>
        </is>
      </c>
      <c r="G1890" t="inlineStr">
        <is>
          <t>CLP-012</t>
        </is>
      </c>
      <c r="H1890" t="inlineStr">
        <is>
          <t>Fiscalização</t>
        </is>
      </c>
      <c r="I1890">
        <v>6</v>
      </c>
      <c r="J1890" t="inlineStr">
        <is>
          <t>Drenagem Superficial</t>
        </is>
      </c>
      <c r="K1890" t="inlineStr">
        <is>
          <t>6.10</t>
        </is>
      </c>
      <c r="L1890" t="inlineStr">
        <is>
          <t>Descida d'água</t>
        </is>
      </c>
      <c r="M1890" t="inlineStr">
        <is>
          <t>Dispositivo descalçado</t>
        </is>
      </c>
      <c r="N1890" t="inlineStr">
        <is>
          <t>Erosões e solapamento descida d'água.</t>
        </is>
      </c>
      <c r="O1890" t="inlineStr">
        <is>
          <t>Tipo A</t>
        </is>
      </c>
      <c r="P1890" t="inlineStr">
        <is>
          <t>56+460</t>
        </is>
      </c>
      <c r="Q1890" t="inlineStr">
        <is>
          <t>56+460</t>
        </is>
      </c>
      <c r="R1890" t="inlineStr">
        <is>
          <t>Aberta</t>
        </is>
      </c>
      <c r="T1890" t="inlineStr">
        <is>
          <t>Jeam Moreira</t>
        </is>
      </c>
      <c r="U1890" t="inlineStr">
        <is>
          <t>30/04/2026</t>
        </is>
      </c>
      <c r="V1890" t="inlineStr">
        <is>
          <t>07/05/2026</t>
        </is>
      </c>
      <c r="W1890">
        <v>34</v>
      </c>
      <c r="AA1890" t="inlineStr">
        <is>
          <t>Aberta 30-60 dias</t>
        </is>
      </c>
    </row>
    <row r="1891">
      <c r="A1891">
        <v>1895</v>
      </c>
      <c r="B1891">
        <v>2</v>
      </c>
      <c r="C1891" t="inlineStr">
        <is>
          <t>1.6</t>
        </is>
      </c>
      <c r="D1891" t="inlineStr">
        <is>
          <t>A06</t>
        </is>
      </c>
      <c r="F1891" t="inlineStr">
        <is>
          <t>ATERPA</t>
        </is>
      </c>
      <c r="G1891" t="inlineStr">
        <is>
          <t>CLP-012</t>
        </is>
      </c>
      <c r="H1891" t="inlineStr">
        <is>
          <t>Fiscalização</t>
        </is>
      </c>
      <c r="I1891">
        <v>6</v>
      </c>
      <c r="J1891" t="inlineStr">
        <is>
          <t>Drenagem Superficial</t>
        </is>
      </c>
      <c r="K1891" t="inlineStr">
        <is>
          <t>6.10</t>
        </is>
      </c>
      <c r="L1891" t="inlineStr">
        <is>
          <t>Talude</t>
        </is>
      </c>
      <c r="M1891" t="inlineStr">
        <is>
          <t>Erosões</t>
        </is>
      </c>
      <c r="N1891" t="inlineStr">
        <is>
          <t>Erosões nos taludes e sarjetas assoreadas.</t>
        </is>
      </c>
      <c r="O1891" t="inlineStr">
        <is>
          <t>Tipo A</t>
        </is>
      </c>
      <c r="P1891" t="inlineStr">
        <is>
          <t>59+660</t>
        </is>
      </c>
      <c r="Q1891" t="inlineStr">
        <is>
          <t>62+600</t>
        </is>
      </c>
      <c r="R1891" t="inlineStr">
        <is>
          <t>Aberta</t>
        </is>
      </c>
      <c r="T1891" t="inlineStr">
        <is>
          <t>Jeam Moreira</t>
        </is>
      </c>
      <c r="U1891" t="inlineStr">
        <is>
          <t>30/04/2026</t>
        </is>
      </c>
      <c r="V1891" t="inlineStr">
        <is>
          <t>07/05/2026</t>
        </is>
      </c>
      <c r="W1891">
        <v>34</v>
      </c>
      <c r="AA1891" t="inlineStr">
        <is>
          <t>Aberta 30-60 dias</t>
        </is>
      </c>
    </row>
    <row r="1892">
      <c r="A1892">
        <v>1896</v>
      </c>
      <c r="B1892">
        <v>2</v>
      </c>
      <c r="C1892" t="inlineStr">
        <is>
          <t>1.6</t>
        </is>
      </c>
      <c r="D1892" t="inlineStr">
        <is>
          <t>C07</t>
        </is>
      </c>
      <c r="F1892" t="inlineStr">
        <is>
          <t>ATERPA</t>
        </is>
      </c>
      <c r="G1892" t="inlineStr">
        <is>
          <t>CLP-012</t>
        </is>
      </c>
      <c r="H1892" t="inlineStr">
        <is>
          <t>Fiscalização</t>
        </is>
      </c>
      <c r="I1892">
        <v>6</v>
      </c>
      <c r="J1892" t="inlineStr">
        <is>
          <t>Drenagem Superficial</t>
        </is>
      </c>
      <c r="K1892" t="inlineStr">
        <is>
          <t>6.10</t>
        </is>
      </c>
      <c r="L1892" t="inlineStr">
        <is>
          <t>Drenagem superficial</t>
        </is>
      </c>
      <c r="M1892" t="inlineStr">
        <is>
          <t>Obstrução do dispositivo</t>
        </is>
      </c>
      <c r="N1892" t="inlineStr">
        <is>
          <t>Dispositivos de drenagem obstruídos.</t>
        </is>
      </c>
      <c r="O1892" t="inlineStr">
        <is>
          <t>Tipo A</t>
        </is>
      </c>
      <c r="P1892" t="inlineStr">
        <is>
          <t>62+600</t>
        </is>
      </c>
      <c r="Q1892" t="inlineStr">
        <is>
          <t>63+440</t>
        </is>
      </c>
      <c r="R1892" t="inlineStr">
        <is>
          <t>Aberta</t>
        </is>
      </c>
      <c r="T1892" t="inlineStr">
        <is>
          <t>Jeam Moreira</t>
        </is>
      </c>
      <c r="U1892" t="inlineStr">
        <is>
          <t>30/04/2026</t>
        </is>
      </c>
      <c r="V1892" t="inlineStr">
        <is>
          <t>07/05/2026</t>
        </is>
      </c>
      <c r="W1892">
        <v>34</v>
      </c>
      <c r="AA1892" t="inlineStr">
        <is>
          <t>Aberta 30-60 dias</t>
        </is>
      </c>
    </row>
    <row r="1893">
      <c r="A1893">
        <v>1897</v>
      </c>
      <c r="B1893">
        <v>2</v>
      </c>
      <c r="C1893" t="inlineStr">
        <is>
          <t>1.6</t>
        </is>
      </c>
      <c r="D1893" t="inlineStr">
        <is>
          <t>A07</t>
        </is>
      </c>
      <c r="F1893" t="inlineStr">
        <is>
          <t>ATERPA</t>
        </is>
      </c>
      <c r="G1893" t="inlineStr">
        <is>
          <t>CLP-012</t>
        </is>
      </c>
      <c r="H1893" t="inlineStr">
        <is>
          <t>Fiscalização</t>
        </is>
      </c>
      <c r="I1893">
        <v>6</v>
      </c>
      <c r="J1893" t="inlineStr">
        <is>
          <t>Drenagem Superficial</t>
        </is>
      </c>
      <c r="K1893" t="inlineStr">
        <is>
          <t>6.10</t>
        </is>
      </c>
      <c r="L1893" t="inlineStr">
        <is>
          <t>Drenagem superficial</t>
        </is>
      </c>
      <c r="M1893" t="inlineStr">
        <is>
          <t>Dispositivo não executado</t>
        </is>
      </c>
      <c r="N1893" t="inlineStr">
        <is>
          <t>Falta drenagem de pé de aterro.</t>
        </is>
      </c>
      <c r="O1893" t="inlineStr">
        <is>
          <t>Tipo A</t>
        </is>
      </c>
      <c r="P1893" t="inlineStr">
        <is>
          <t>63+420</t>
        </is>
      </c>
      <c r="Q1893" t="inlineStr">
        <is>
          <t>63+700</t>
        </is>
      </c>
      <c r="R1893" t="inlineStr">
        <is>
          <t>Aberta</t>
        </is>
      </c>
      <c r="T1893" t="inlineStr">
        <is>
          <t>Jeam Moreira</t>
        </is>
      </c>
      <c r="U1893" t="inlineStr">
        <is>
          <t>30/04/2026</t>
        </is>
      </c>
      <c r="V1893" t="inlineStr">
        <is>
          <t>07/05/2026</t>
        </is>
      </c>
      <c r="W1893">
        <v>34</v>
      </c>
      <c r="AA1893" t="inlineStr">
        <is>
          <t>Aberta 30-60 dias</t>
        </is>
      </c>
    </row>
    <row r="1894">
      <c r="A1894">
        <v>1898</v>
      </c>
      <c r="B1894">
        <v>2</v>
      </c>
      <c r="C1894" t="inlineStr">
        <is>
          <t>1.6</t>
        </is>
      </c>
      <c r="D1894" t="inlineStr">
        <is>
          <t>C08</t>
        </is>
      </c>
      <c r="F1894" t="inlineStr">
        <is>
          <t>ATERPA</t>
        </is>
      </c>
      <c r="G1894" t="inlineStr">
        <is>
          <t>CLP-012</t>
        </is>
      </c>
      <c r="H1894" t="inlineStr">
        <is>
          <t>Fiscalização</t>
        </is>
      </c>
      <c r="I1894">
        <v>6</v>
      </c>
      <c r="J1894" t="inlineStr">
        <is>
          <t>Drenagem Superficial</t>
        </is>
      </c>
      <c r="K1894" t="inlineStr">
        <is>
          <t>6.10</t>
        </is>
      </c>
      <c r="L1894" t="inlineStr">
        <is>
          <t>Drenagem superficial</t>
        </is>
      </c>
      <c r="M1894" t="inlineStr">
        <is>
          <t>Obstrução do dispositivo</t>
        </is>
      </c>
      <c r="N1894" t="inlineStr">
        <is>
          <t>Drenagem de plataforma obstruída.</t>
        </is>
      </c>
      <c r="O1894" t="inlineStr">
        <is>
          <t>Tipo A</t>
        </is>
      </c>
      <c r="P1894" t="inlineStr">
        <is>
          <t>63+700</t>
        </is>
      </c>
      <c r="Q1894" t="inlineStr">
        <is>
          <t>64+520</t>
        </is>
      </c>
      <c r="R1894" t="inlineStr">
        <is>
          <t>Aberta</t>
        </is>
      </c>
      <c r="T1894" t="inlineStr">
        <is>
          <t>Jeam Moreira</t>
        </is>
      </c>
      <c r="U1894" t="inlineStr">
        <is>
          <t>30/04/2026</t>
        </is>
      </c>
      <c r="V1894" t="inlineStr">
        <is>
          <t>07/05/2026</t>
        </is>
      </c>
      <c r="W1894">
        <v>34</v>
      </c>
      <c r="AA1894" t="inlineStr">
        <is>
          <t>Aberta 30-60 dias</t>
        </is>
      </c>
    </row>
    <row r="1895">
      <c r="A1895">
        <v>1899</v>
      </c>
      <c r="B1895">
        <v>2</v>
      </c>
      <c r="C1895" t="inlineStr">
        <is>
          <t>1.6</t>
        </is>
      </c>
      <c r="D1895" t="inlineStr">
        <is>
          <t>C12</t>
        </is>
      </c>
      <c r="F1895" t="inlineStr">
        <is>
          <t>ATERPA</t>
        </is>
      </c>
      <c r="G1895" t="inlineStr">
        <is>
          <t>CLP-012</t>
        </is>
      </c>
      <c r="H1895" t="inlineStr">
        <is>
          <t>Fiscalização</t>
        </is>
      </c>
      <c r="I1895">
        <v>6</v>
      </c>
      <c r="J1895" t="inlineStr">
        <is>
          <t>Drenagem Superficial</t>
        </is>
      </c>
      <c r="K1895" t="inlineStr">
        <is>
          <t>6.10</t>
        </is>
      </c>
      <c r="L1895" t="inlineStr">
        <is>
          <t>Drenagem superficial</t>
        </is>
      </c>
      <c r="M1895" t="inlineStr">
        <is>
          <t>Obstrução do dispositivo</t>
        </is>
      </c>
      <c r="N1895" t="inlineStr">
        <is>
          <t>Drenagem de plataforma obstruída.</t>
        </is>
      </c>
      <c r="O1895" t="inlineStr">
        <is>
          <t>Tipo A</t>
        </is>
      </c>
      <c r="P1895" t="inlineStr">
        <is>
          <t>69+740</t>
        </is>
      </c>
      <c r="Q1895" t="inlineStr">
        <is>
          <t>70+560</t>
        </is>
      </c>
      <c r="R1895" t="inlineStr">
        <is>
          <t>Aberta</t>
        </is>
      </c>
      <c r="T1895" t="inlineStr">
        <is>
          <t>Jeam Moreira</t>
        </is>
      </c>
      <c r="U1895" t="inlineStr">
        <is>
          <t>30/04/2026</t>
        </is>
      </c>
      <c r="V1895" t="inlineStr">
        <is>
          <t>07/05/2026</t>
        </is>
      </c>
      <c r="W1895">
        <v>34</v>
      </c>
      <c r="AA1895" t="inlineStr">
        <is>
          <t>Aberta 30-60 dias</t>
        </is>
      </c>
    </row>
    <row r="1896">
      <c r="A1896">
        <v>1900</v>
      </c>
      <c r="B1896">
        <v>2</v>
      </c>
      <c r="C1896" t="inlineStr">
        <is>
          <t>1.6</t>
        </is>
      </c>
      <c r="D1896" t="inlineStr">
        <is>
          <t>A11</t>
        </is>
      </c>
      <c r="F1896" t="inlineStr">
        <is>
          <t>ATERPA</t>
        </is>
      </c>
      <c r="G1896" t="inlineStr">
        <is>
          <t>CLP-012</t>
        </is>
      </c>
      <c r="H1896" t="inlineStr">
        <is>
          <t>Fiscalização</t>
        </is>
      </c>
      <c r="I1896">
        <v>6</v>
      </c>
      <c r="J1896" t="inlineStr">
        <is>
          <t>Drenagem Superficial</t>
        </is>
      </c>
      <c r="K1896" t="inlineStr">
        <is>
          <t>6.10</t>
        </is>
      </c>
      <c r="L1896" t="inlineStr">
        <is>
          <t>Drenagem superficial</t>
        </is>
      </c>
      <c r="M1896" t="inlineStr">
        <is>
          <t>Obstrução do dispositivo</t>
        </is>
      </c>
      <c r="N1896" t="inlineStr">
        <is>
          <t>Dispositivos de drenagem obstruídos.</t>
        </is>
      </c>
      <c r="O1896" t="inlineStr">
        <is>
          <t>Tipo A</t>
        </is>
      </c>
      <c r="P1896" t="inlineStr">
        <is>
          <t>70+040</t>
        </is>
      </c>
      <c r="Q1896" t="inlineStr">
        <is>
          <t>70+060</t>
        </is>
      </c>
      <c r="R1896" t="inlineStr">
        <is>
          <t>Aberta</t>
        </is>
      </c>
      <c r="T1896" t="inlineStr">
        <is>
          <t>Jeam Moreira</t>
        </is>
      </c>
      <c r="U1896" t="inlineStr">
        <is>
          <t>30/04/2026</t>
        </is>
      </c>
      <c r="V1896" t="inlineStr">
        <is>
          <t>07/05/2026</t>
        </is>
      </c>
      <c r="W1896">
        <v>34</v>
      </c>
      <c r="AA1896" t="inlineStr">
        <is>
          <t>Aberta 30-60 dias</t>
        </is>
      </c>
    </row>
    <row r="1897">
      <c r="A1897">
        <v>1901</v>
      </c>
      <c r="B1897">
        <v>2</v>
      </c>
      <c r="C1897" t="inlineStr">
        <is>
          <t>1.6</t>
        </is>
      </c>
      <c r="D1897" t="inlineStr">
        <is>
          <t>C12</t>
        </is>
      </c>
      <c r="F1897" t="inlineStr">
        <is>
          <t>ATERPA</t>
        </is>
      </c>
      <c r="G1897" t="inlineStr">
        <is>
          <t>CLP-012</t>
        </is>
      </c>
      <c r="H1897" t="inlineStr">
        <is>
          <t>Fiscalização</t>
        </is>
      </c>
      <c r="I1897">
        <v>6</v>
      </c>
      <c r="J1897" t="inlineStr">
        <is>
          <t>Drenagem Superficial</t>
        </is>
      </c>
      <c r="K1897" t="inlineStr">
        <is>
          <t>6.10</t>
        </is>
      </c>
      <c r="L1897" t="inlineStr">
        <is>
          <t>Drenagem superficial</t>
        </is>
      </c>
      <c r="M1897" t="inlineStr">
        <is>
          <t>Obstrução do dispositivo</t>
        </is>
      </c>
      <c r="N1897" t="inlineStr">
        <is>
          <t>Dispositivos de drenagem obstruídos e formação de erosões.</t>
        </is>
      </c>
      <c r="O1897" t="inlineStr">
        <is>
          <t>Tipo A</t>
        </is>
      </c>
      <c r="P1897" t="inlineStr">
        <is>
          <t>70+080</t>
        </is>
      </c>
      <c r="Q1897" t="inlineStr">
        <is>
          <t>70+080</t>
        </is>
      </c>
      <c r="R1897" t="inlineStr">
        <is>
          <t>Aberta</t>
        </is>
      </c>
      <c r="T1897" t="inlineStr">
        <is>
          <t>Jeam Moreira</t>
        </is>
      </c>
      <c r="U1897" t="inlineStr">
        <is>
          <t>30/04/2026</t>
        </is>
      </c>
      <c r="V1897" t="inlineStr">
        <is>
          <t>07/05/2026</t>
        </is>
      </c>
      <c r="W1897">
        <v>34</v>
      </c>
      <c r="AA1897" t="inlineStr">
        <is>
          <t>Aberta 30-60 dias</t>
        </is>
      </c>
    </row>
    <row r="1898">
      <c r="A1898">
        <v>1902</v>
      </c>
      <c r="B1898">
        <v>2</v>
      </c>
      <c r="C1898" t="inlineStr">
        <is>
          <t>1.6</t>
        </is>
      </c>
      <c r="D1898" t="inlineStr">
        <is>
          <t>A12</t>
        </is>
      </c>
      <c r="F1898" t="inlineStr">
        <is>
          <t>ATERPA</t>
        </is>
      </c>
      <c r="G1898" t="inlineStr">
        <is>
          <t>CLP-012</t>
        </is>
      </c>
      <c r="H1898" t="inlineStr">
        <is>
          <t>Fiscalização</t>
        </is>
      </c>
      <c r="I1898">
        <v>6</v>
      </c>
      <c r="J1898" t="inlineStr">
        <is>
          <t>Drenagem Superficial</t>
        </is>
      </c>
      <c r="K1898" t="inlineStr">
        <is>
          <t>6.10</t>
        </is>
      </c>
      <c r="L1898" t="inlineStr">
        <is>
          <t>Drenagem superficial</t>
        </is>
      </c>
      <c r="M1898" t="inlineStr">
        <is>
          <t>Obstrução do dispositivo</t>
        </is>
      </c>
      <c r="N1898" t="inlineStr">
        <is>
          <t>Dispositivos de drenagem obstruídos e formação de erosões.</t>
        </is>
      </c>
      <c r="O1898" t="inlineStr">
        <is>
          <t>Tipo A</t>
        </is>
      </c>
      <c r="P1898" t="inlineStr">
        <is>
          <t>70+080</t>
        </is>
      </c>
      <c r="Q1898" t="inlineStr">
        <is>
          <t>70+080</t>
        </is>
      </c>
      <c r="R1898" t="inlineStr">
        <is>
          <t>Aberta</t>
        </is>
      </c>
      <c r="T1898" t="inlineStr">
        <is>
          <t>Jeam Moreira</t>
        </is>
      </c>
      <c r="U1898" t="inlineStr">
        <is>
          <t>30/04/2026</t>
        </is>
      </c>
      <c r="V1898" t="inlineStr">
        <is>
          <t>07/05/2026</t>
        </is>
      </c>
      <c r="W1898">
        <v>34</v>
      </c>
      <c r="AA1898" t="inlineStr">
        <is>
          <t>Aberta 30-60 dias</t>
        </is>
      </c>
    </row>
    <row r="1899">
      <c r="A1899">
        <v>1903</v>
      </c>
      <c r="B1899">
        <v>1</v>
      </c>
      <c r="C1899" t="inlineStr">
        <is>
          <t>1.2</t>
        </is>
      </c>
      <c r="W1899" t="inlineStr">
        <is>
          <t>#VALUE!</t>
        </is>
      </c>
      <c r="AA1899" t="inlineStr">
        <is>
          <t>Aberta +120 dias</t>
        </is>
      </c>
    </row>
    <row r="1900">
      <c r="A1900">
        <v>1904</v>
      </c>
      <c r="W1900" t="inlineStr">
        <is>
          <t>#VALUE!</t>
        </is>
      </c>
      <c r="AA1900" t="inlineStr">
        <is>
          <t>Aberta +120 dias</t>
        </is>
      </c>
    </row>
    <row r="1901">
      <c r="A1901">
        <v>1905</v>
      </c>
      <c r="W1901" t="inlineStr">
        <is>
          <t>#VALUE!</t>
        </is>
      </c>
      <c r="AA1901" t="inlineStr">
        <is>
          <t>Aberta +120 dias</t>
        </is>
      </c>
    </row>
    <row r="1902">
      <c r="A1902">
        <v>1906</v>
      </c>
      <c r="W1902" t="inlineStr">
        <is>
          <t>#VALUE!</t>
        </is>
      </c>
      <c r="AA1902" t="inlineStr">
        <is>
          <t>Aberta +120 dias</t>
        </is>
      </c>
    </row>
  </sheetData>
</worksheet>
</file>

<file path=xl/worksheets/sheet15.xml><?xml version="1.0" encoding="utf-8"?>
<worksheet xmlns="http://schemas.openxmlformats.org/spreadsheetml/2006/main" xmlns:r="http://schemas.openxmlformats.org/officeDocument/2006/relationships">
  <dimension ref="A1:Q143"/>
  <sheetViews>
    <sheetView workbookViewId="0"/>
  </sheetViews>
  <sheetFormatPr defaultRowHeight="15"/>
  <sheetData>
    <row r="1">
      <c r="A1" t="inlineStr">
        <is>
          <t>Pacote</t>
        </is>
      </c>
      <c r="B1" t="inlineStr">
        <is>
          <t>Ativo</t>
        </is>
      </c>
      <c r="C1" t="inlineStr">
        <is>
          <t>Trecho</t>
        </is>
      </c>
      <c r="D1" t="inlineStr">
        <is>
          <t>Obstruído (m)</t>
        </is>
      </c>
      <c r="E1" t="inlineStr">
        <is>
          <t>Prioridade</t>
        </is>
      </c>
      <c r="F1" t="inlineStr">
        <is>
          <t>Criticidade</t>
        </is>
      </c>
      <c r="G1" t="inlineStr">
        <is>
          <t>Método</t>
        </is>
      </c>
      <c r="H1" t="inlineStr">
        <is>
          <t>Equipe</t>
        </is>
      </c>
      <c r="I1" t="inlineStr">
        <is>
          <t>Janela</t>
        </is>
      </c>
      <c r="J1" t="inlineStr">
        <is>
          <t>Início Planejado</t>
        </is>
      </c>
      <c r="K1" t="inlineStr">
        <is>
          <t>Fim Planejado</t>
        </is>
      </c>
      <c r="L1" t="inlineStr">
        <is>
          <t>Status</t>
        </is>
      </c>
      <c r="M1" t="inlineStr">
        <is>
          <t>% Concluído</t>
        </is>
      </c>
      <c r="N1" t="inlineStr">
        <is>
          <t>Observações</t>
        </is>
      </c>
      <c r="O1" t="inlineStr">
        <is>
          <t>m Programado</t>
        </is>
      </c>
      <c r="P1" t="inlineStr">
        <is>
          <t>m Execução</t>
        </is>
      </c>
      <c r="Q1" t="inlineStr">
        <is>
          <t>m Concluído</t>
        </is>
      </c>
    </row>
    <row r="2">
      <c r="A2" t="inlineStr">
        <is>
          <t>P1</t>
        </is>
      </c>
      <c r="B2" t="inlineStr">
        <is>
          <t>T-01</t>
        </is>
      </c>
      <c r="C2" t="inlineStr">
        <is>
          <t>( km 00+000 a km 07+000 )</t>
        </is>
      </c>
      <c r="D2">
        <v>3177</v>
      </c>
      <c r="E2" t="inlineStr">
        <is>
          <t>Alta</t>
        </is>
      </c>
      <c r="L2" t="inlineStr">
        <is>
          <t>Não iniciado</t>
        </is>
      </c>
      <c r="M2">
        <v>0</v>
      </c>
    </row>
    <row r="3">
      <c r="A3" t="inlineStr">
        <is>
          <t>P1</t>
        </is>
      </c>
      <c r="B3" t="inlineStr">
        <is>
          <t>T-02</t>
        </is>
      </c>
      <c r="C3" t="inlineStr">
        <is>
          <t>( km 00+000 a km 07+000 )</t>
        </is>
      </c>
      <c r="D3">
        <v>6132.2</v>
      </c>
      <c r="E3" t="inlineStr">
        <is>
          <t>Alta</t>
        </is>
      </c>
      <c r="L3" t="inlineStr">
        <is>
          <t>Não iniciado</t>
        </is>
      </c>
      <c r="M3">
        <v>0</v>
      </c>
    </row>
    <row r="4">
      <c r="A4" t="inlineStr">
        <is>
          <t>P1</t>
        </is>
      </c>
      <c r="B4" t="inlineStr">
        <is>
          <t>A-20</t>
        </is>
      </c>
      <c r="C4" t="inlineStr">
        <is>
          <t>( km 07+520 a km 07+640 )</t>
        </is>
      </c>
      <c r="D4">
        <v>151</v>
      </c>
      <c r="E4" t="inlineStr">
        <is>
          <t>Baixa</t>
        </is>
      </c>
      <c r="L4" t="inlineStr">
        <is>
          <t>Não iniciado</t>
        </is>
      </c>
      <c r="M4">
        <v>0</v>
      </c>
    </row>
    <row r="5">
      <c r="A5" t="inlineStr">
        <is>
          <t>P1</t>
        </is>
      </c>
      <c r="B5" t="inlineStr">
        <is>
          <t>C-19</t>
        </is>
      </c>
      <c r="C5" t="inlineStr">
        <is>
          <t>( km 07+600 a km 08+770 )</t>
        </is>
      </c>
      <c r="D5">
        <v>836</v>
      </c>
      <c r="E5" t="inlineStr">
        <is>
          <t>Média</t>
        </is>
      </c>
      <c r="L5" t="inlineStr">
        <is>
          <t>Não iniciado</t>
        </is>
      </c>
      <c r="M5">
        <v>0</v>
      </c>
    </row>
    <row r="6">
      <c r="A6" t="inlineStr">
        <is>
          <t>P1</t>
        </is>
      </c>
      <c r="B6" t="inlineStr">
        <is>
          <t>A-22</t>
        </is>
      </c>
      <c r="C6" t="inlineStr">
        <is>
          <t>( km 08+740 a km 08+920 )</t>
        </is>
      </c>
      <c r="D6">
        <v>100</v>
      </c>
      <c r="E6" t="inlineStr">
        <is>
          <t>Baixa</t>
        </is>
      </c>
      <c r="L6" t="inlineStr">
        <is>
          <t>Não iniciado</t>
        </is>
      </c>
      <c r="M6">
        <v>0</v>
      </c>
    </row>
    <row r="7">
      <c r="A7" t="inlineStr">
        <is>
          <t>P1</t>
        </is>
      </c>
      <c r="B7" t="inlineStr">
        <is>
          <t>A-23</t>
        </is>
      </c>
      <c r="C7" t="inlineStr">
        <is>
          <t>( km 09+000 a km 09+210 )</t>
        </is>
      </c>
      <c r="D7">
        <v>200</v>
      </c>
      <c r="E7" t="inlineStr">
        <is>
          <t>Baixa</t>
        </is>
      </c>
      <c r="L7" t="inlineStr">
        <is>
          <t>Não iniciado</t>
        </is>
      </c>
      <c r="M7">
        <v>0</v>
      </c>
    </row>
    <row r="8">
      <c r="A8" t="inlineStr">
        <is>
          <t>P1</t>
        </is>
      </c>
      <c r="B8" t="inlineStr">
        <is>
          <t>A-24</t>
        </is>
      </c>
      <c r="C8" t="inlineStr">
        <is>
          <t>( km 09+220 a km 09+380 )</t>
        </is>
      </c>
      <c r="D8">
        <v>160</v>
      </c>
      <c r="E8" t="inlineStr">
        <is>
          <t>Baixa</t>
        </is>
      </c>
      <c r="L8" t="inlineStr">
        <is>
          <t>Não iniciado</t>
        </is>
      </c>
      <c r="M8">
        <v>0</v>
      </c>
    </row>
    <row r="9">
      <c r="A9" t="inlineStr">
        <is>
          <t>P1</t>
        </is>
      </c>
      <c r="B9" t="inlineStr">
        <is>
          <t>A-25</t>
        </is>
      </c>
      <c r="C9" t="inlineStr">
        <is>
          <t>( km 09+410 a km 09+670 )</t>
        </is>
      </c>
      <c r="D9">
        <v>90</v>
      </c>
      <c r="E9" t="inlineStr">
        <is>
          <t>Baixa</t>
        </is>
      </c>
      <c r="L9" t="inlineStr">
        <is>
          <t>Não iniciado</t>
        </is>
      </c>
      <c r="M9">
        <v>0</v>
      </c>
    </row>
    <row r="10">
      <c r="A10" t="inlineStr">
        <is>
          <t>P1</t>
        </is>
      </c>
      <c r="B10" t="inlineStr">
        <is>
          <t>A-27</t>
        </is>
      </c>
      <c r="C10" t="inlineStr">
        <is>
          <t>( km 09+860 a km 09+880 )</t>
        </is>
      </c>
      <c r="D10">
        <v>89</v>
      </c>
      <c r="E10" t="inlineStr">
        <is>
          <t>Baixa</t>
        </is>
      </c>
      <c r="L10" t="inlineStr">
        <is>
          <t>Não iniciado</t>
        </is>
      </c>
      <c r="M10">
        <v>0</v>
      </c>
    </row>
    <row r="11">
      <c r="A11" t="inlineStr">
        <is>
          <t>P1</t>
        </is>
      </c>
      <c r="B11" t="inlineStr">
        <is>
          <t>A-28</t>
        </is>
      </c>
      <c r="C11" t="inlineStr">
        <is>
          <t>( km 09+920 a km 09+960 )</t>
        </is>
      </c>
      <c r="D11">
        <v>178</v>
      </c>
      <c r="E11" t="inlineStr">
        <is>
          <t>Baixa</t>
        </is>
      </c>
      <c r="L11" t="inlineStr">
        <is>
          <t>Não iniciado</t>
        </is>
      </c>
      <c r="M11">
        <v>0</v>
      </c>
    </row>
    <row r="12">
      <c r="A12" t="inlineStr">
        <is>
          <t>P1</t>
        </is>
      </c>
      <c r="B12" t="inlineStr">
        <is>
          <t>C-25</t>
        </is>
      </c>
      <c r="C12" t="inlineStr">
        <is>
          <t>( km 09+940 a km 10+200 )</t>
        </is>
      </c>
      <c r="D12">
        <v>444</v>
      </c>
      <c r="E12" t="inlineStr">
        <is>
          <t>Média</t>
        </is>
      </c>
      <c r="L12" t="inlineStr">
        <is>
          <t>Não iniciado</t>
        </is>
      </c>
      <c r="M12">
        <v>0</v>
      </c>
    </row>
    <row r="13">
      <c r="A13" t="inlineStr">
        <is>
          <t>P1</t>
        </is>
      </c>
      <c r="B13" t="inlineStr">
        <is>
          <t>C-26</t>
        </is>
      </c>
      <c r="C13" t="inlineStr">
        <is>
          <t>( km 10+430 a km 10+540 )</t>
        </is>
      </c>
      <c r="D13">
        <v>273</v>
      </c>
      <c r="E13" t="inlineStr">
        <is>
          <t>Baixa</t>
        </is>
      </c>
      <c r="L13" t="inlineStr">
        <is>
          <t>Não iniciado</t>
        </is>
      </c>
      <c r="M13">
        <v>0</v>
      </c>
    </row>
    <row r="14">
      <c r="A14" t="inlineStr">
        <is>
          <t>P1</t>
        </is>
      </c>
      <c r="B14" t="inlineStr">
        <is>
          <t>A-30</t>
        </is>
      </c>
      <c r="C14" t="inlineStr">
        <is>
          <t>( km 10+500 a km 10+770 )</t>
        </is>
      </c>
      <c r="D14">
        <v>157</v>
      </c>
      <c r="E14" t="inlineStr">
        <is>
          <t>Baixa</t>
        </is>
      </c>
      <c r="L14" t="inlineStr">
        <is>
          <t>Não iniciado</t>
        </is>
      </c>
      <c r="M14">
        <v>0</v>
      </c>
    </row>
    <row r="15">
      <c r="A15" t="inlineStr">
        <is>
          <t>P1</t>
        </is>
      </c>
      <c r="B15" t="inlineStr">
        <is>
          <t>C-27</t>
        </is>
      </c>
      <c r="C15" t="inlineStr">
        <is>
          <t>( km 10+750 a km 10+990 )</t>
        </is>
      </c>
      <c r="D15">
        <v>390</v>
      </c>
      <c r="E15" t="inlineStr">
        <is>
          <t>Média</t>
        </is>
      </c>
      <c r="L15" t="inlineStr">
        <is>
          <t>Não iniciado</t>
        </is>
      </c>
      <c r="M15">
        <v>0</v>
      </c>
    </row>
    <row r="16">
      <c r="A16" t="inlineStr">
        <is>
          <t>P1</t>
        </is>
      </c>
      <c r="B16" t="inlineStr">
        <is>
          <t>A-31</t>
        </is>
      </c>
      <c r="C16" t="inlineStr">
        <is>
          <t>( km 10+970 a km 11+260 )</t>
        </is>
      </c>
      <c r="D16">
        <v>388</v>
      </c>
      <c r="E16" t="inlineStr">
        <is>
          <t>Média</t>
        </is>
      </c>
      <c r="L16" t="inlineStr">
        <is>
          <t>Não iniciado</t>
        </is>
      </c>
      <c r="M16">
        <v>0</v>
      </c>
    </row>
    <row r="17">
      <c r="A17" t="inlineStr">
        <is>
          <t>P1</t>
        </is>
      </c>
      <c r="B17" t="inlineStr">
        <is>
          <t>C-29</t>
        </is>
      </c>
      <c r="C17" t="inlineStr">
        <is>
          <t>( km 11+320 a km 11+900 )</t>
        </is>
      </c>
      <c r="D17">
        <v>1103</v>
      </c>
      <c r="E17" t="inlineStr">
        <is>
          <t>Alta</t>
        </is>
      </c>
      <c r="L17" t="inlineStr">
        <is>
          <t>Não iniciado</t>
        </is>
      </c>
      <c r="M17">
        <v>0</v>
      </c>
    </row>
    <row r="18">
      <c r="A18" t="inlineStr">
        <is>
          <t>P1</t>
        </is>
      </c>
      <c r="B18" t="inlineStr">
        <is>
          <t>T-03</t>
        </is>
      </c>
      <c r="C18" t="inlineStr">
        <is>
          <t>( km 12+000 a km 15+000 )</t>
        </is>
      </c>
      <c r="D18">
        <v>1696.25</v>
      </c>
      <c r="E18" t="inlineStr">
        <is>
          <t>Alta</t>
        </is>
      </c>
      <c r="L18" t="inlineStr">
        <is>
          <t>Não iniciado</t>
        </is>
      </c>
      <c r="M18">
        <v>0</v>
      </c>
    </row>
    <row r="19">
      <c r="A19" t="inlineStr">
        <is>
          <t>P1</t>
        </is>
      </c>
      <c r="B19" t="inlineStr">
        <is>
          <t>T-04</t>
        </is>
      </c>
      <c r="C19" t="inlineStr">
        <is>
          <t>( km 12+000 a km 15+000 )</t>
        </is>
      </c>
      <c r="D19">
        <v>1495.08</v>
      </c>
      <c r="E19" t="inlineStr">
        <is>
          <t>Alta</t>
        </is>
      </c>
      <c r="L19" t="inlineStr">
        <is>
          <t>Não iniciado</t>
        </is>
      </c>
      <c r="M19">
        <v>0</v>
      </c>
    </row>
    <row r="20">
      <c r="A20" t="inlineStr">
        <is>
          <t>P1</t>
        </is>
      </c>
      <c r="B20" t="inlineStr">
        <is>
          <t>T-05</t>
        </is>
      </c>
      <c r="C20" t="inlineStr">
        <is>
          <t>( km 12+000 a km 15+000 )</t>
        </is>
      </c>
      <c r="D20">
        <v>1485</v>
      </c>
      <c r="E20" t="inlineStr">
        <is>
          <t>Alta</t>
        </is>
      </c>
      <c r="L20" t="inlineStr">
        <is>
          <t>Não iniciado</t>
        </is>
      </c>
      <c r="M20">
        <v>0</v>
      </c>
    </row>
    <row r="21">
      <c r="A21" t="inlineStr">
        <is>
          <t>P1</t>
        </is>
      </c>
      <c r="B21" t="inlineStr">
        <is>
          <t>A-41</t>
        </is>
      </c>
      <c r="C21" t="inlineStr">
        <is>
          <t>( km 14+780 a km 15+440 )</t>
        </is>
      </c>
      <c r="D21">
        <v>80</v>
      </c>
      <c r="E21" t="inlineStr">
        <is>
          <t>Baixa</t>
        </is>
      </c>
      <c r="L21" t="inlineStr">
        <is>
          <t>Não iniciado</t>
        </is>
      </c>
      <c r="M21">
        <v>0</v>
      </c>
    </row>
    <row r="22">
      <c r="A22" t="inlineStr">
        <is>
          <t>P1</t>
        </is>
      </c>
      <c r="B22" t="inlineStr">
        <is>
          <t>C-37</t>
        </is>
      </c>
      <c r="C22" t="inlineStr">
        <is>
          <t>( km 15+380 a km 15+720 )</t>
        </is>
      </c>
      <c r="D22">
        <v>360</v>
      </c>
      <c r="E22" t="inlineStr">
        <is>
          <t>Média</t>
        </is>
      </c>
      <c r="L22" t="inlineStr">
        <is>
          <t>Não iniciado</t>
        </is>
      </c>
      <c r="M22">
        <v>0</v>
      </c>
    </row>
    <row r="23">
      <c r="A23" t="inlineStr">
        <is>
          <t>P1</t>
        </is>
      </c>
      <c r="B23" t="inlineStr">
        <is>
          <t>A-42</t>
        </is>
      </c>
      <c r="C23" t="inlineStr">
        <is>
          <t>( km 15+700 a km 16+740 )</t>
        </is>
      </c>
      <c r="D23">
        <v>800</v>
      </c>
      <c r="E23" t="inlineStr">
        <is>
          <t>Média</t>
        </is>
      </c>
      <c r="L23" t="inlineStr">
        <is>
          <t>Não iniciado</t>
        </is>
      </c>
      <c r="M23">
        <v>0</v>
      </c>
    </row>
    <row r="24">
      <c r="A24" t="inlineStr">
        <is>
          <t>P1</t>
        </is>
      </c>
      <c r="B24" t="inlineStr">
        <is>
          <t>A-47</t>
        </is>
      </c>
      <c r="C24" t="inlineStr">
        <is>
          <t>( km 26+420 a km 29+740 )</t>
        </is>
      </c>
      <c r="D24">
        <v>2618.58</v>
      </c>
      <c r="E24" t="inlineStr">
        <is>
          <t>Alta</t>
        </is>
      </c>
      <c r="L24" t="inlineStr">
        <is>
          <t>Não iniciado</t>
        </is>
      </c>
      <c r="M24">
        <v>0</v>
      </c>
    </row>
    <row r="25">
      <c r="A25" t="inlineStr">
        <is>
          <t>P1</t>
        </is>
      </c>
      <c r="B25" t="inlineStr">
        <is>
          <t>C-44</t>
        </is>
      </c>
      <c r="C25" t="inlineStr">
        <is>
          <t>( km 29+760 a km 29+900 )</t>
        </is>
      </c>
      <c r="D25">
        <v>110.42</v>
      </c>
      <c r="E25" t="inlineStr">
        <is>
          <t>Baixa</t>
        </is>
      </c>
      <c r="L25" t="inlineStr">
        <is>
          <t>Não iniciado</t>
        </is>
      </c>
      <c r="M25">
        <v>0</v>
      </c>
    </row>
    <row r="26">
      <c r="A26" t="inlineStr">
        <is>
          <t>P1</t>
        </is>
      </c>
      <c r="B26" t="inlineStr">
        <is>
          <t>A-48</t>
        </is>
      </c>
      <c r="C26" t="inlineStr">
        <is>
          <t>( km 29+860 a km 30+920 )</t>
        </is>
      </c>
      <c r="D26">
        <v>772</v>
      </c>
      <c r="E26" t="inlineStr">
        <is>
          <t>Média</t>
        </is>
      </c>
      <c r="L26" t="inlineStr">
        <is>
          <t>Não iniciado</t>
        </is>
      </c>
      <c r="M26">
        <v>0</v>
      </c>
    </row>
    <row r="27">
      <c r="A27" t="inlineStr">
        <is>
          <t>P1</t>
        </is>
      </c>
      <c r="B27" t="inlineStr">
        <is>
          <t>A-01</t>
        </is>
      </c>
      <c r="C27" t="inlineStr">
        <is>
          <t>( km 31+033 a km 31+840 )</t>
        </is>
      </c>
      <c r="D27">
        <v>918.4</v>
      </c>
      <c r="E27" t="inlineStr">
        <is>
          <t>Média</t>
        </is>
      </c>
      <c r="L27" t="inlineStr">
        <is>
          <t>Não iniciado</t>
        </is>
      </c>
      <c r="M27">
        <v>0</v>
      </c>
    </row>
    <row r="28">
      <c r="A28" t="inlineStr">
        <is>
          <t>P1</t>
        </is>
      </c>
      <c r="B28" t="inlineStr">
        <is>
          <t>A-03</t>
        </is>
      </c>
      <c r="C28" t="inlineStr">
        <is>
          <t>( km 33+260 a km 34+080 )</t>
        </is>
      </c>
      <c r="D28">
        <v>80</v>
      </c>
      <c r="E28" t="inlineStr">
        <is>
          <t>Baixa</t>
        </is>
      </c>
      <c r="L28" t="inlineStr">
        <is>
          <t>Não iniciado</t>
        </is>
      </c>
      <c r="M28">
        <v>0</v>
      </c>
    </row>
    <row r="29">
      <c r="A29" t="inlineStr">
        <is>
          <t>P1</t>
        </is>
      </c>
      <c r="B29" t="inlineStr">
        <is>
          <t>C-03</t>
        </is>
      </c>
      <c r="C29" t="inlineStr">
        <is>
          <t>( km 33+140 a km 33+290 )</t>
        </is>
      </c>
      <c r="D29">
        <v>650</v>
      </c>
      <c r="E29" t="inlineStr">
        <is>
          <t>Média</t>
        </is>
      </c>
      <c r="L29" t="inlineStr">
        <is>
          <t>Não iniciado</t>
        </is>
      </c>
      <c r="M29">
        <v>0</v>
      </c>
    </row>
    <row r="30">
      <c r="A30" t="inlineStr">
        <is>
          <t>P1</t>
        </is>
      </c>
      <c r="B30" t="inlineStr">
        <is>
          <t>A-04</t>
        </is>
      </c>
      <c r="C30" t="inlineStr">
        <is>
          <t>( km 34+500 a km 34+710 )</t>
        </is>
      </c>
      <c r="D30">
        <v>400</v>
      </c>
      <c r="E30" t="inlineStr">
        <is>
          <t>Média</t>
        </is>
      </c>
      <c r="L30" t="inlineStr">
        <is>
          <t>Não iniciado</t>
        </is>
      </c>
      <c r="M30">
        <v>0</v>
      </c>
    </row>
    <row r="31">
      <c r="A31" t="inlineStr">
        <is>
          <t>P1</t>
        </is>
      </c>
      <c r="B31" t="inlineStr">
        <is>
          <t>C-07</t>
        </is>
      </c>
      <c r="C31" t="inlineStr">
        <is>
          <t>( km 36+140 a km 36+320 )</t>
        </is>
      </c>
      <c r="D31">
        <v>80</v>
      </c>
      <c r="E31" t="inlineStr">
        <is>
          <t>Baixa</t>
        </is>
      </c>
      <c r="L31" t="inlineStr">
        <is>
          <t>Não iniciado</t>
        </is>
      </c>
      <c r="M31">
        <v>0</v>
      </c>
    </row>
    <row r="32">
      <c r="A32" t="inlineStr">
        <is>
          <t>P1</t>
        </is>
      </c>
      <c r="B32" t="inlineStr">
        <is>
          <t>C-08</t>
        </is>
      </c>
      <c r="C32" t="inlineStr">
        <is>
          <t>( km 36+040 a km 36+700 )</t>
        </is>
      </c>
      <c r="D32">
        <v>792</v>
      </c>
      <c r="E32" t="inlineStr">
        <is>
          <t>Média</t>
        </is>
      </c>
      <c r="L32" t="inlineStr">
        <is>
          <t>Não iniciado</t>
        </is>
      </c>
      <c r="M32">
        <v>0</v>
      </c>
    </row>
    <row r="33">
      <c r="A33" t="inlineStr">
        <is>
          <t>P1</t>
        </is>
      </c>
      <c r="B33" t="inlineStr">
        <is>
          <t>A-08</t>
        </is>
      </c>
      <c r="C33" t="inlineStr">
        <is>
          <t>( km 36+700 a km 37+060 )</t>
        </is>
      </c>
      <c r="D33">
        <v>428</v>
      </c>
      <c r="E33" t="inlineStr">
        <is>
          <t>Média</t>
        </is>
      </c>
      <c r="L33" t="inlineStr">
        <is>
          <t>Não iniciado</t>
        </is>
      </c>
      <c r="M33">
        <v>0</v>
      </c>
    </row>
    <row r="34">
      <c r="A34" t="inlineStr">
        <is>
          <t>P1</t>
        </is>
      </c>
      <c r="B34" t="inlineStr">
        <is>
          <t>C-09</t>
        </is>
      </c>
      <c r="C34" t="inlineStr">
        <is>
          <t>( km 37+030 a km 37+210 )</t>
        </is>
      </c>
      <c r="D34">
        <v>290</v>
      </c>
      <c r="E34" t="inlineStr">
        <is>
          <t>Baixa</t>
        </is>
      </c>
      <c r="L34" t="inlineStr">
        <is>
          <t>Não iniciado</t>
        </is>
      </c>
      <c r="M34">
        <v>0</v>
      </c>
    </row>
    <row r="35">
      <c r="A35" t="inlineStr">
        <is>
          <t>P1</t>
        </is>
      </c>
      <c r="B35" t="inlineStr">
        <is>
          <t>C-10</t>
        </is>
      </c>
      <c r="C35" t="inlineStr">
        <is>
          <t>( km 37+400 a km 37+650 )</t>
        </is>
      </c>
      <c r="D35">
        <v>127</v>
      </c>
      <c r="E35" t="inlineStr">
        <is>
          <t>Baixa</t>
        </is>
      </c>
      <c r="L35" t="inlineStr">
        <is>
          <t>Não iniciado</t>
        </is>
      </c>
      <c r="M35">
        <v>0</v>
      </c>
    </row>
    <row r="36">
      <c r="A36" t="inlineStr">
        <is>
          <t>P1</t>
        </is>
      </c>
      <c r="B36" t="inlineStr">
        <is>
          <t>A-10</t>
        </is>
      </c>
      <c r="C36" t="inlineStr">
        <is>
          <t>( km 37+620 a km 38+200 )</t>
        </is>
      </c>
      <c r="D36">
        <v>800</v>
      </c>
      <c r="E36" t="inlineStr">
        <is>
          <t>Média</t>
        </is>
      </c>
      <c r="L36" t="inlineStr">
        <is>
          <t>Não iniciado</t>
        </is>
      </c>
      <c r="M36">
        <v>0</v>
      </c>
    </row>
    <row r="37">
      <c r="A37" t="inlineStr">
        <is>
          <t>P2</t>
        </is>
      </c>
      <c r="B37" t="inlineStr">
        <is>
          <t>T-01</t>
        </is>
      </c>
      <c r="C37" t="inlineStr">
        <is>
          <t>( km 69+750 a km 70+540 )</t>
        </is>
      </c>
      <c r="D37">
        <v>790</v>
      </c>
      <c r="E37" t="inlineStr">
        <is>
          <t>Média</t>
        </is>
      </c>
      <c r="L37" t="inlineStr">
        <is>
          <t>Não iniciado</t>
        </is>
      </c>
      <c r="M37">
        <v>0</v>
      </c>
    </row>
    <row r="38">
      <c r="A38" t="inlineStr">
        <is>
          <t>P2</t>
        </is>
      </c>
      <c r="B38" t="inlineStr">
        <is>
          <t>T-02</t>
        </is>
      </c>
      <c r="C38" t="inlineStr">
        <is>
          <t>( km 69+490 a km 69+580 )</t>
        </is>
      </c>
      <c r="D38">
        <v>90</v>
      </c>
      <c r="E38" t="inlineStr">
        <is>
          <t>Baixa</t>
        </is>
      </c>
      <c r="L38" t="inlineStr">
        <is>
          <t>Não iniciado</t>
        </is>
      </c>
      <c r="M38">
        <v>0</v>
      </c>
    </row>
    <row r="39">
      <c r="A39" t="inlineStr">
        <is>
          <t>P2</t>
        </is>
      </c>
      <c r="B39" t="inlineStr">
        <is>
          <t>T-03</t>
        </is>
      </c>
      <c r="C39" t="inlineStr">
        <is>
          <t>( km 62+700 a km 63+900 )</t>
        </is>
      </c>
      <c r="D39">
        <v>200</v>
      </c>
      <c r="E39" t="inlineStr">
        <is>
          <t>Baixa</t>
        </is>
      </c>
      <c r="L39" t="inlineStr">
        <is>
          <t>Não iniciado</t>
        </is>
      </c>
      <c r="M39">
        <v>0</v>
      </c>
    </row>
    <row r="40">
      <c r="A40" t="inlineStr">
        <is>
          <t>P2</t>
        </is>
      </c>
      <c r="B40" t="inlineStr">
        <is>
          <t>T-04</t>
        </is>
      </c>
      <c r="C40" t="inlineStr">
        <is>
          <t>( km 62+490 a km 62+560 )</t>
        </is>
      </c>
      <c r="D40">
        <v>70</v>
      </c>
      <c r="E40" t="inlineStr">
        <is>
          <t>Baixa</t>
        </is>
      </c>
      <c r="L40" t="inlineStr">
        <is>
          <t>Não iniciado</t>
        </is>
      </c>
      <c r="M40">
        <v>0</v>
      </c>
    </row>
    <row r="41">
      <c r="A41" t="inlineStr">
        <is>
          <t>P2</t>
        </is>
      </c>
      <c r="B41" t="inlineStr">
        <is>
          <t>T-05</t>
        </is>
      </c>
      <c r="C41" t="inlineStr">
        <is>
          <t>( km 59+320 a km 59+660 )</t>
        </is>
      </c>
      <c r="D41">
        <v>340</v>
      </c>
      <c r="E41" t="inlineStr">
        <is>
          <t>Média</t>
        </is>
      </c>
      <c r="L41" t="inlineStr">
        <is>
          <t>Não iniciado</t>
        </is>
      </c>
      <c r="M41">
        <v>0</v>
      </c>
    </row>
    <row r="42">
      <c r="A42" t="inlineStr">
        <is>
          <t>P2</t>
        </is>
      </c>
      <c r="B42" t="inlineStr">
        <is>
          <t>T-06</t>
        </is>
      </c>
      <c r="C42" t="inlineStr">
        <is>
          <t>( km 56+200 a km 56+220 )</t>
        </is>
      </c>
      <c r="D42">
        <v>20</v>
      </c>
      <c r="E42" t="inlineStr">
        <is>
          <t>Baixa</t>
        </is>
      </c>
      <c r="L42" t="inlineStr">
        <is>
          <t>Não iniciado</t>
        </is>
      </c>
      <c r="M42">
        <v>0</v>
      </c>
    </row>
    <row r="43">
      <c r="A43" t="inlineStr">
        <is>
          <t>P2</t>
        </is>
      </c>
      <c r="B43" t="inlineStr">
        <is>
          <t>T-07</t>
        </is>
      </c>
      <c r="C43" t="inlineStr">
        <is>
          <t>( km 55+980 a km 56+020 )</t>
        </is>
      </c>
      <c r="D43">
        <v>40</v>
      </c>
      <c r="E43" t="inlineStr">
        <is>
          <t>Baixa</t>
        </is>
      </c>
      <c r="L43" t="inlineStr">
        <is>
          <t>Não iniciado</t>
        </is>
      </c>
      <c r="M43">
        <v>0</v>
      </c>
    </row>
    <row r="44">
      <c r="A44" t="inlineStr">
        <is>
          <t>P2</t>
        </is>
      </c>
      <c r="B44" t="inlineStr">
        <is>
          <t>T-08</t>
        </is>
      </c>
      <c r="C44" t="inlineStr">
        <is>
          <t>( km 51+320 a km 51+940 )</t>
        </is>
      </c>
      <c r="D44">
        <v>380</v>
      </c>
      <c r="E44" t="inlineStr">
        <is>
          <t>Média</t>
        </is>
      </c>
      <c r="L44" t="inlineStr">
        <is>
          <t>Não iniciado</t>
        </is>
      </c>
      <c r="M44">
        <v>0</v>
      </c>
    </row>
    <row r="45">
      <c r="A45" t="inlineStr">
        <is>
          <t>P2</t>
        </is>
      </c>
      <c r="B45" t="inlineStr">
        <is>
          <t>T-09</t>
        </is>
      </c>
      <c r="C45" t="inlineStr">
        <is>
          <t>( km 51+620 a km 51+760 )</t>
        </is>
      </c>
      <c r="D45">
        <v>140</v>
      </c>
      <c r="E45" t="inlineStr">
        <is>
          <t>Baixa</t>
        </is>
      </c>
      <c r="L45" t="inlineStr">
        <is>
          <t>Não iniciado</t>
        </is>
      </c>
      <c r="M45">
        <v>0</v>
      </c>
    </row>
    <row r="46">
      <c r="A46" t="inlineStr">
        <is>
          <t>P2</t>
        </is>
      </c>
      <c r="B46" t="inlineStr">
        <is>
          <t>T-10</t>
        </is>
      </c>
      <c r="C46" t="inlineStr">
        <is>
          <t>( km 51+480 a km 51+620 )</t>
        </is>
      </c>
      <c r="D46">
        <v>140</v>
      </c>
      <c r="E46" t="inlineStr">
        <is>
          <t>Baixa</t>
        </is>
      </c>
      <c r="L46" t="inlineStr">
        <is>
          <t>Não iniciado</t>
        </is>
      </c>
      <c r="M46">
        <v>0</v>
      </c>
    </row>
    <row r="47">
      <c r="A47" t="inlineStr">
        <is>
          <t>P2</t>
        </is>
      </c>
      <c r="B47" t="inlineStr">
        <is>
          <t>T-11</t>
        </is>
      </c>
      <c r="C47" t="inlineStr">
        <is>
          <t>( km 51+140 a km 51+340 )</t>
        </is>
      </c>
      <c r="D47">
        <v>200</v>
      </c>
      <c r="E47" t="inlineStr">
        <is>
          <t>Baixa</t>
        </is>
      </c>
      <c r="L47" t="inlineStr">
        <is>
          <t>Não iniciado</t>
        </is>
      </c>
      <c r="M47">
        <v>0</v>
      </c>
    </row>
    <row r="48">
      <c r="A48" t="inlineStr">
        <is>
          <t>P2</t>
        </is>
      </c>
      <c r="B48" t="inlineStr">
        <is>
          <t>T-12</t>
        </is>
      </c>
      <c r="C48" t="inlineStr">
        <is>
          <t>( km 51+080 a km 51+130 )</t>
        </is>
      </c>
      <c r="D48">
        <v>50</v>
      </c>
      <c r="E48" t="inlineStr">
        <is>
          <t>Baixa</t>
        </is>
      </c>
      <c r="L48" t="inlineStr">
        <is>
          <t>Não iniciado</t>
        </is>
      </c>
      <c r="M48">
        <v>0</v>
      </c>
    </row>
    <row r="49">
      <c r="A49" t="inlineStr">
        <is>
          <t>P2</t>
        </is>
      </c>
      <c r="B49" t="inlineStr">
        <is>
          <t>T-13</t>
        </is>
      </c>
      <c r="C49" t="inlineStr">
        <is>
          <t>( km 51+000 a km 51+020 )</t>
        </is>
      </c>
      <c r="D49">
        <v>20</v>
      </c>
      <c r="E49" t="inlineStr">
        <is>
          <t>Baixa</t>
        </is>
      </c>
      <c r="L49" t="inlineStr">
        <is>
          <t>Não iniciado</t>
        </is>
      </c>
      <c r="M49">
        <v>0</v>
      </c>
    </row>
    <row r="50">
      <c r="A50" t="inlineStr">
        <is>
          <t>P2</t>
        </is>
      </c>
      <c r="B50" t="inlineStr">
        <is>
          <t>T-14</t>
        </is>
      </c>
      <c r="C50" t="inlineStr">
        <is>
          <t>( km 51+030 a km 51+065 )</t>
        </is>
      </c>
      <c r="D50">
        <v>35</v>
      </c>
      <c r="E50" t="inlineStr">
        <is>
          <t>Baixa</t>
        </is>
      </c>
      <c r="L50" t="inlineStr">
        <is>
          <t>Não iniciado</t>
        </is>
      </c>
      <c r="M50">
        <v>0</v>
      </c>
    </row>
    <row r="51">
      <c r="A51" t="inlineStr">
        <is>
          <t>P2</t>
        </is>
      </c>
      <c r="B51" t="inlineStr">
        <is>
          <t>T-15</t>
        </is>
      </c>
      <c r="C51" t="inlineStr">
        <is>
          <t>( km 50+800 a km 50+980 )</t>
        </is>
      </c>
      <c r="D51">
        <v>180</v>
      </c>
      <c r="E51" t="inlineStr">
        <is>
          <t>Baixa</t>
        </is>
      </c>
      <c r="L51" t="inlineStr">
        <is>
          <t>Não iniciado</t>
        </is>
      </c>
      <c r="M51">
        <v>0</v>
      </c>
    </row>
    <row r="52">
      <c r="A52" t="inlineStr">
        <is>
          <t>P2</t>
        </is>
      </c>
      <c r="B52" t="inlineStr">
        <is>
          <t>T-16</t>
        </is>
      </c>
      <c r="C52" t="inlineStr">
        <is>
          <t>( km 49+960 a km 50+260 )</t>
        </is>
      </c>
      <c r="D52">
        <v>436</v>
      </c>
      <c r="E52" t="inlineStr">
        <is>
          <t>Média</t>
        </is>
      </c>
      <c r="L52" t="inlineStr">
        <is>
          <t>Não iniciado</t>
        </is>
      </c>
      <c r="M52">
        <v>0</v>
      </c>
    </row>
    <row r="53">
      <c r="A53" t="inlineStr">
        <is>
          <t>P2</t>
        </is>
      </c>
      <c r="B53" t="inlineStr">
        <is>
          <t>T-17</t>
        </is>
      </c>
      <c r="C53" t="inlineStr">
        <is>
          <t>( km 49+570 a km 49+940 )</t>
        </is>
      </c>
      <c r="D53">
        <v>676</v>
      </c>
      <c r="E53" t="inlineStr">
        <is>
          <t>Média</t>
        </is>
      </c>
      <c r="L53" t="inlineStr">
        <is>
          <t>Não iniciado</t>
        </is>
      </c>
      <c r="M53">
        <v>0</v>
      </c>
    </row>
    <row r="54">
      <c r="A54" t="inlineStr">
        <is>
          <t>P2</t>
        </is>
      </c>
      <c r="B54" t="inlineStr">
        <is>
          <t>T-18</t>
        </is>
      </c>
      <c r="C54" t="inlineStr">
        <is>
          <t>( km 49+140 a km 49+460 )</t>
        </is>
      </c>
      <c r="D54">
        <v>400</v>
      </c>
      <c r="E54" t="inlineStr">
        <is>
          <t>Média</t>
        </is>
      </c>
      <c r="L54" t="inlineStr">
        <is>
          <t>Não iniciado</t>
        </is>
      </c>
      <c r="M54">
        <v>0</v>
      </c>
    </row>
    <row r="55">
      <c r="A55" t="inlineStr">
        <is>
          <t>P2</t>
        </is>
      </c>
      <c r="B55" t="inlineStr">
        <is>
          <t>T-19</t>
        </is>
      </c>
      <c r="C55" t="inlineStr">
        <is>
          <t>( km 48+720 a km 49+130 )</t>
        </is>
      </c>
      <c r="D55">
        <v>280</v>
      </c>
      <c r="E55" t="inlineStr">
        <is>
          <t>Baixa</t>
        </is>
      </c>
      <c r="L55" t="inlineStr">
        <is>
          <t>Não iniciado</t>
        </is>
      </c>
      <c r="M55">
        <v>0</v>
      </c>
    </row>
    <row r="56">
      <c r="A56" t="inlineStr">
        <is>
          <t>P2</t>
        </is>
      </c>
      <c r="B56" t="inlineStr">
        <is>
          <t>T-20</t>
        </is>
      </c>
      <c r="C56" t="inlineStr">
        <is>
          <t>( km 48+170 a km 48+670 )</t>
        </is>
      </c>
      <c r="D56">
        <v>889</v>
      </c>
      <c r="E56" t="inlineStr">
        <is>
          <t>Média</t>
        </is>
      </c>
      <c r="L56" t="inlineStr">
        <is>
          <t>Não iniciado</t>
        </is>
      </c>
      <c r="M56">
        <v>0</v>
      </c>
    </row>
    <row r="57">
      <c r="A57" t="inlineStr">
        <is>
          <t>P2</t>
        </is>
      </c>
      <c r="B57" t="inlineStr">
        <is>
          <t>T-21</t>
        </is>
      </c>
      <c r="C57" t="inlineStr">
        <is>
          <t>( km 47+760 a km 48+140 )</t>
        </is>
      </c>
      <c r="D57">
        <v>1300</v>
      </c>
      <c r="E57" t="inlineStr">
        <is>
          <t>Alta</t>
        </is>
      </c>
      <c r="L57" t="inlineStr">
        <is>
          <t>Não iniciado</t>
        </is>
      </c>
      <c r="M57">
        <v>0</v>
      </c>
    </row>
    <row r="58">
      <c r="A58" t="inlineStr">
        <is>
          <t>P2</t>
        </is>
      </c>
      <c r="B58" t="inlineStr">
        <is>
          <t>T-22</t>
        </is>
      </c>
      <c r="C58" t="inlineStr">
        <is>
          <t>( km 47+020 a km 47+720 )</t>
        </is>
      </c>
      <c r="D58">
        <v>1962</v>
      </c>
      <c r="E58" t="inlineStr">
        <is>
          <t>Alta</t>
        </is>
      </c>
      <c r="L58" t="inlineStr">
        <is>
          <t>Não iniciado</t>
        </is>
      </c>
      <c r="M58">
        <v>0</v>
      </c>
    </row>
    <row r="59">
      <c r="A59" t="inlineStr">
        <is>
          <t>P2</t>
        </is>
      </c>
      <c r="B59" t="inlineStr">
        <is>
          <t>T-23</t>
        </is>
      </c>
      <c r="C59" t="inlineStr">
        <is>
          <t>( km 46+240 a km 46+580 )</t>
        </is>
      </c>
      <c r="D59">
        <v>700</v>
      </c>
      <c r="E59" t="inlineStr">
        <is>
          <t>Média</t>
        </is>
      </c>
      <c r="L59" t="inlineStr">
        <is>
          <t>Não iniciado</t>
        </is>
      </c>
      <c r="M59">
        <v>0</v>
      </c>
    </row>
    <row r="60">
      <c r="A60" t="inlineStr">
        <is>
          <t>P2</t>
        </is>
      </c>
      <c r="B60" t="inlineStr">
        <is>
          <t>T-24</t>
        </is>
      </c>
      <c r="C60" t="inlineStr">
        <is>
          <t>( km 46+100 a km 46+520 )</t>
        </is>
      </c>
      <c r="D60">
        <v>360</v>
      </c>
      <c r="E60" t="inlineStr">
        <is>
          <t>Média</t>
        </is>
      </c>
      <c r="L60" t="inlineStr">
        <is>
          <t>Não iniciado</t>
        </is>
      </c>
      <c r="M60">
        <v>0</v>
      </c>
    </row>
    <row r="61">
      <c r="A61" t="inlineStr">
        <is>
          <t>P2</t>
        </is>
      </c>
      <c r="B61" t="inlineStr">
        <is>
          <t>T-25</t>
        </is>
      </c>
      <c r="C61" t="inlineStr">
        <is>
          <t>( km 45+060 a km 46+500 )</t>
        </is>
      </c>
      <c r="D61">
        <v>740</v>
      </c>
      <c r="E61" t="inlineStr">
        <is>
          <t>Média</t>
        </is>
      </c>
      <c r="L61" t="inlineStr">
        <is>
          <t>Não iniciado</t>
        </is>
      </c>
      <c r="M61">
        <v>0</v>
      </c>
    </row>
    <row r="62">
      <c r="A62" t="inlineStr">
        <is>
          <t>P2</t>
        </is>
      </c>
      <c r="B62" t="inlineStr">
        <is>
          <t>T-26</t>
        </is>
      </c>
      <c r="C62" t="inlineStr">
        <is>
          <t>( km 44+760 a km 44+960 )</t>
        </is>
      </c>
      <c r="D62">
        <v>800</v>
      </c>
      <c r="E62" t="inlineStr">
        <is>
          <t>Média</t>
        </is>
      </c>
      <c r="L62" t="inlineStr">
        <is>
          <t>Não iniciado</t>
        </is>
      </c>
      <c r="M62">
        <v>0</v>
      </c>
    </row>
    <row r="63">
      <c r="A63" t="inlineStr">
        <is>
          <t>P2</t>
        </is>
      </c>
      <c r="B63" t="inlineStr">
        <is>
          <t>T-27</t>
        </is>
      </c>
      <c r="C63" t="inlineStr">
        <is>
          <t>( km 42+760 a km 43+300 )</t>
        </is>
      </c>
      <c r="D63">
        <v>510</v>
      </c>
      <c r="E63" t="inlineStr">
        <is>
          <t>Média</t>
        </is>
      </c>
      <c r="L63" t="inlineStr">
        <is>
          <t>Não iniciado</t>
        </is>
      </c>
      <c r="M63">
        <v>0</v>
      </c>
    </row>
    <row r="64">
      <c r="A64" t="inlineStr">
        <is>
          <t>P2</t>
        </is>
      </c>
      <c r="B64" t="inlineStr">
        <is>
          <t>T-28</t>
        </is>
      </c>
      <c r="C64" t="inlineStr">
        <is>
          <t>( km 42+320 a km 42+720 )</t>
        </is>
      </c>
      <c r="D64">
        <v>230</v>
      </c>
      <c r="E64" t="inlineStr">
        <is>
          <t>Baixa</t>
        </is>
      </c>
      <c r="L64" t="inlineStr">
        <is>
          <t>Não iniciado</t>
        </is>
      </c>
      <c r="M64">
        <v>0</v>
      </c>
    </row>
    <row r="65">
      <c r="A65" t="inlineStr">
        <is>
          <t>P2</t>
        </is>
      </c>
      <c r="B65" t="inlineStr">
        <is>
          <t>T-29</t>
        </is>
      </c>
      <c r="C65" t="inlineStr">
        <is>
          <t>( km 41+500 a km 41+980 )</t>
        </is>
      </c>
      <c r="D65">
        <v>670</v>
      </c>
      <c r="E65" t="inlineStr">
        <is>
          <t>Média</t>
        </is>
      </c>
      <c r="L65" t="inlineStr">
        <is>
          <t>Não iniciado</t>
        </is>
      </c>
      <c r="M65">
        <v>0</v>
      </c>
    </row>
    <row r="66">
      <c r="A66" t="inlineStr">
        <is>
          <t>P2</t>
        </is>
      </c>
      <c r="B66" t="inlineStr">
        <is>
          <t>T-30</t>
        </is>
      </c>
      <c r="C66" t="inlineStr">
        <is>
          <t>( km 41+080 a km 41+490 )</t>
        </is>
      </c>
      <c r="D66">
        <v>400</v>
      </c>
      <c r="E66" t="inlineStr">
        <is>
          <t>Média</t>
        </is>
      </c>
      <c r="L66" t="inlineStr">
        <is>
          <t>Não iniciado</t>
        </is>
      </c>
      <c r="M66">
        <v>0</v>
      </c>
    </row>
    <row r="67">
      <c r="A67" t="inlineStr">
        <is>
          <t>P2</t>
        </is>
      </c>
      <c r="B67" t="inlineStr">
        <is>
          <t>T-31</t>
        </is>
      </c>
      <c r="C67" t="inlineStr">
        <is>
          <t>( km 40+160 a km 40+560 )</t>
        </is>
      </c>
      <c r="D67">
        <v>720</v>
      </c>
      <c r="E67" t="inlineStr">
        <is>
          <t>Média</t>
        </is>
      </c>
      <c r="L67" t="inlineStr">
        <is>
          <t>Não iniciado</t>
        </is>
      </c>
      <c r="M67">
        <v>0</v>
      </c>
    </row>
    <row r="68">
      <c r="A68" t="inlineStr">
        <is>
          <t>P3</t>
        </is>
      </c>
      <c r="B68" t="inlineStr">
        <is>
          <t>A-01</t>
        </is>
      </c>
      <c r="C68" t="inlineStr">
        <is>
          <t>( km 71+300 a km 72+000 )</t>
        </is>
      </c>
      <c r="D68">
        <v>75</v>
      </c>
      <c r="E68" t="inlineStr">
        <is>
          <t>Baixa</t>
        </is>
      </c>
      <c r="L68" t="inlineStr">
        <is>
          <t>Não iniciado</t>
        </is>
      </c>
      <c r="M68">
        <v>0</v>
      </c>
    </row>
    <row r="69">
      <c r="A69" t="inlineStr">
        <is>
          <t>P3</t>
        </is>
      </c>
      <c r="B69" t="inlineStr">
        <is>
          <t>C-01</t>
        </is>
      </c>
      <c r="C69" t="inlineStr">
        <is>
          <t>( km 72+000 a km 72+440 )</t>
        </is>
      </c>
      <c r="D69">
        <v>200</v>
      </c>
      <c r="E69" t="inlineStr">
        <is>
          <t>Baixa</t>
        </is>
      </c>
      <c r="L69" t="inlineStr">
        <is>
          <t>Não iniciado</t>
        </is>
      </c>
      <c r="M69">
        <v>0</v>
      </c>
    </row>
    <row r="70">
      <c r="A70" t="inlineStr">
        <is>
          <t>P3</t>
        </is>
      </c>
      <c r="B70" t="inlineStr">
        <is>
          <t>A-02</t>
        </is>
      </c>
      <c r="C70" t="inlineStr">
        <is>
          <t>( km 72+440 a km 72+740 )</t>
        </is>
      </c>
      <c r="D70">
        <v>600</v>
      </c>
      <c r="E70" t="inlineStr">
        <is>
          <t>Média</t>
        </is>
      </c>
      <c r="L70" t="inlineStr">
        <is>
          <t>Não iniciado</t>
        </is>
      </c>
      <c r="M70">
        <v>0</v>
      </c>
    </row>
    <row r="71">
      <c r="A71" t="inlineStr">
        <is>
          <t>P3</t>
        </is>
      </c>
      <c r="B71" t="inlineStr">
        <is>
          <t>C-02</t>
        </is>
      </c>
      <c r="C71" t="inlineStr">
        <is>
          <t>( km 72+740 a km 73+800 )</t>
        </is>
      </c>
      <c r="D71">
        <v>2120</v>
      </c>
      <c r="E71" t="inlineStr">
        <is>
          <t>Alta</t>
        </is>
      </c>
      <c r="L71" t="inlineStr">
        <is>
          <t>Não iniciado</t>
        </is>
      </c>
      <c r="M71">
        <v>0</v>
      </c>
    </row>
    <row r="72">
      <c r="A72" t="inlineStr">
        <is>
          <t>P3</t>
        </is>
      </c>
      <c r="B72" t="inlineStr">
        <is>
          <t>A-03</t>
        </is>
      </c>
      <c r="C72" t="inlineStr">
        <is>
          <t>( km 73+800 a km 74+320 )</t>
        </is>
      </c>
      <c r="D72">
        <v>1040</v>
      </c>
      <c r="E72" t="inlineStr">
        <is>
          <t>Alta</t>
        </is>
      </c>
      <c r="L72" t="inlineStr">
        <is>
          <t>Não iniciado</t>
        </is>
      </c>
      <c r="M72">
        <v>0</v>
      </c>
    </row>
    <row r="73">
      <c r="A73" t="inlineStr">
        <is>
          <t>P3</t>
        </is>
      </c>
      <c r="B73" t="inlineStr">
        <is>
          <t>C-03</t>
        </is>
      </c>
      <c r="C73" t="inlineStr">
        <is>
          <t>( km 74+320 a km 75+090 )</t>
        </is>
      </c>
      <c r="D73">
        <v>1232</v>
      </c>
      <c r="E73" t="inlineStr">
        <is>
          <t>Alta</t>
        </is>
      </c>
      <c r="L73" t="inlineStr">
        <is>
          <t>Não iniciado</t>
        </is>
      </c>
      <c r="M73">
        <v>0</v>
      </c>
    </row>
    <row r="74">
      <c r="A74" t="inlineStr">
        <is>
          <t>P3</t>
        </is>
      </c>
      <c r="B74" t="inlineStr">
        <is>
          <t>A-04</t>
        </is>
      </c>
      <c r="C74" t="inlineStr">
        <is>
          <t>( km 75+090 a km 75+800 )</t>
        </is>
      </c>
      <c r="D74">
        <v>200</v>
      </c>
      <c r="E74" t="inlineStr">
        <is>
          <t>Baixa</t>
        </is>
      </c>
      <c r="L74" t="inlineStr">
        <is>
          <t>Não iniciado</t>
        </is>
      </c>
      <c r="M74">
        <v>0</v>
      </c>
    </row>
    <row r="75">
      <c r="A75" t="inlineStr">
        <is>
          <t>P3</t>
        </is>
      </c>
      <c r="B75" t="inlineStr">
        <is>
          <t>A-04</t>
        </is>
      </c>
      <c r="C75" t="inlineStr">
        <is>
          <t>( km 75+800 a km 75+880 )</t>
        </is>
      </c>
      <c r="D75">
        <v>64</v>
      </c>
      <c r="E75" t="inlineStr">
        <is>
          <t>Baixa</t>
        </is>
      </c>
      <c r="L75" t="inlineStr">
        <is>
          <t>Não iniciado</t>
        </is>
      </c>
      <c r="M75">
        <v>0</v>
      </c>
    </row>
    <row r="76">
      <c r="A76" t="inlineStr">
        <is>
          <t>P3</t>
        </is>
      </c>
      <c r="B76" t="inlineStr">
        <is>
          <t>C-04</t>
        </is>
      </c>
      <c r="C76" t="inlineStr">
        <is>
          <t>( km 75+800 a km 75+880 )</t>
        </is>
      </c>
      <c r="D76">
        <v>160</v>
      </c>
      <c r="E76" t="inlineStr">
        <is>
          <t>Baixa</t>
        </is>
      </c>
      <c r="L76" t="inlineStr">
        <is>
          <t>Não iniciado</t>
        </is>
      </c>
      <c r="M76">
        <v>0</v>
      </c>
    </row>
    <row r="77">
      <c r="A77" t="inlineStr">
        <is>
          <t>P3</t>
        </is>
      </c>
      <c r="B77" t="inlineStr">
        <is>
          <t>A-05</t>
        </is>
      </c>
      <c r="C77" t="inlineStr">
        <is>
          <t>( km 76+495 a km 76+725 )</t>
        </is>
      </c>
      <c r="D77">
        <v>322</v>
      </c>
      <c r="E77" t="inlineStr">
        <is>
          <t>Média</t>
        </is>
      </c>
      <c r="L77" t="inlineStr">
        <is>
          <t>Não iniciado</t>
        </is>
      </c>
      <c r="M77">
        <v>0</v>
      </c>
    </row>
    <row r="78">
      <c r="A78" t="inlineStr">
        <is>
          <t>P3</t>
        </is>
      </c>
      <c r="B78" t="inlineStr">
        <is>
          <t>C-05</t>
        </is>
      </c>
      <c r="C78" t="inlineStr">
        <is>
          <t>( km 76+275m a km 76+495 )</t>
        </is>
      </c>
      <c r="D78">
        <v>132</v>
      </c>
      <c r="E78" t="inlineStr">
        <is>
          <t>Baixa</t>
        </is>
      </c>
      <c r="L78" t="inlineStr">
        <is>
          <t>Não iniciado</t>
        </is>
      </c>
      <c r="M78">
        <v>0</v>
      </c>
    </row>
    <row r="79">
      <c r="A79" t="inlineStr">
        <is>
          <t>P3</t>
        </is>
      </c>
      <c r="B79" t="inlineStr">
        <is>
          <t>A-06</t>
        </is>
      </c>
      <c r="C79" t="inlineStr">
        <is>
          <t>( km 77+575 a km 78+750 )</t>
        </is>
      </c>
      <c r="D79">
        <v>2115</v>
      </c>
      <c r="E79" t="inlineStr">
        <is>
          <t>Alta</t>
        </is>
      </c>
      <c r="L79" t="inlineStr">
        <is>
          <t>Não iniciado</t>
        </is>
      </c>
      <c r="M79">
        <v>0</v>
      </c>
    </row>
    <row r="80">
      <c r="A80" t="inlineStr">
        <is>
          <t>P3</t>
        </is>
      </c>
      <c r="B80" t="inlineStr">
        <is>
          <t>C-06</t>
        </is>
      </c>
      <c r="C80" t="inlineStr">
        <is>
          <t>( km 76+725 a km 77+575 )</t>
        </is>
      </c>
      <c r="D80">
        <v>520</v>
      </c>
      <c r="E80" t="inlineStr">
        <is>
          <t>Média</t>
        </is>
      </c>
      <c r="L80" t="inlineStr">
        <is>
          <t>Não iniciado</t>
        </is>
      </c>
      <c r="M80">
        <v>0</v>
      </c>
    </row>
    <row r="81">
      <c r="A81" t="inlineStr">
        <is>
          <t>P3</t>
        </is>
      </c>
      <c r="B81" t="inlineStr">
        <is>
          <t>A-07</t>
        </is>
      </c>
      <c r="C81" t="inlineStr">
        <is>
          <t>( km 78+860 a km 79+400 )</t>
        </is>
      </c>
      <c r="D81">
        <v>648</v>
      </c>
      <c r="E81" t="inlineStr">
        <is>
          <t>Média</t>
        </is>
      </c>
      <c r="L81" t="inlineStr">
        <is>
          <t>Não iniciado</t>
        </is>
      </c>
      <c r="M81">
        <v>0</v>
      </c>
    </row>
    <row r="82">
      <c r="A82" t="inlineStr">
        <is>
          <t>P3</t>
        </is>
      </c>
      <c r="B82" t="inlineStr">
        <is>
          <t>C-07</t>
        </is>
      </c>
      <c r="C82" t="inlineStr">
        <is>
          <t>( km 78+750 a km 78+860 )</t>
        </is>
      </c>
      <c r="D82">
        <v>220</v>
      </c>
      <c r="E82" t="inlineStr">
        <is>
          <t>Baixa</t>
        </is>
      </c>
      <c r="L82" t="inlineStr">
        <is>
          <t>Não iniciado</t>
        </is>
      </c>
      <c r="M82">
        <v>0</v>
      </c>
    </row>
    <row r="83">
      <c r="A83" t="inlineStr">
        <is>
          <t>P3</t>
        </is>
      </c>
      <c r="B83" t="inlineStr">
        <is>
          <t>A-08</t>
        </is>
      </c>
      <c r="C83" t="inlineStr">
        <is>
          <t>( km 79+520 a km 79+760 )</t>
        </is>
      </c>
      <c r="D83">
        <v>30</v>
      </c>
      <c r="E83" t="inlineStr">
        <is>
          <t>Baixa</t>
        </is>
      </c>
      <c r="L83" t="inlineStr">
        <is>
          <t>Não iniciado</t>
        </is>
      </c>
      <c r="M83">
        <v>0</v>
      </c>
    </row>
    <row r="84">
      <c r="A84" t="inlineStr">
        <is>
          <t>P3</t>
        </is>
      </c>
      <c r="B84" t="inlineStr">
        <is>
          <t>C-08</t>
        </is>
      </c>
      <c r="C84" t="inlineStr">
        <is>
          <t>( km 79+400 a km 79+520 )</t>
        </is>
      </c>
      <c r="D84">
        <v>40</v>
      </c>
      <c r="E84" t="inlineStr">
        <is>
          <t>Baixa</t>
        </is>
      </c>
      <c r="L84" t="inlineStr">
        <is>
          <t>Não iniciado</t>
        </is>
      </c>
      <c r="M84">
        <v>0</v>
      </c>
    </row>
    <row r="85">
      <c r="A85" t="inlineStr">
        <is>
          <t>P3</t>
        </is>
      </c>
      <c r="B85" t="inlineStr">
        <is>
          <t>A-09</t>
        </is>
      </c>
      <c r="C85" t="inlineStr">
        <is>
          <t>( km 80+185 a km 80+680 )</t>
        </is>
      </c>
      <c r="D85">
        <v>990</v>
      </c>
      <c r="E85" t="inlineStr">
        <is>
          <t>Média</t>
        </is>
      </c>
      <c r="L85" t="inlineStr">
        <is>
          <t>Não iniciado</t>
        </is>
      </c>
      <c r="M85">
        <v>0</v>
      </c>
    </row>
    <row r="86">
      <c r="A86" t="inlineStr">
        <is>
          <t>P3</t>
        </is>
      </c>
      <c r="B86" t="inlineStr">
        <is>
          <t>C-09</t>
        </is>
      </c>
      <c r="C86" t="inlineStr">
        <is>
          <t>( km 79+760 a km 80+185 )</t>
        </is>
      </c>
      <c r="D86">
        <v>850</v>
      </c>
      <c r="E86" t="inlineStr">
        <is>
          <t>Média</t>
        </is>
      </c>
      <c r="L86" t="inlineStr">
        <is>
          <t>Não iniciado</t>
        </is>
      </c>
      <c r="M86">
        <v>0</v>
      </c>
    </row>
    <row r="87">
      <c r="A87" t="inlineStr">
        <is>
          <t>P3</t>
        </is>
      </c>
      <c r="B87" t="inlineStr">
        <is>
          <t>A-10</t>
        </is>
      </c>
      <c r="C87" t="inlineStr">
        <is>
          <t>( km 81+440 a km 81+595 )</t>
        </is>
      </c>
      <c r="D87">
        <v>310</v>
      </c>
      <c r="E87" t="inlineStr">
        <is>
          <t>Média</t>
        </is>
      </c>
      <c r="L87" t="inlineStr">
        <is>
          <t>Não iniciado</t>
        </is>
      </c>
      <c r="M87">
        <v>0</v>
      </c>
    </row>
    <row r="88">
      <c r="A88" t="inlineStr">
        <is>
          <t>P3</t>
        </is>
      </c>
      <c r="B88" t="inlineStr">
        <is>
          <t>C-10</t>
        </is>
      </c>
      <c r="C88" t="inlineStr">
        <is>
          <t>( km 80+680 a km 81+440 )</t>
        </is>
      </c>
      <c r="D88">
        <v>110</v>
      </c>
      <c r="E88" t="inlineStr">
        <is>
          <t>Baixa</t>
        </is>
      </c>
      <c r="L88" t="inlineStr">
        <is>
          <t>Não iniciado</t>
        </is>
      </c>
      <c r="M88">
        <v>0</v>
      </c>
    </row>
    <row r="89">
      <c r="A89" t="inlineStr">
        <is>
          <t>P3</t>
        </is>
      </c>
      <c r="B89" t="inlineStr">
        <is>
          <t>A-11</t>
        </is>
      </c>
      <c r="C89" t="inlineStr">
        <is>
          <t>( km 81+820 a km 81+965 )</t>
        </is>
      </c>
      <c r="D89">
        <v>280</v>
      </c>
      <c r="E89" t="inlineStr">
        <is>
          <t>Baixa</t>
        </is>
      </c>
      <c r="L89" t="inlineStr">
        <is>
          <t>Não iniciado</t>
        </is>
      </c>
      <c r="M89">
        <v>0</v>
      </c>
    </row>
    <row r="90">
      <c r="A90" t="inlineStr">
        <is>
          <t>P3</t>
        </is>
      </c>
      <c r="B90" t="inlineStr">
        <is>
          <t>C-11</t>
        </is>
      </c>
      <c r="C90" t="inlineStr">
        <is>
          <t>( km 81+595 a km 81+820 )</t>
        </is>
      </c>
      <c r="D90">
        <v>450</v>
      </c>
      <c r="E90" t="inlineStr">
        <is>
          <t>Média</t>
        </is>
      </c>
      <c r="L90" t="inlineStr">
        <is>
          <t>Não iniciado</t>
        </is>
      </c>
      <c r="M90">
        <v>0</v>
      </c>
    </row>
    <row r="91">
      <c r="A91" t="inlineStr">
        <is>
          <t>P3</t>
        </is>
      </c>
      <c r="B91" t="inlineStr">
        <is>
          <t>C-12</t>
        </is>
      </c>
      <c r="C91" t="inlineStr">
        <is>
          <t>( km 81+965 a km 81+988 )</t>
        </is>
      </c>
      <c r="D91">
        <v>46</v>
      </c>
      <c r="E91" t="inlineStr">
        <is>
          <t>Baixa</t>
        </is>
      </c>
      <c r="L91" t="inlineStr">
        <is>
          <t>Não iniciado</t>
        </is>
      </c>
      <c r="M91">
        <v>0</v>
      </c>
    </row>
    <row r="92">
      <c r="A92" t="inlineStr">
        <is>
          <t>P3</t>
        </is>
      </c>
      <c r="B92" t="inlineStr">
        <is>
          <t>A-11</t>
        </is>
      </c>
      <c r="C92" t="inlineStr">
        <is>
          <t>( km 81+965 a km 82+145 )</t>
        </is>
      </c>
      <c r="D92">
        <v>360</v>
      </c>
      <c r="E92" t="inlineStr">
        <is>
          <t>Média</t>
        </is>
      </c>
      <c r="L92" t="inlineStr">
        <is>
          <t>Não iniciado</t>
        </is>
      </c>
      <c r="M92">
        <v>0</v>
      </c>
    </row>
    <row r="93">
      <c r="A93" t="inlineStr">
        <is>
          <t>P3</t>
        </is>
      </c>
      <c r="B93" t="inlineStr">
        <is>
          <t>C-13</t>
        </is>
      </c>
      <c r="C93" t="inlineStr">
        <is>
          <t>( km 82+145 a km 82+420 )</t>
        </is>
      </c>
      <c r="D93">
        <v>550</v>
      </c>
      <c r="E93" t="inlineStr">
        <is>
          <t>Média</t>
        </is>
      </c>
      <c r="L93" t="inlineStr">
        <is>
          <t>Não iniciado</t>
        </is>
      </c>
      <c r="M93">
        <v>0</v>
      </c>
    </row>
    <row r="94">
      <c r="A94" t="inlineStr">
        <is>
          <t>P3</t>
        </is>
      </c>
      <c r="B94" t="inlineStr">
        <is>
          <t>A-12</t>
        </is>
      </c>
      <c r="C94" t="inlineStr">
        <is>
          <t>( km 81+988 a km 82+145 )</t>
        </is>
      </c>
      <c r="D94">
        <v>318</v>
      </c>
      <c r="E94" t="inlineStr">
        <is>
          <t>Média</t>
        </is>
      </c>
      <c r="L94" t="inlineStr">
        <is>
          <t>Não iniciado</t>
        </is>
      </c>
      <c r="M94">
        <v>0</v>
      </c>
    </row>
    <row r="95">
      <c r="A95" t="inlineStr">
        <is>
          <t>P3</t>
        </is>
      </c>
      <c r="B95" t="inlineStr">
        <is>
          <t>C-14</t>
        </is>
      </c>
      <c r="C95" t="inlineStr">
        <is>
          <t>( km 82+650 a km 82+870 )</t>
        </is>
      </c>
      <c r="D95">
        <v>105</v>
      </c>
      <c r="E95" t="inlineStr">
        <is>
          <t>Baixa</t>
        </is>
      </c>
      <c r="L95" t="inlineStr">
        <is>
          <t>Não iniciado</t>
        </is>
      </c>
      <c r="M95">
        <v>0</v>
      </c>
    </row>
    <row r="96">
      <c r="A96" t="inlineStr">
        <is>
          <t>P3</t>
        </is>
      </c>
      <c r="B96" t="inlineStr">
        <is>
          <t>A-13</t>
        </is>
      </c>
      <c r="C96" t="inlineStr">
        <is>
          <t>( km 82+420 a km 82+650 )</t>
        </is>
      </c>
      <c r="D96">
        <v>460</v>
      </c>
      <c r="E96" t="inlineStr">
        <is>
          <t>Média</t>
        </is>
      </c>
      <c r="L96" t="inlineStr">
        <is>
          <t>Não iniciado</t>
        </is>
      </c>
      <c r="M96">
        <v>0</v>
      </c>
    </row>
    <row r="97">
      <c r="A97" t="inlineStr">
        <is>
          <t>P3</t>
        </is>
      </c>
      <c r="B97" t="inlineStr">
        <is>
          <t>C-15</t>
        </is>
      </c>
      <c r="C97" t="inlineStr">
        <is>
          <t>( km 83+560 a km 84+230 )</t>
        </is>
      </c>
      <c r="D97">
        <v>500</v>
      </c>
      <c r="E97" t="inlineStr">
        <is>
          <t>Média</t>
        </is>
      </c>
      <c r="L97" t="inlineStr">
        <is>
          <t>Não iniciado</t>
        </is>
      </c>
      <c r="M97">
        <v>0</v>
      </c>
    </row>
    <row r="98">
      <c r="A98" t="inlineStr">
        <is>
          <t>P3</t>
        </is>
      </c>
      <c r="B98" t="inlineStr">
        <is>
          <t>A-14</t>
        </is>
      </c>
      <c r="C98" t="inlineStr">
        <is>
          <t>( km 82+870 a km 83+560 )</t>
        </is>
      </c>
      <c r="D98">
        <v>1380</v>
      </c>
      <c r="E98" t="inlineStr">
        <is>
          <t>Alta</t>
        </is>
      </c>
      <c r="L98" t="inlineStr">
        <is>
          <t>Não iniciado</t>
        </is>
      </c>
      <c r="M98">
        <v>0</v>
      </c>
    </row>
    <row r="99">
      <c r="A99" t="inlineStr">
        <is>
          <t>P3</t>
        </is>
      </c>
      <c r="B99" t="inlineStr">
        <is>
          <t>C-16</t>
        </is>
      </c>
      <c r="C99" t="inlineStr">
        <is>
          <t>( km 84+550 a km 85+330 )</t>
        </is>
      </c>
      <c r="D99">
        <v>500</v>
      </c>
      <c r="E99" t="inlineStr">
        <is>
          <t>Média</t>
        </is>
      </c>
      <c r="L99" t="inlineStr">
        <is>
          <t>Não iniciado</t>
        </is>
      </c>
      <c r="M99">
        <v>0</v>
      </c>
    </row>
    <row r="100">
      <c r="A100" t="inlineStr">
        <is>
          <t>P3</t>
        </is>
      </c>
      <c r="B100" t="inlineStr">
        <is>
          <t>A-15</t>
        </is>
      </c>
      <c r="C100" t="inlineStr">
        <is>
          <t>( km 84+230 a km 84+550 )</t>
        </is>
      </c>
      <c r="D100">
        <v>540</v>
      </c>
      <c r="E100" t="inlineStr">
        <is>
          <t>Média</t>
        </is>
      </c>
      <c r="L100" t="inlineStr">
        <is>
          <t>Não iniciado</t>
        </is>
      </c>
      <c r="M100">
        <v>0</v>
      </c>
    </row>
    <row r="101">
      <c r="A101" t="inlineStr">
        <is>
          <t>P3</t>
        </is>
      </c>
      <c r="B101" t="inlineStr">
        <is>
          <t>C-17</t>
        </is>
      </c>
      <c r="C101" t="inlineStr">
        <is>
          <t>( km 85+620 a km 85+960 )</t>
        </is>
      </c>
      <c r="D101">
        <v>680</v>
      </c>
      <c r="E101" t="inlineStr">
        <is>
          <t>Média</t>
        </is>
      </c>
      <c r="L101" t="inlineStr">
        <is>
          <t>Não iniciado</t>
        </is>
      </c>
      <c r="M101">
        <v>0</v>
      </c>
    </row>
    <row r="102">
      <c r="A102" t="inlineStr">
        <is>
          <t>P3</t>
        </is>
      </c>
      <c r="B102" t="inlineStr">
        <is>
          <t>A-16</t>
        </is>
      </c>
      <c r="C102" t="inlineStr">
        <is>
          <t>( km 85+330 a km 85+620 )</t>
        </is>
      </c>
      <c r="D102">
        <v>580</v>
      </c>
      <c r="E102" t="inlineStr">
        <is>
          <t>Média</t>
        </is>
      </c>
      <c r="L102" t="inlineStr">
        <is>
          <t>Não iniciado</t>
        </is>
      </c>
      <c r="M102">
        <v>0</v>
      </c>
    </row>
    <row r="103">
      <c r="A103" t="inlineStr">
        <is>
          <t>P3</t>
        </is>
      </c>
      <c r="B103" t="inlineStr">
        <is>
          <t>C-18</t>
        </is>
      </c>
      <c r="C103" t="inlineStr">
        <is>
          <t>( km 86+560 a km 87+060 )</t>
        </is>
      </c>
      <c r="D103">
        <v>1000</v>
      </c>
      <c r="E103" t="inlineStr">
        <is>
          <t>Alta</t>
        </is>
      </c>
      <c r="L103" t="inlineStr">
        <is>
          <t>Não iniciado</t>
        </is>
      </c>
      <c r="M103">
        <v>0</v>
      </c>
    </row>
    <row r="104">
      <c r="A104" t="inlineStr">
        <is>
          <t>P3</t>
        </is>
      </c>
      <c r="B104" t="inlineStr">
        <is>
          <t>A-17</t>
        </is>
      </c>
      <c r="C104" t="inlineStr">
        <is>
          <t>( km 85+960 a km 86+560 )</t>
        </is>
      </c>
      <c r="D104">
        <v>1200</v>
      </c>
      <c r="E104" t="inlineStr">
        <is>
          <t>Alta</t>
        </is>
      </c>
      <c r="L104" t="inlineStr">
        <is>
          <t>Não iniciado</t>
        </is>
      </c>
      <c r="M104">
        <v>0</v>
      </c>
    </row>
    <row r="105">
      <c r="A105" t="inlineStr">
        <is>
          <t>P3</t>
        </is>
      </c>
      <c r="B105" t="inlineStr">
        <is>
          <t>A-18</t>
        </is>
      </c>
      <c r="C105" t="inlineStr">
        <is>
          <t>( km 87+060 a km 87+800 )</t>
        </is>
      </c>
      <c r="D105">
        <v>1460</v>
      </c>
      <c r="E105" t="inlineStr">
        <is>
          <t>Alta</t>
        </is>
      </c>
      <c r="L105" t="inlineStr">
        <is>
          <t>Não iniciado</t>
        </is>
      </c>
      <c r="M105">
        <v>0</v>
      </c>
    </row>
    <row r="106">
      <c r="A106" t="inlineStr">
        <is>
          <t>P3</t>
        </is>
      </c>
      <c r="B106" t="inlineStr">
        <is>
          <t>A-19</t>
        </is>
      </c>
      <c r="C106" t="inlineStr">
        <is>
          <t>( km 87+800 a km 88+195 )</t>
        </is>
      </c>
      <c r="D106">
        <v>790</v>
      </c>
      <c r="E106" t="inlineStr">
        <is>
          <t>Média</t>
        </is>
      </c>
      <c r="L106" t="inlineStr">
        <is>
          <t>Não iniciado</t>
        </is>
      </c>
      <c r="M106">
        <v>0</v>
      </c>
    </row>
    <row r="107">
      <c r="A107" t="inlineStr">
        <is>
          <t>P3</t>
        </is>
      </c>
      <c r="B107" t="inlineStr">
        <is>
          <t>C-19</t>
        </is>
      </c>
      <c r="C107" t="inlineStr">
        <is>
          <t>( km 88+195 a km 88+960 )</t>
        </is>
      </c>
      <c r="D107">
        <v>611</v>
      </c>
      <c r="E107" t="inlineStr">
        <is>
          <t>Média</t>
        </is>
      </c>
      <c r="L107" t="inlineStr">
        <is>
          <t>Não iniciado</t>
        </is>
      </c>
      <c r="M107">
        <v>0</v>
      </c>
    </row>
    <row r="108">
      <c r="A108" t="inlineStr">
        <is>
          <t>P3</t>
        </is>
      </c>
      <c r="B108" t="inlineStr">
        <is>
          <t>C-20</t>
        </is>
      </c>
      <c r="C108" t="inlineStr">
        <is>
          <t>( km 88+930 a km 89+580 )</t>
        </is>
      </c>
      <c r="D108">
        <v>400</v>
      </c>
      <c r="E108" t="inlineStr">
        <is>
          <t>Média</t>
        </is>
      </c>
      <c r="L108" t="inlineStr">
        <is>
          <t>Não iniciado</t>
        </is>
      </c>
      <c r="M108">
        <v>0</v>
      </c>
    </row>
    <row r="109">
      <c r="A109" t="inlineStr">
        <is>
          <t>P3</t>
        </is>
      </c>
      <c r="B109" t="inlineStr">
        <is>
          <t>A-20</t>
        </is>
      </c>
      <c r="C109" t="inlineStr">
        <is>
          <t>( km 88+860 a km 88+930 )</t>
        </is>
      </c>
      <c r="D109">
        <v>20</v>
      </c>
      <c r="E109" t="inlineStr">
        <is>
          <t>Baixa</t>
        </is>
      </c>
      <c r="L109" t="inlineStr">
        <is>
          <t>Não iniciado</t>
        </is>
      </c>
      <c r="M109">
        <v>0</v>
      </c>
    </row>
    <row r="110">
      <c r="A110" t="inlineStr">
        <is>
          <t>P3</t>
        </is>
      </c>
      <c r="B110" t="inlineStr">
        <is>
          <t>C-21</t>
        </is>
      </c>
      <c r="C110" t="inlineStr">
        <is>
          <t>( km 90+040 a km 90+280 )</t>
        </is>
      </c>
      <c r="D110">
        <v>480</v>
      </c>
      <c r="E110" t="inlineStr">
        <is>
          <t>Média</t>
        </is>
      </c>
      <c r="L110" t="inlineStr">
        <is>
          <t>Não iniciado</t>
        </is>
      </c>
      <c r="M110">
        <v>0</v>
      </c>
    </row>
    <row r="111">
      <c r="A111" t="inlineStr">
        <is>
          <t>P3</t>
        </is>
      </c>
      <c r="B111" t="inlineStr">
        <is>
          <t>A-21</t>
        </is>
      </c>
      <c r="C111" t="inlineStr">
        <is>
          <t>( km 89+580 a km 90+040 )</t>
        </is>
      </c>
      <c r="D111">
        <v>800</v>
      </c>
      <c r="E111" t="inlineStr">
        <is>
          <t>Média</t>
        </is>
      </c>
      <c r="L111" t="inlineStr">
        <is>
          <t>Não iniciado</t>
        </is>
      </c>
      <c r="M111">
        <v>0</v>
      </c>
    </row>
    <row r="112">
      <c r="A112" t="inlineStr">
        <is>
          <t>P3</t>
        </is>
      </c>
      <c r="B112" t="inlineStr">
        <is>
          <t>C-22</t>
        </is>
      </c>
      <c r="C112" t="inlineStr">
        <is>
          <t>( km 90+670 a km 90+920 )</t>
        </is>
      </c>
      <c r="D112">
        <v>200</v>
      </c>
      <c r="E112" t="inlineStr">
        <is>
          <t>Baixa</t>
        </is>
      </c>
      <c r="L112" t="inlineStr">
        <is>
          <t>Não iniciado</t>
        </is>
      </c>
      <c r="M112">
        <v>0</v>
      </c>
    </row>
    <row r="113">
      <c r="A113" t="inlineStr">
        <is>
          <t>P3</t>
        </is>
      </c>
      <c r="B113" t="inlineStr">
        <is>
          <t>A-22</t>
        </is>
      </c>
      <c r="C113" t="inlineStr">
        <is>
          <t>( km 90+200 a km 90+225 )</t>
        </is>
      </c>
      <c r="D113">
        <v>12</v>
      </c>
      <c r="E113" t="inlineStr">
        <is>
          <t>Baixa</t>
        </is>
      </c>
      <c r="L113" t="inlineStr">
        <is>
          <t>Não iniciado</t>
        </is>
      </c>
      <c r="M113">
        <v>0</v>
      </c>
    </row>
    <row r="114">
      <c r="A114" t="inlineStr">
        <is>
          <t>P3</t>
        </is>
      </c>
      <c r="B114" t="inlineStr">
        <is>
          <t>C-23</t>
        </is>
      </c>
      <c r="C114" t="inlineStr">
        <is>
          <t>( km 91+898 a km 92+425 )</t>
        </is>
      </c>
      <c r="D114">
        <v>844</v>
      </c>
      <c r="E114" t="inlineStr">
        <is>
          <t>Média</t>
        </is>
      </c>
      <c r="L114" t="inlineStr">
        <is>
          <t>Não iniciado</t>
        </is>
      </c>
      <c r="M114">
        <v>0</v>
      </c>
    </row>
    <row r="115">
      <c r="A115" t="inlineStr">
        <is>
          <t>P3</t>
        </is>
      </c>
      <c r="B115" t="inlineStr">
        <is>
          <t>A-23</t>
        </is>
      </c>
      <c r="C115" t="inlineStr">
        <is>
          <t>( km 90+280 a km 90+670 )</t>
        </is>
      </c>
      <c r="D115">
        <v>600</v>
      </c>
      <c r="E115" t="inlineStr">
        <is>
          <t>Média</t>
        </is>
      </c>
      <c r="L115" t="inlineStr">
        <is>
          <t>Não iniciado</t>
        </is>
      </c>
      <c r="M115">
        <v>0</v>
      </c>
    </row>
    <row r="116">
      <c r="A116" t="inlineStr">
        <is>
          <t>P3</t>
        </is>
      </c>
      <c r="B116" t="inlineStr">
        <is>
          <t>C-24</t>
        </is>
      </c>
      <c r="C116" t="inlineStr">
        <is>
          <t>( km 92+740 a km 93+625 )</t>
        </is>
      </c>
      <c r="D116">
        <v>1770</v>
      </c>
      <c r="E116" t="inlineStr">
        <is>
          <t>Alta</t>
        </is>
      </c>
      <c r="L116" t="inlineStr">
        <is>
          <t>Não iniciado</t>
        </is>
      </c>
      <c r="M116">
        <v>0</v>
      </c>
    </row>
    <row r="117">
      <c r="A117" t="inlineStr">
        <is>
          <t>P3</t>
        </is>
      </c>
      <c r="B117" t="inlineStr">
        <is>
          <t>A-24</t>
        </is>
      </c>
      <c r="C117" t="inlineStr">
        <is>
          <t>( km 90+920 a km 91+898 )</t>
        </is>
      </c>
      <c r="D117">
        <v>2100</v>
      </c>
      <c r="E117" t="inlineStr">
        <is>
          <t>Alta</t>
        </is>
      </c>
      <c r="L117" t="inlineStr">
        <is>
          <t>Não iniciado</t>
        </is>
      </c>
      <c r="M117">
        <v>0</v>
      </c>
    </row>
    <row r="118">
      <c r="A118" t="inlineStr">
        <is>
          <t>P3</t>
        </is>
      </c>
      <c r="B118" t="inlineStr">
        <is>
          <t>C-25</t>
        </is>
      </c>
      <c r="C118" t="inlineStr">
        <is>
          <t>( km 94+880 a km 95+330 )</t>
        </is>
      </c>
      <c r="D118">
        <v>900</v>
      </c>
      <c r="E118" t="inlineStr">
        <is>
          <t>Média</t>
        </is>
      </c>
      <c r="L118" t="inlineStr">
        <is>
          <t>Não iniciado</t>
        </is>
      </c>
      <c r="M118">
        <v>0</v>
      </c>
    </row>
    <row r="119">
      <c r="A119" t="inlineStr">
        <is>
          <t>P3</t>
        </is>
      </c>
      <c r="B119" t="inlineStr">
        <is>
          <t>A-25</t>
        </is>
      </c>
      <c r="C119" t="inlineStr">
        <is>
          <t>( km 95+425 a km 95+740 )</t>
        </is>
      </c>
      <c r="D119">
        <v>330</v>
      </c>
      <c r="E119" t="inlineStr">
        <is>
          <t>Média</t>
        </is>
      </c>
      <c r="L119" t="inlineStr">
        <is>
          <t>Não iniciado</t>
        </is>
      </c>
      <c r="M119">
        <v>0</v>
      </c>
    </row>
    <row r="120">
      <c r="A120" t="inlineStr">
        <is>
          <t>P3</t>
        </is>
      </c>
      <c r="B120" t="inlineStr">
        <is>
          <t>C-26</t>
        </is>
      </c>
      <c r="C120" t="inlineStr">
        <is>
          <t>( km 95+375 a km 95+440 )</t>
        </is>
      </c>
      <c r="D120">
        <v>130</v>
      </c>
      <c r="E120" t="inlineStr">
        <is>
          <t>Baixa</t>
        </is>
      </c>
      <c r="L120" t="inlineStr">
        <is>
          <t>Não iniciado</t>
        </is>
      </c>
      <c r="M120">
        <v>0</v>
      </c>
    </row>
    <row r="121">
      <c r="A121" t="inlineStr">
        <is>
          <t>P3</t>
        </is>
      </c>
      <c r="B121" t="inlineStr">
        <is>
          <t>A-26</t>
        </is>
      </c>
      <c r="C121" t="inlineStr">
        <is>
          <t>( km 93+625 a km 94+880 )</t>
        </is>
      </c>
      <c r="D121">
        <v>400</v>
      </c>
      <c r="E121" t="inlineStr">
        <is>
          <t>Média</t>
        </is>
      </c>
      <c r="L121" t="inlineStr">
        <is>
          <t>Não iniciado</t>
        </is>
      </c>
      <c r="M121">
        <v>0</v>
      </c>
    </row>
    <row r="122">
      <c r="A122" t="inlineStr">
        <is>
          <t>P3</t>
        </is>
      </c>
      <c r="B122" t="inlineStr">
        <is>
          <t>C-27</t>
        </is>
      </c>
      <c r="C122" t="inlineStr">
        <is>
          <t>( km 95+865 a km 97+098 )</t>
        </is>
      </c>
      <c r="D122">
        <v>1366</v>
      </c>
      <c r="E122" t="inlineStr">
        <is>
          <t>Alta</t>
        </is>
      </c>
      <c r="L122" t="inlineStr">
        <is>
          <t>Não iniciado</t>
        </is>
      </c>
      <c r="M122">
        <v>0</v>
      </c>
    </row>
    <row r="123">
      <c r="A123" t="inlineStr">
        <is>
          <t>P3</t>
        </is>
      </c>
      <c r="B123" t="inlineStr">
        <is>
          <t>A-27</t>
        </is>
      </c>
      <c r="C123" t="inlineStr">
        <is>
          <t>( km 95+330 a km 95+375 )</t>
        </is>
      </c>
      <c r="D123">
        <v>90</v>
      </c>
      <c r="E123" t="inlineStr">
        <is>
          <t>Baixa</t>
        </is>
      </c>
      <c r="L123" t="inlineStr">
        <is>
          <t>Não iniciado</t>
        </is>
      </c>
      <c r="M123">
        <v>0</v>
      </c>
    </row>
    <row r="124">
      <c r="A124" t="inlineStr">
        <is>
          <t>P3</t>
        </is>
      </c>
      <c r="B124" t="inlineStr">
        <is>
          <t>C-28</t>
        </is>
      </c>
      <c r="C124" t="inlineStr">
        <is>
          <t>( km 97+603 a km 97+809 )</t>
        </is>
      </c>
      <c r="D124">
        <v>42</v>
      </c>
      <c r="E124" t="inlineStr">
        <is>
          <t>Baixa</t>
        </is>
      </c>
      <c r="L124" t="inlineStr">
        <is>
          <t>Não iniciado</t>
        </is>
      </c>
      <c r="M124">
        <v>0</v>
      </c>
    </row>
    <row r="125">
      <c r="A125" t="inlineStr">
        <is>
          <t>P3</t>
        </is>
      </c>
      <c r="B125" t="inlineStr">
        <is>
          <t>A-28</t>
        </is>
      </c>
      <c r="C125" t="inlineStr">
        <is>
          <t>( km 95+440 a km 95+865 )</t>
        </is>
      </c>
      <c r="D125">
        <v>400</v>
      </c>
      <c r="E125" t="inlineStr">
        <is>
          <t>Média</t>
        </is>
      </c>
      <c r="L125" t="inlineStr">
        <is>
          <t>Não iniciado</t>
        </is>
      </c>
      <c r="M125">
        <v>0</v>
      </c>
    </row>
    <row r="126">
      <c r="A126" t="inlineStr">
        <is>
          <t>P3</t>
        </is>
      </c>
      <c r="B126" t="inlineStr">
        <is>
          <t>A-29</t>
        </is>
      </c>
      <c r="C126" t="inlineStr">
        <is>
          <t>( km 97+098 a km 97+603 )</t>
        </is>
      </c>
      <c r="D126">
        <v>1010</v>
      </c>
      <c r="E126" t="inlineStr">
        <is>
          <t>Alta</t>
        </is>
      </c>
      <c r="L126" t="inlineStr">
        <is>
          <t>Não iniciado</t>
        </is>
      </c>
      <c r="M126">
        <v>0</v>
      </c>
    </row>
    <row r="127">
      <c r="A127" t="inlineStr">
        <is>
          <t>P3</t>
        </is>
      </c>
      <c r="B127" t="inlineStr">
        <is>
          <t>C-29</t>
        </is>
      </c>
      <c r="C127" t="inlineStr">
        <is>
          <t>( km 97+950 a km 98+945 )</t>
        </is>
      </c>
      <c r="D127">
        <v>1990</v>
      </c>
      <c r="E127" t="inlineStr">
        <is>
          <t>Alta</t>
        </is>
      </c>
      <c r="L127" t="inlineStr">
        <is>
          <t>Não iniciado</t>
        </is>
      </c>
      <c r="M127">
        <v>0</v>
      </c>
    </row>
    <row r="128">
      <c r="A128" t="inlineStr">
        <is>
          <t>P3</t>
        </is>
      </c>
      <c r="B128" t="inlineStr">
        <is>
          <t>A-30</t>
        </is>
      </c>
      <c r="C128" t="inlineStr">
        <is>
          <t>( km 97+809 a km 97+950 )</t>
        </is>
      </c>
      <c r="D128">
        <v>282</v>
      </c>
      <c r="E128" t="inlineStr">
        <is>
          <t>Baixa</t>
        </is>
      </c>
      <c r="L128" t="inlineStr">
        <is>
          <t>Não iniciado</t>
        </is>
      </c>
      <c r="M128">
        <v>0</v>
      </c>
    </row>
    <row r="129">
      <c r="A129" t="inlineStr">
        <is>
          <t>P3</t>
        </is>
      </c>
      <c r="B129" t="inlineStr">
        <is>
          <t>C-30</t>
        </is>
      </c>
      <c r="C129" t="inlineStr">
        <is>
          <t>( km 100+730 a km 101+560 )</t>
        </is>
      </c>
      <c r="D129">
        <v>660</v>
      </c>
      <c r="E129" t="inlineStr">
        <is>
          <t>Média</t>
        </is>
      </c>
      <c r="L129" t="inlineStr">
        <is>
          <t>Não iniciado</t>
        </is>
      </c>
      <c r="M129">
        <v>0</v>
      </c>
    </row>
    <row r="130">
      <c r="A130" t="inlineStr">
        <is>
          <t>P3</t>
        </is>
      </c>
      <c r="B130" t="inlineStr">
        <is>
          <t>A-31</t>
        </is>
      </c>
      <c r="C130" t="inlineStr">
        <is>
          <t>( km 98+945 a km 100+100 )</t>
        </is>
      </c>
      <c r="D130">
        <v>1400</v>
      </c>
      <c r="E130" t="inlineStr">
        <is>
          <t>Alta</t>
        </is>
      </c>
      <c r="L130" t="inlineStr">
        <is>
          <t>Não iniciado</t>
        </is>
      </c>
      <c r="M130">
        <v>0</v>
      </c>
    </row>
    <row r="131">
      <c r="A131" t="inlineStr">
        <is>
          <t>P3</t>
        </is>
      </c>
      <c r="B131" t="inlineStr">
        <is>
          <t>C-31</t>
        </is>
      </c>
      <c r="C131" t="inlineStr">
        <is>
          <t>( km 101+730 a km 102+397 )</t>
        </is>
      </c>
      <c r="D131">
        <v>1334</v>
      </c>
      <c r="E131" t="inlineStr">
        <is>
          <t>Alta</t>
        </is>
      </c>
      <c r="L131" t="inlineStr">
        <is>
          <t>Não iniciado</t>
        </is>
      </c>
      <c r="M131">
        <v>0</v>
      </c>
    </row>
    <row r="132">
      <c r="A132" t="inlineStr">
        <is>
          <t>P3</t>
        </is>
      </c>
      <c r="B132" t="inlineStr">
        <is>
          <t>A-32</t>
        </is>
      </c>
      <c r="C132" t="inlineStr">
        <is>
          <t>( km 100+200 a km 100+730 )</t>
        </is>
      </c>
      <c r="D132">
        <v>800</v>
      </c>
      <c r="E132" t="inlineStr">
        <is>
          <t>Média</t>
        </is>
      </c>
      <c r="L132" t="inlineStr">
        <is>
          <t>Não iniciado</t>
        </is>
      </c>
      <c r="M132">
        <v>0</v>
      </c>
    </row>
    <row r="133">
      <c r="A133" t="inlineStr">
        <is>
          <t>P3</t>
        </is>
      </c>
      <c r="B133" t="inlineStr">
        <is>
          <t>C-32</t>
        </is>
      </c>
      <c r="C133" t="inlineStr">
        <is>
          <t>( km 102+617 a km 102+714 )</t>
        </is>
      </c>
      <c r="D133">
        <v>194</v>
      </c>
      <c r="E133" t="inlineStr">
        <is>
          <t>Baixa</t>
        </is>
      </c>
      <c r="L133" t="inlineStr">
        <is>
          <t>Não iniciado</t>
        </is>
      </c>
      <c r="M133">
        <v>0</v>
      </c>
    </row>
    <row r="134">
      <c r="A134" t="inlineStr">
        <is>
          <t>P3</t>
        </is>
      </c>
      <c r="B134" t="inlineStr">
        <is>
          <t>A-33</t>
        </is>
      </c>
      <c r="C134" t="inlineStr">
        <is>
          <t>( km 101+560 a km 101+735 )</t>
        </is>
      </c>
      <c r="D134">
        <v>350</v>
      </c>
      <c r="E134" t="inlineStr">
        <is>
          <t>Média</t>
        </is>
      </c>
      <c r="L134" t="inlineStr">
        <is>
          <t>Não iniciado</t>
        </is>
      </c>
      <c r="M134">
        <v>0</v>
      </c>
    </row>
    <row r="135">
      <c r="A135" t="inlineStr">
        <is>
          <t>P3</t>
        </is>
      </c>
      <c r="B135" t="inlineStr">
        <is>
          <t>A-34</t>
        </is>
      </c>
      <c r="C135" t="inlineStr">
        <is>
          <t>( km 102+397 a km 102+617 )</t>
        </is>
      </c>
      <c r="D135">
        <v>320</v>
      </c>
      <c r="E135" t="inlineStr">
        <is>
          <t>Média</t>
        </is>
      </c>
      <c r="L135" t="inlineStr">
        <is>
          <t>Não iniciado</t>
        </is>
      </c>
      <c r="M135">
        <v>0</v>
      </c>
    </row>
    <row r="136">
      <c r="A136" t="inlineStr">
        <is>
          <t>P3</t>
        </is>
      </c>
      <c r="B136" t="inlineStr">
        <is>
          <t>C-33</t>
        </is>
      </c>
      <c r="C136" t="inlineStr">
        <is>
          <t>( km 103+040 a km 103+350 )</t>
        </is>
      </c>
      <c r="D136">
        <v>2120</v>
      </c>
      <c r="E136" t="inlineStr">
        <is>
          <t>Alta</t>
        </is>
      </c>
      <c r="L136" t="inlineStr">
        <is>
          <t>Não iniciado</t>
        </is>
      </c>
      <c r="M136">
        <v>0</v>
      </c>
    </row>
    <row r="137">
      <c r="A137" t="inlineStr">
        <is>
          <t>P3</t>
        </is>
      </c>
      <c r="B137" t="inlineStr">
        <is>
          <t>C-34</t>
        </is>
      </c>
      <c r="C137" t="inlineStr">
        <is>
          <t>( km 103+540 a km 104+150 )</t>
        </is>
      </c>
      <c r="D137">
        <v>1220</v>
      </c>
      <c r="E137" t="inlineStr">
        <is>
          <t>Alta</t>
        </is>
      </c>
      <c r="L137" t="inlineStr">
        <is>
          <t>Não iniciado</t>
        </is>
      </c>
      <c r="M137">
        <v>0</v>
      </c>
    </row>
    <row r="138">
      <c r="A138" t="inlineStr">
        <is>
          <t>P3</t>
        </is>
      </c>
      <c r="B138" t="inlineStr">
        <is>
          <t>A-35</t>
        </is>
      </c>
      <c r="C138" t="inlineStr">
        <is>
          <t>( km 102+714 a km 103+040 )</t>
        </is>
      </c>
      <c r="D138">
        <v>652</v>
      </c>
      <c r="E138" t="inlineStr">
        <is>
          <t>Média</t>
        </is>
      </c>
      <c r="L138" t="inlineStr">
        <is>
          <t>Não iniciado</t>
        </is>
      </c>
      <c r="M138">
        <v>0</v>
      </c>
    </row>
    <row r="139">
      <c r="A139" t="inlineStr">
        <is>
          <t>P3</t>
        </is>
      </c>
      <c r="B139" t="inlineStr">
        <is>
          <t>C-35</t>
        </is>
      </c>
      <c r="C139" t="inlineStr">
        <is>
          <t>( km 104+210 a km 104+259 )</t>
        </is>
      </c>
      <c r="D139">
        <v>75</v>
      </c>
      <c r="E139" t="inlineStr">
        <is>
          <t>Baixa</t>
        </is>
      </c>
      <c r="L139" t="inlineStr">
        <is>
          <t>Não iniciado</t>
        </is>
      </c>
      <c r="M139">
        <v>0</v>
      </c>
    </row>
    <row r="140">
      <c r="A140" t="inlineStr">
        <is>
          <t>P3</t>
        </is>
      </c>
      <c r="B140" t="inlineStr">
        <is>
          <t>A-36</t>
        </is>
      </c>
      <c r="C140" t="inlineStr">
        <is>
          <t>( km 103+350 a km 103+540 )</t>
        </is>
      </c>
      <c r="D140">
        <v>760</v>
      </c>
      <c r="E140" t="inlineStr">
        <is>
          <t>Média</t>
        </is>
      </c>
      <c r="L140" t="inlineStr">
        <is>
          <t>Não iniciado</t>
        </is>
      </c>
      <c r="M140">
        <v>0</v>
      </c>
    </row>
    <row r="141">
      <c r="A141" t="inlineStr">
        <is>
          <t>P3</t>
        </is>
      </c>
      <c r="B141" t="inlineStr">
        <is>
          <t>C-36</t>
        </is>
      </c>
      <c r="C141" t="inlineStr">
        <is>
          <t>( km 104+439 a km 104+480 )</t>
        </is>
      </c>
      <c r="D141">
        <v>82</v>
      </c>
      <c r="E141" t="inlineStr">
        <is>
          <t>Baixa</t>
        </is>
      </c>
      <c r="L141" t="inlineStr">
        <is>
          <t>Não iniciado</t>
        </is>
      </c>
      <c r="M141">
        <v>0</v>
      </c>
    </row>
    <row r="142">
      <c r="A142" t="inlineStr">
        <is>
          <t>P3</t>
        </is>
      </c>
      <c r="B142" t="inlineStr">
        <is>
          <t>A-37</t>
        </is>
      </c>
      <c r="C142" t="inlineStr">
        <is>
          <t>( km 104+150 a km 104+210 )</t>
        </is>
      </c>
      <c r="D142">
        <v>100</v>
      </c>
      <c r="E142" t="inlineStr">
        <is>
          <t>Baixa</t>
        </is>
      </c>
      <c r="L142" t="inlineStr">
        <is>
          <t>Não iniciado</t>
        </is>
      </c>
      <c r="M142">
        <v>0</v>
      </c>
    </row>
    <row r="143">
      <c r="A143" t="inlineStr">
        <is>
          <t>P3</t>
        </is>
      </c>
      <c r="B143" t="inlineStr">
        <is>
          <t>A-38</t>
        </is>
      </c>
      <c r="C143" t="inlineStr">
        <is>
          <t>( km 104+259 a km 104+439 )</t>
        </is>
      </c>
      <c r="D143">
        <v>360</v>
      </c>
      <c r="E143" t="inlineStr">
        <is>
          <t>Média</t>
        </is>
      </c>
      <c r="L143" t="inlineStr">
        <is>
          <t>Não iniciado</t>
        </is>
      </c>
      <c r="M143">
        <v>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01A7D55F60B18408D7825C28E029F51" ma:contentTypeVersion="19" ma:contentTypeDescription="Crie um novo documento." ma:contentTypeScope="" ma:versionID="26245b19684232a249215bac47317027">
  <xsd:schema xmlns:xsd="http://www.w3.org/2001/XMLSchema" xmlns:xs="http://www.w3.org/2001/XMLSchema" xmlns:p="http://schemas.microsoft.com/office/2006/metadata/properties" xmlns:ns1="http://schemas.microsoft.com/sharepoint/v3" xmlns:ns2="b633a64c-250e-4f9b-b03e-91a68bc51404" xmlns:ns3="442af37a-3796-4d85-82a9-7fed4a3d9bab" targetNamespace="http://schemas.microsoft.com/office/2006/metadata/properties" ma:root="true" ma:fieldsID="0b8051d1477f5ab751da8276506a6b46" ns1:_="" ns2:_="" ns3:_="">
    <xsd:import namespace="http://schemas.microsoft.com/sharepoint/v3"/>
    <xsd:import namespace="b633a64c-250e-4f9b-b03e-91a68bc51404"/>
    <xsd:import namespace="442af37a-3796-4d85-82a9-7fed4a3d9b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Location" minOccurs="0"/>
                <xsd:element ref="ns2:_Flow_SignoffStatu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33a64c-250e-4f9b-b03e-91a68bc5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2af37a-3796-4d85-82a9-7fed4a3d9b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1f1a95-fe8a-4ef2-a1aa-bea3be48d6af}" ma:internalName="TaxCatchAll" ma:showField="CatchAllData" ma:web="442af37a-3796-4d85-82a9-7fed4a3d9b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33a64c-250e-4f9b-b03e-91a68bc5140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442af37a-3796-4d85-82a9-7fed4a3d9bab" xsi:nil="true"/>
    <_Flow_SignoffStatus xmlns="b633a64c-250e-4f9b-b03e-91a68bc514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FDBD09-D55B-43F3-87E0-D9605D10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33a64c-250e-4f9b-b03e-91a68bc51404"/>
    <ds:schemaRef ds:uri="442af37a-3796-4d85-82a9-7fed4a3d9b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02C7E1-C63B-4348-982C-F296867FCDD1}">
  <ds:schemaRefs>
    <ds:schemaRef ds:uri="http://schemas.microsoft.com/office/2006/documentManagement/types"/>
    <ds:schemaRef ds:uri="http://www.w3.org/XML/1998/namespace"/>
    <ds:schemaRef ds:uri="442af37a-3796-4d85-82a9-7fed4a3d9bab"/>
    <ds:schemaRef ds:uri="http://purl.org/dc/terms/"/>
    <ds:schemaRef ds:uri="http://schemas.microsoft.com/office/2006/metadata/properties"/>
    <ds:schemaRef ds:uri="http://purl.org/dc/elements/1.1/"/>
    <ds:schemaRef ds:uri="http://schemas.openxmlformats.org/package/2006/metadata/core-properties"/>
    <ds:schemaRef ds:uri="http://purl.org/dc/dcmitype/"/>
    <ds:schemaRef ds:uri="http://schemas.microsoft.com/office/infopath/2007/PartnerControls"/>
    <ds:schemaRef ds:uri="b633a64c-250e-4f9b-b03e-91a68bc51404"/>
    <ds:schemaRef ds:uri="http://schemas.microsoft.com/sharepoint/v3"/>
  </ds:schemaRefs>
</ds:datastoreItem>
</file>

<file path=customXml/itemProps3.xml><?xml version="1.0" encoding="utf-8"?>
<ds:datastoreItem xmlns:ds="http://schemas.openxmlformats.org/officeDocument/2006/customXml" ds:itemID="{F74D0D91-BD36-4AD9-8A60-2C4FE1F626B9}">
  <ds:schemaRefs>
    <ds:schemaRef ds:uri="http://schemas.microsoft.com/sharepoint/v3/contenttype/forms"/>
  </ds:schemaRefs>
</ds:datastoreItem>
</file>

<file path=docMetadata/LabelInfo.xml><?xml version="1.0" encoding="utf-8"?>
<clbl:labelList xmlns:clbl="http://schemas.microsoft.com/office/2020/mipLabelMetadata">
  <clbl:label id="{340ed6a7-0f03-43d9-901d-02d4a7e408aa}" enabled="1" method="Privileged" siteId="{7893571b-6c2c-4cef-b4da-7d4b266a06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 Instruções</vt:lpstr>
      <vt:lpstr>🎛️ Cabeçalho</vt:lpstr>
      <vt:lpstr>👷 Recursos</vt:lpstr>
      <vt:lpstr>📊 Plan-Escopo</vt:lpstr>
      <vt:lpstr>📋 Plan-Detalhado</vt:lpstr>
      <vt:lpstr>🚫 Fora+Entrega</vt:lpstr>
      <vt:lpstr>🔧 RNCs</vt:lpstr>
      <vt:lpstr>📚 DataBooks-Mensal</vt:lpstr>
      <vt:lpstr>📑 DataBooks-Ativos</vt:lpstr>
      <vt:lpstr>🏗️ AsBuilt+Críticos</vt:lpstr>
      <vt:lpstr>🗺️ Retig P1</vt:lpstr>
      <vt:lpstr>🗺️ Retig P2</vt:lpstr>
      <vt:lpstr>🗺️ Retig P3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Renato Rocha</cp:lastModifiedBy>
  <dcterms:created xsi:type="dcterms:W3CDTF">2026-06-02T13:20:58Z</dcterms:created>
  <dcterms:modified xsi:type="dcterms:W3CDTF">2026-06-09T16:11:05Z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0x010100401A7D55F60B18408D7825C28E029F51</vt:lpwstr>
  </property>
  <property fmtid="{D5CDD505-2E9C-101B-9397-08002B2CF9AE}" pid="3" name="MediaServiceImageTags">
    <vt:lpwstr/>
  </property>
</Properties>
</file>